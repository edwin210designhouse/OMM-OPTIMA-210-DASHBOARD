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filterPrivacy="1" updateLinks="always"/>
  <xr:revisionPtr revIDLastSave="7613" documentId="13_ncr:1_{4E998629-1D3A-4FDE-9A35-3C7527BCC12D}" xr6:coauthVersionLast="47" xr6:coauthVersionMax="47" xr10:uidLastSave="{A9EED7D3-1D66-4071-B3BF-71F164FE8901}"/>
  <bookViews>
    <workbookView xWindow="28680" yWindow="-11835" windowWidth="29040" windowHeight="15720" tabRatio="840" firstSheet="7" activeTab="2" xr2:uid="{00000000-000D-0000-FFFF-FFFF00000000}"/>
  </bookViews>
  <sheets>
    <sheet name="400LSD Tier 1 Matrix " sheetId="53" state="hidden" r:id="rId1"/>
    <sheet name="400LSD T1 (Condensed Matrix)" sheetId="54" state="hidden" r:id="rId2"/>
    <sheet name="OMM_Overall Container Matrix" sheetId="83" r:id="rId3"/>
    <sheet name="OMM_Unit Matrix" sheetId="81" r:id="rId4"/>
    <sheet name="OMM_Buildout " sheetId="77" r:id="rId5"/>
    <sheet name="-" sheetId="87" r:id="rId6"/>
    <sheet name="Optima Building Matrix_New Look" sheetId="80" state="hidden" r:id="rId7"/>
    <sheet name="OMM_Container Status" sheetId="88" r:id="rId8"/>
    <sheet name="OMM_Building Matrix" sheetId="85" r:id="rId9"/>
  </sheets>
  <externalReferences>
    <externalReference r:id="rId10"/>
  </externalReferences>
  <definedNames>
    <definedName name="ColumnTitle1" localSheetId="1">#REF!</definedName>
    <definedName name="ColumnTitle1" localSheetId="0">#REF!</definedName>
    <definedName name="ColumnTitle1">#REF!</definedName>
    <definedName name="_xlnm.Print_Area" localSheetId="1">'400LSD T1 (Condensed Matrix)'!$A$1:$R$49</definedName>
    <definedName name="_xlnm.Print_Area" localSheetId="0">'400LSD Tier 1 Matrix '!$A$1:$AR$135</definedName>
    <definedName name="_xlnm.Print_Area" localSheetId="8">'OMM_Building Matrix'!$A$1:$AG$84</definedName>
    <definedName name="_xlnm.Print_Area" localSheetId="7">'OMM_Container Status'!$A$1:$AI$84</definedName>
    <definedName name="_xlnm.Print_Area" localSheetId="2">'OMM_Overall Container Matrix'!$C$1:$AP$31</definedName>
    <definedName name="RowTitleRegion1..D4" localSheetId="1">#REF!</definedName>
    <definedName name="RowTitleRegion1..D4" localSheetId="0">#REF!</definedName>
    <definedName name="RowTitleRegion1..D4">#REF!</definedName>
    <definedName name="RowTitleRegion2..D11" localSheetId="1">#REF!</definedName>
    <definedName name="RowTitleRegion2..D11" localSheetId="0">#REF!</definedName>
    <definedName name="RowTitleRegion2..D11">#REF!</definedName>
    <definedName name="Slicer_Column1">#N/A</definedName>
    <definedName name="Slicer_Column6">#N/A</definedName>
    <definedName name="Slicer_COMBO?">#N/A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77" l="1" a="1"/>
  <c r="B8" i="77"/>
  <c r="AF46" i="85" a="1"/>
  <c r="AF46" i="85"/>
  <c r="AF57" i="85" a="1"/>
  <c r="AF57" i="85"/>
  <c r="AF68" i="85" a="1"/>
  <c r="AF68" i="85"/>
  <c r="AF79" i="85" a="1"/>
  <c r="AF79" i="85"/>
  <c r="AG76" i="85" a="1"/>
  <c r="AG76" i="85"/>
  <c r="AG65" i="85" a="1"/>
  <c r="AG65" i="85"/>
  <c r="AG54" i="85" a="1"/>
  <c r="AG54" i="85"/>
  <c r="AG43" i="85" a="1"/>
  <c r="AG43" i="85"/>
  <c r="AF35" i="85" a="1"/>
  <c r="AF35" i="85"/>
  <c r="AG32" i="85" a="1"/>
  <c r="AG32" i="85"/>
  <c r="AF24" i="85" a="1"/>
  <c r="AF24" i="85"/>
  <c r="AG21" i="85" a="1"/>
  <c r="AG21" i="85"/>
  <c r="AF13" i="85" a="1"/>
  <c r="AF13" i="85"/>
  <c r="AG10" i="85" a="1"/>
  <c r="AG10" i="85"/>
  <c r="C8" i="85" a="1"/>
  <c r="C8" i="85"/>
  <c r="AO5" i="88" a="1"/>
  <c r="AO5" i="88"/>
  <c r="C8" i="88" a="1"/>
  <c r="C8" i="88"/>
  <c r="C11" i="83" a="1"/>
  <c r="C11" i="83"/>
  <c r="B11" i="81"/>
  <c r="C11" i="81"/>
  <c r="D11" i="81"/>
  <c r="E11" i="81"/>
  <c r="F11" i="81"/>
  <c r="G11" i="81"/>
  <c r="H11" i="81"/>
  <c r="I11" i="81"/>
  <c r="J11" i="81"/>
  <c r="K11" i="81"/>
  <c r="L11" i="81"/>
  <c r="M11" i="81"/>
  <c r="N11" i="81"/>
  <c r="O11" i="81"/>
  <c r="P11" i="81"/>
  <c r="Q11" i="81"/>
  <c r="R11" i="81"/>
  <c r="S11" i="81"/>
  <c r="T11" i="81"/>
  <c r="U11" i="81"/>
  <c r="V11" i="81"/>
  <c r="W11" i="81"/>
  <c r="X11" i="81"/>
  <c r="Y11" i="81"/>
  <c r="Z11" i="81"/>
  <c r="AA11" i="81"/>
  <c r="AB11" i="81"/>
  <c r="AC11" i="81"/>
  <c r="AD11" i="81"/>
  <c r="AE11" i="81"/>
  <c r="AF11" i="81"/>
  <c r="AG11" i="81"/>
  <c r="AH11" i="81"/>
  <c r="AI11" i="81"/>
  <c r="AJ11" i="81"/>
  <c r="AK11" i="81"/>
  <c r="AL11" i="81"/>
  <c r="AM11" i="81"/>
  <c r="AN11" i="81"/>
  <c r="AO11" i="81"/>
  <c r="AP11" i="81"/>
  <c r="AQ11" i="81"/>
  <c r="B12" i="81"/>
  <c r="C12" i="81"/>
  <c r="D12" i="81"/>
  <c r="E12" i="81"/>
  <c r="F12" i="81"/>
  <c r="G12" i="81"/>
  <c r="H12" i="81"/>
  <c r="I12" i="81"/>
  <c r="J12" i="81"/>
  <c r="K12" i="81"/>
  <c r="L12" i="81"/>
  <c r="M12" i="81"/>
  <c r="N12" i="81"/>
  <c r="O12" i="81"/>
  <c r="P12" i="81"/>
  <c r="Q12" i="81"/>
  <c r="R12" i="81"/>
  <c r="S12" i="81"/>
  <c r="T12" i="81"/>
  <c r="U12" i="81"/>
  <c r="V12" i="81"/>
  <c r="W12" i="81"/>
  <c r="X12" i="81"/>
  <c r="Y12" i="81"/>
  <c r="Z12" i="81"/>
  <c r="AA12" i="81"/>
  <c r="AB12" i="81"/>
  <c r="AC12" i="81"/>
  <c r="AD12" i="81"/>
  <c r="AE12" i="81"/>
  <c r="AF12" i="81"/>
  <c r="AG12" i="81"/>
  <c r="AH12" i="81"/>
  <c r="AI12" i="81"/>
  <c r="AJ12" i="81"/>
  <c r="AK12" i="81"/>
  <c r="AL12" i="81"/>
  <c r="AM12" i="81"/>
  <c r="AN12" i="81"/>
  <c r="AO12" i="81"/>
  <c r="AP12" i="81"/>
  <c r="AQ12" i="81"/>
  <c r="B13" i="81"/>
  <c r="C13" i="81"/>
  <c r="D13" i="81"/>
  <c r="E13" i="81"/>
  <c r="F13" i="81"/>
  <c r="G13" i="81"/>
  <c r="H13" i="81"/>
  <c r="I13" i="81"/>
  <c r="J13" i="81"/>
  <c r="K13" i="81"/>
  <c r="L13" i="81"/>
  <c r="M13" i="81"/>
  <c r="N13" i="81"/>
  <c r="O13" i="81"/>
  <c r="P13" i="81"/>
  <c r="Q13" i="81"/>
  <c r="R13" i="81"/>
  <c r="S13" i="81"/>
  <c r="T13" i="81"/>
  <c r="U13" i="81"/>
  <c r="V13" i="81"/>
  <c r="W13" i="81"/>
  <c r="X13" i="81"/>
  <c r="Y13" i="81"/>
  <c r="Z13" i="81"/>
  <c r="AA13" i="81"/>
  <c r="AB13" i="81"/>
  <c r="AC13" i="81"/>
  <c r="AD13" i="81"/>
  <c r="AE13" i="81"/>
  <c r="AF13" i="81"/>
  <c r="AG13" i="81"/>
  <c r="AH13" i="81"/>
  <c r="AI13" i="81"/>
  <c r="AJ13" i="81"/>
  <c r="AK13" i="81"/>
  <c r="AL13" i="81"/>
  <c r="AM13" i="81"/>
  <c r="AN13" i="81"/>
  <c r="AO13" i="81"/>
  <c r="AP13" i="81"/>
  <c r="AQ13" i="81"/>
  <c r="B14" i="81"/>
  <c r="C14" i="81"/>
  <c r="D14" i="81"/>
  <c r="E14" i="81"/>
  <c r="F14" i="81"/>
  <c r="G14" i="81"/>
  <c r="H14" i="81"/>
  <c r="I14" i="81"/>
  <c r="J14" i="81"/>
  <c r="K14" i="81"/>
  <c r="L14" i="81"/>
  <c r="M14" i="81"/>
  <c r="N14" i="81"/>
  <c r="O14" i="81"/>
  <c r="P14" i="81"/>
  <c r="Q14" i="81"/>
  <c r="R14" i="81"/>
  <c r="S14" i="81"/>
  <c r="T14" i="81"/>
  <c r="U14" i="81"/>
  <c r="V14" i="81"/>
  <c r="W14" i="81"/>
  <c r="X14" i="81"/>
  <c r="Y14" i="81"/>
  <c r="Z14" i="81"/>
  <c r="AA14" i="81"/>
  <c r="AB14" i="81"/>
  <c r="AC14" i="81"/>
  <c r="AD14" i="81"/>
  <c r="AE14" i="81"/>
  <c r="AF14" i="81"/>
  <c r="AG14" i="81"/>
  <c r="AH14" i="81"/>
  <c r="AI14" i="81"/>
  <c r="AJ14" i="81"/>
  <c r="AK14" i="81"/>
  <c r="AL14" i="81"/>
  <c r="AM14" i="81"/>
  <c r="AN14" i="81"/>
  <c r="AO14" i="81"/>
  <c r="AP14" i="81"/>
  <c r="AQ14" i="81"/>
  <c r="B15" i="81"/>
  <c r="C15" i="81"/>
  <c r="D15" i="81"/>
  <c r="E15" i="81"/>
  <c r="F15" i="81"/>
  <c r="G15" i="81"/>
  <c r="H15" i="81"/>
  <c r="I15" i="81"/>
  <c r="J15" i="81"/>
  <c r="K15" i="81"/>
  <c r="L15" i="81"/>
  <c r="M15" i="81"/>
  <c r="N15" i="81"/>
  <c r="O15" i="81"/>
  <c r="P15" i="81"/>
  <c r="Q15" i="81"/>
  <c r="R15" i="81"/>
  <c r="S15" i="81"/>
  <c r="T15" i="81"/>
  <c r="U15" i="81"/>
  <c r="V15" i="81"/>
  <c r="W15" i="81"/>
  <c r="X15" i="81"/>
  <c r="Y15" i="81"/>
  <c r="Z15" i="81"/>
  <c r="AA15" i="81"/>
  <c r="AB15" i="81"/>
  <c r="AC15" i="81"/>
  <c r="AD15" i="81"/>
  <c r="AE15" i="81"/>
  <c r="AF15" i="81"/>
  <c r="AG15" i="81"/>
  <c r="AH15" i="81"/>
  <c r="AI15" i="81"/>
  <c r="AJ15" i="81"/>
  <c r="AK15" i="81"/>
  <c r="AL15" i="81"/>
  <c r="AM15" i="81"/>
  <c r="AN15" i="81"/>
  <c r="AO15" i="81"/>
  <c r="AP15" i="81"/>
  <c r="AQ15" i="81"/>
  <c r="B16" i="81"/>
  <c r="C16" i="81"/>
  <c r="D16" i="81"/>
  <c r="E16" i="81"/>
  <c r="F16" i="81"/>
  <c r="G16" i="81"/>
  <c r="H16" i="81"/>
  <c r="I16" i="81"/>
  <c r="J16" i="81"/>
  <c r="K16" i="81"/>
  <c r="L16" i="81"/>
  <c r="M16" i="81"/>
  <c r="N16" i="81"/>
  <c r="O16" i="81"/>
  <c r="P16" i="81"/>
  <c r="Q16" i="81"/>
  <c r="R16" i="81"/>
  <c r="S16" i="81"/>
  <c r="T16" i="81"/>
  <c r="U16" i="81"/>
  <c r="V16" i="81"/>
  <c r="W16" i="81"/>
  <c r="X16" i="81"/>
  <c r="Y16" i="81"/>
  <c r="Z16" i="81"/>
  <c r="AA16" i="81"/>
  <c r="AB16" i="81"/>
  <c r="AC16" i="81"/>
  <c r="AD16" i="81"/>
  <c r="AE16" i="81"/>
  <c r="AF16" i="81"/>
  <c r="AG16" i="81"/>
  <c r="AH16" i="81"/>
  <c r="AI16" i="81"/>
  <c r="AJ16" i="81"/>
  <c r="AK16" i="81"/>
  <c r="AL16" i="81"/>
  <c r="AM16" i="81"/>
  <c r="AN16" i="81"/>
  <c r="AO16" i="81"/>
  <c r="AP16" i="81"/>
  <c r="AQ16" i="81"/>
  <c r="B17" i="81"/>
  <c r="C17" i="81"/>
  <c r="D17" i="81"/>
  <c r="E17" i="81"/>
  <c r="F17" i="81"/>
  <c r="G17" i="81"/>
  <c r="H17" i="81"/>
  <c r="I17" i="81"/>
  <c r="J17" i="81"/>
  <c r="K17" i="81"/>
  <c r="L17" i="81"/>
  <c r="M17" i="81"/>
  <c r="N17" i="81"/>
  <c r="O17" i="81"/>
  <c r="P17" i="81"/>
  <c r="Q17" i="81"/>
  <c r="R17" i="81"/>
  <c r="S17" i="81"/>
  <c r="T17" i="81"/>
  <c r="U17" i="81"/>
  <c r="V17" i="81"/>
  <c r="W17" i="81"/>
  <c r="X17" i="81"/>
  <c r="Y17" i="81"/>
  <c r="Z17" i="81"/>
  <c r="AA17" i="81"/>
  <c r="AB17" i="81"/>
  <c r="AC17" i="81"/>
  <c r="AD17" i="81"/>
  <c r="AE17" i="81"/>
  <c r="AF17" i="81"/>
  <c r="AG17" i="81"/>
  <c r="AH17" i="81"/>
  <c r="AI17" i="81"/>
  <c r="AJ17" i="81"/>
  <c r="AK17" i="81"/>
  <c r="AL17" i="81"/>
  <c r="AM17" i="81"/>
  <c r="AN17" i="81"/>
  <c r="AO17" i="81"/>
  <c r="AP17" i="81"/>
  <c r="AQ17" i="81"/>
  <c r="B18" i="81"/>
  <c r="C18" i="81"/>
  <c r="D18" i="81"/>
  <c r="E18" i="81"/>
  <c r="F18" i="81"/>
  <c r="G18" i="81"/>
  <c r="H18" i="81"/>
  <c r="I18" i="81"/>
  <c r="J18" i="81"/>
  <c r="K18" i="81"/>
  <c r="L18" i="81"/>
  <c r="M18" i="81"/>
  <c r="N18" i="81"/>
  <c r="O18" i="81"/>
  <c r="P18" i="81"/>
  <c r="Q18" i="81"/>
  <c r="R18" i="81"/>
  <c r="S18" i="81"/>
  <c r="T18" i="81"/>
  <c r="U18" i="81"/>
  <c r="V18" i="81"/>
  <c r="W18" i="81"/>
  <c r="X18" i="81"/>
  <c r="Y18" i="81"/>
  <c r="Z18" i="81"/>
  <c r="AA18" i="81"/>
  <c r="AB18" i="81"/>
  <c r="AC18" i="81"/>
  <c r="AD18" i="81"/>
  <c r="AE18" i="81"/>
  <c r="AF18" i="81"/>
  <c r="AG18" i="81"/>
  <c r="AH18" i="81"/>
  <c r="AI18" i="81"/>
  <c r="AJ18" i="81"/>
  <c r="AK18" i="81"/>
  <c r="AL18" i="81"/>
  <c r="AM18" i="81"/>
  <c r="AN18" i="81"/>
  <c r="AO18" i="81"/>
  <c r="AP18" i="81"/>
  <c r="AQ18" i="81"/>
  <c r="B19" i="81"/>
  <c r="C19" i="81"/>
  <c r="D19" i="81"/>
  <c r="E19" i="81"/>
  <c r="F19" i="81"/>
  <c r="G19" i="81"/>
  <c r="H19" i="81"/>
  <c r="I19" i="81"/>
  <c r="J19" i="81"/>
  <c r="K19" i="81"/>
  <c r="L19" i="81"/>
  <c r="M19" i="81"/>
  <c r="N19" i="81"/>
  <c r="O19" i="81"/>
  <c r="P19" i="81"/>
  <c r="Q19" i="81"/>
  <c r="R19" i="81"/>
  <c r="S19" i="81"/>
  <c r="T19" i="81"/>
  <c r="U19" i="81"/>
  <c r="V19" i="81"/>
  <c r="W19" i="81"/>
  <c r="X19" i="81"/>
  <c r="Y19" i="81"/>
  <c r="Z19" i="81"/>
  <c r="AA19" i="81"/>
  <c r="AB19" i="81"/>
  <c r="AC19" i="81"/>
  <c r="AD19" i="81"/>
  <c r="AE19" i="81"/>
  <c r="AF19" i="81"/>
  <c r="AG19" i="81"/>
  <c r="AH19" i="81"/>
  <c r="AI19" i="81"/>
  <c r="AJ19" i="81"/>
  <c r="AK19" i="81"/>
  <c r="AL19" i="81"/>
  <c r="AM19" i="81"/>
  <c r="AN19" i="81"/>
  <c r="AO19" i="81"/>
  <c r="AP19" i="81"/>
  <c r="AQ19" i="81"/>
  <c r="B20" i="81"/>
  <c r="C20" i="81"/>
  <c r="D20" i="81"/>
  <c r="E20" i="81"/>
  <c r="F20" i="81"/>
  <c r="G20" i="81"/>
  <c r="H20" i="81"/>
  <c r="I20" i="81"/>
  <c r="J20" i="81"/>
  <c r="K20" i="81"/>
  <c r="L20" i="81"/>
  <c r="M20" i="81"/>
  <c r="N20" i="81"/>
  <c r="O20" i="81"/>
  <c r="P20" i="81"/>
  <c r="Q20" i="81"/>
  <c r="R20" i="81"/>
  <c r="S20" i="81"/>
  <c r="T20" i="81"/>
  <c r="U20" i="81"/>
  <c r="V20" i="81"/>
  <c r="W20" i="81"/>
  <c r="X20" i="81"/>
  <c r="Y20" i="81"/>
  <c r="Z20" i="81"/>
  <c r="AA20" i="81"/>
  <c r="AB20" i="81"/>
  <c r="AC20" i="81"/>
  <c r="AD20" i="81"/>
  <c r="AE20" i="81"/>
  <c r="AF20" i="81"/>
  <c r="AG20" i="81"/>
  <c r="AH20" i="81"/>
  <c r="AI20" i="81"/>
  <c r="AJ20" i="81"/>
  <c r="AK20" i="81"/>
  <c r="AL20" i="81"/>
  <c r="AM20" i="81"/>
  <c r="AN20" i="81"/>
  <c r="AO20" i="81"/>
  <c r="AP20" i="81"/>
  <c r="AQ20" i="81"/>
  <c r="B21" i="81"/>
  <c r="C21" i="81"/>
  <c r="D21" i="81"/>
  <c r="E21" i="81"/>
  <c r="F21" i="81"/>
  <c r="G21" i="81"/>
  <c r="H21" i="81"/>
  <c r="I21" i="81"/>
  <c r="J21" i="81"/>
  <c r="K21" i="81"/>
  <c r="L21" i="81"/>
  <c r="M21" i="81"/>
  <c r="N21" i="81"/>
  <c r="O21" i="81"/>
  <c r="P21" i="81"/>
  <c r="Q21" i="81"/>
  <c r="R21" i="81"/>
  <c r="S21" i="81"/>
  <c r="T21" i="81"/>
  <c r="U21" i="81"/>
  <c r="V21" i="81"/>
  <c r="W21" i="81"/>
  <c r="X21" i="81"/>
  <c r="Y21" i="81"/>
  <c r="Z21" i="81"/>
  <c r="AA21" i="81"/>
  <c r="AB21" i="81"/>
  <c r="AC21" i="81"/>
  <c r="AD21" i="81"/>
  <c r="AE21" i="81"/>
  <c r="AF21" i="81"/>
  <c r="AG21" i="81"/>
  <c r="AH21" i="81"/>
  <c r="AI21" i="81"/>
  <c r="AJ21" i="81"/>
  <c r="AK21" i="81"/>
  <c r="AL21" i="81"/>
  <c r="AM21" i="81"/>
  <c r="AN21" i="81"/>
  <c r="AO21" i="81"/>
  <c r="AP21" i="81"/>
  <c r="AQ21" i="81"/>
  <c r="B22" i="81"/>
  <c r="C22" i="81"/>
  <c r="D22" i="81"/>
  <c r="E22" i="81"/>
  <c r="F22" i="81"/>
  <c r="G22" i="81"/>
  <c r="H22" i="81"/>
  <c r="I22" i="81"/>
  <c r="J22" i="81"/>
  <c r="K22" i="81"/>
  <c r="L22" i="81"/>
  <c r="M22" i="81"/>
  <c r="N22" i="81"/>
  <c r="O22" i="81"/>
  <c r="P22" i="81"/>
  <c r="Q22" i="81"/>
  <c r="R22" i="81"/>
  <c r="S22" i="81"/>
  <c r="T22" i="81"/>
  <c r="U22" i="81"/>
  <c r="V22" i="81"/>
  <c r="W22" i="81"/>
  <c r="X22" i="81"/>
  <c r="Y22" i="81"/>
  <c r="Z22" i="81"/>
  <c r="AA22" i="81"/>
  <c r="AB22" i="81"/>
  <c r="AC22" i="81"/>
  <c r="AD22" i="81"/>
  <c r="AE22" i="81"/>
  <c r="AF22" i="81"/>
  <c r="AG22" i="81"/>
  <c r="AH22" i="81"/>
  <c r="AI22" i="81"/>
  <c r="AJ22" i="81"/>
  <c r="AK22" i="81"/>
  <c r="AL22" i="81"/>
  <c r="AM22" i="81"/>
  <c r="AN22" i="81"/>
  <c r="AO22" i="81"/>
  <c r="AP22" i="81"/>
  <c r="AQ22" i="81"/>
  <c r="B23" i="81"/>
  <c r="C23" i="81"/>
  <c r="D23" i="81"/>
  <c r="E23" i="81"/>
  <c r="F23" i="81"/>
  <c r="G23" i="81"/>
  <c r="H23" i="81"/>
  <c r="I23" i="81"/>
  <c r="J23" i="81"/>
  <c r="K23" i="81"/>
  <c r="L23" i="81"/>
  <c r="M23" i="81"/>
  <c r="N23" i="81"/>
  <c r="O23" i="81"/>
  <c r="P23" i="81"/>
  <c r="Q23" i="81"/>
  <c r="R23" i="81"/>
  <c r="S23" i="81"/>
  <c r="T23" i="81"/>
  <c r="U23" i="81"/>
  <c r="V23" i="81"/>
  <c r="W23" i="81"/>
  <c r="X23" i="81"/>
  <c r="Y23" i="81"/>
  <c r="Z23" i="81"/>
  <c r="AA23" i="81"/>
  <c r="AB23" i="81"/>
  <c r="AC23" i="81"/>
  <c r="AD23" i="81"/>
  <c r="AE23" i="81"/>
  <c r="AF23" i="81"/>
  <c r="AG23" i="81"/>
  <c r="AH23" i="81"/>
  <c r="AI23" i="81"/>
  <c r="AJ23" i="81"/>
  <c r="AK23" i="81"/>
  <c r="AL23" i="81"/>
  <c r="AM23" i="81"/>
  <c r="AN23" i="81"/>
  <c r="AO23" i="81"/>
  <c r="AP23" i="81"/>
  <c r="AQ23" i="81"/>
  <c r="B24" i="81"/>
  <c r="C24" i="81"/>
  <c r="D24" i="81"/>
  <c r="E24" i="81"/>
  <c r="F24" i="81"/>
  <c r="G24" i="81"/>
  <c r="H24" i="81"/>
  <c r="I24" i="81"/>
  <c r="J24" i="81"/>
  <c r="K24" i="81"/>
  <c r="L24" i="81"/>
  <c r="M24" i="81"/>
  <c r="N24" i="81"/>
  <c r="O24" i="81"/>
  <c r="P24" i="81"/>
  <c r="Q24" i="81"/>
  <c r="R24" i="81"/>
  <c r="S24" i="81"/>
  <c r="T24" i="81"/>
  <c r="U24" i="81"/>
  <c r="V24" i="81"/>
  <c r="W24" i="81"/>
  <c r="X24" i="81"/>
  <c r="Y24" i="81"/>
  <c r="Z24" i="81"/>
  <c r="AA24" i="81"/>
  <c r="AB24" i="81"/>
  <c r="AC24" i="81"/>
  <c r="AD24" i="81"/>
  <c r="AE24" i="81"/>
  <c r="AF24" i="81"/>
  <c r="AG24" i="81"/>
  <c r="AH24" i="81"/>
  <c r="AI24" i="81"/>
  <c r="AJ24" i="81"/>
  <c r="AK24" i="81"/>
  <c r="AL24" i="81"/>
  <c r="AM24" i="81"/>
  <c r="AN24" i="81"/>
  <c r="AO24" i="81"/>
  <c r="AP24" i="81"/>
  <c r="AQ24" i="81"/>
  <c r="B25" i="81"/>
  <c r="C25" i="81"/>
  <c r="D25" i="81"/>
  <c r="E25" i="81"/>
  <c r="F25" i="81"/>
  <c r="G25" i="81"/>
  <c r="H25" i="81"/>
  <c r="I25" i="81"/>
  <c r="J25" i="81"/>
  <c r="K25" i="81"/>
  <c r="L25" i="81"/>
  <c r="M25" i="81"/>
  <c r="N25" i="81"/>
  <c r="O25" i="81"/>
  <c r="P25" i="81"/>
  <c r="Q25" i="81"/>
  <c r="R25" i="81"/>
  <c r="S25" i="81"/>
  <c r="T25" i="81"/>
  <c r="U25" i="81"/>
  <c r="V25" i="81"/>
  <c r="W25" i="81"/>
  <c r="X25" i="81"/>
  <c r="Y25" i="81"/>
  <c r="Z25" i="81"/>
  <c r="AA25" i="81"/>
  <c r="AB25" i="81"/>
  <c r="AC25" i="81"/>
  <c r="AD25" i="81"/>
  <c r="AE25" i="81"/>
  <c r="AF25" i="81"/>
  <c r="AG25" i="81"/>
  <c r="AH25" i="81"/>
  <c r="AI25" i="81"/>
  <c r="AJ25" i="81"/>
  <c r="AK25" i="81"/>
  <c r="AL25" i="81"/>
  <c r="AM25" i="81"/>
  <c r="AN25" i="81"/>
  <c r="AO25" i="81"/>
  <c r="AP25" i="81"/>
  <c r="AQ25" i="81"/>
  <c r="B26" i="81"/>
  <c r="C26" i="81"/>
  <c r="D26" i="81"/>
  <c r="E26" i="81"/>
  <c r="F26" i="81"/>
  <c r="G26" i="81"/>
  <c r="H26" i="81"/>
  <c r="I26" i="81"/>
  <c r="J26" i="81"/>
  <c r="K26" i="81"/>
  <c r="L26" i="81"/>
  <c r="M26" i="81"/>
  <c r="N26" i="81"/>
  <c r="O26" i="81"/>
  <c r="P26" i="81"/>
  <c r="Q26" i="81"/>
  <c r="R26" i="81"/>
  <c r="S26" i="81"/>
  <c r="T26" i="81"/>
  <c r="U26" i="81"/>
  <c r="V26" i="81"/>
  <c r="W26" i="81"/>
  <c r="X26" i="81"/>
  <c r="Y26" i="81"/>
  <c r="Z26" i="81"/>
  <c r="AA26" i="81"/>
  <c r="AB26" i="81"/>
  <c r="AC26" i="81"/>
  <c r="AD26" i="81"/>
  <c r="AE26" i="81"/>
  <c r="AF26" i="81"/>
  <c r="AG26" i="81"/>
  <c r="AH26" i="81"/>
  <c r="AI26" i="81"/>
  <c r="AJ26" i="81"/>
  <c r="AK26" i="81"/>
  <c r="AL26" i="81"/>
  <c r="AM26" i="81"/>
  <c r="AN26" i="81"/>
  <c r="AO26" i="81"/>
  <c r="AP26" i="81"/>
  <c r="AQ26" i="81"/>
  <c r="B27" i="81"/>
  <c r="C27" i="81"/>
  <c r="D27" i="81"/>
  <c r="E27" i="81"/>
  <c r="F27" i="81"/>
  <c r="G27" i="81"/>
  <c r="H27" i="81"/>
  <c r="I27" i="81"/>
  <c r="J27" i="81"/>
  <c r="K27" i="81"/>
  <c r="L27" i="81"/>
  <c r="M27" i="81"/>
  <c r="N27" i="81"/>
  <c r="O27" i="81"/>
  <c r="P27" i="81"/>
  <c r="Q27" i="81"/>
  <c r="R27" i="81"/>
  <c r="S27" i="81"/>
  <c r="T27" i="81"/>
  <c r="U27" i="81"/>
  <c r="V27" i="81"/>
  <c r="W27" i="81"/>
  <c r="X27" i="81"/>
  <c r="Y27" i="81"/>
  <c r="Z27" i="81"/>
  <c r="AA27" i="81"/>
  <c r="AB27" i="81"/>
  <c r="AC27" i="81"/>
  <c r="AD27" i="81"/>
  <c r="AE27" i="81"/>
  <c r="AF27" i="81"/>
  <c r="AG27" i="81"/>
  <c r="AH27" i="81"/>
  <c r="AI27" i="81"/>
  <c r="AJ27" i="81"/>
  <c r="AK27" i="81"/>
  <c r="AL27" i="81"/>
  <c r="AM27" i="81"/>
  <c r="AN27" i="81"/>
  <c r="AO27" i="81"/>
  <c r="AP27" i="81"/>
  <c r="AQ27" i="81"/>
  <c r="B28" i="81"/>
  <c r="C28" i="81"/>
  <c r="D28" i="81"/>
  <c r="E28" i="81"/>
  <c r="F28" i="81"/>
  <c r="G28" i="81"/>
  <c r="H28" i="81"/>
  <c r="I28" i="81"/>
  <c r="J28" i="81"/>
  <c r="K28" i="81"/>
  <c r="L28" i="81"/>
  <c r="M28" i="81"/>
  <c r="N28" i="81"/>
  <c r="O28" i="81"/>
  <c r="P28" i="81"/>
  <c r="Q28" i="81"/>
  <c r="R28" i="81"/>
  <c r="S28" i="81"/>
  <c r="T28" i="81"/>
  <c r="U28" i="81"/>
  <c r="V28" i="81"/>
  <c r="W28" i="81"/>
  <c r="X28" i="81"/>
  <c r="Y28" i="81"/>
  <c r="Z28" i="81"/>
  <c r="AA28" i="81"/>
  <c r="AB28" i="81"/>
  <c r="AC28" i="81"/>
  <c r="AD28" i="81"/>
  <c r="AE28" i="81"/>
  <c r="AF28" i="81"/>
  <c r="AG28" i="81"/>
  <c r="AH28" i="81"/>
  <c r="AI28" i="81"/>
  <c r="AJ28" i="81"/>
  <c r="AK28" i="81"/>
  <c r="AL28" i="81"/>
  <c r="AM28" i="81"/>
  <c r="AN28" i="81"/>
  <c r="AO28" i="81"/>
  <c r="AP28" i="81"/>
  <c r="AQ28" i="81"/>
  <c r="B29" i="81"/>
  <c r="C29" i="81"/>
  <c r="D29" i="81"/>
  <c r="E29" i="81"/>
  <c r="F29" i="81"/>
  <c r="G29" i="81"/>
  <c r="H29" i="81"/>
  <c r="I29" i="81"/>
  <c r="J29" i="81"/>
  <c r="K29" i="81"/>
  <c r="L29" i="81"/>
  <c r="M29" i="81"/>
  <c r="N29" i="81"/>
  <c r="O29" i="81"/>
  <c r="P29" i="81"/>
  <c r="Q29" i="81"/>
  <c r="R29" i="81"/>
  <c r="S29" i="81"/>
  <c r="T29" i="81"/>
  <c r="U29" i="81"/>
  <c r="V29" i="81"/>
  <c r="W29" i="81"/>
  <c r="X29" i="81"/>
  <c r="Y29" i="81"/>
  <c r="Z29" i="81"/>
  <c r="AA29" i="81"/>
  <c r="AB29" i="81"/>
  <c r="AC29" i="81"/>
  <c r="AD29" i="81"/>
  <c r="AE29" i="81"/>
  <c r="AF29" i="81"/>
  <c r="AG29" i="81"/>
  <c r="AH29" i="81"/>
  <c r="AI29" i="81"/>
  <c r="AJ29" i="81"/>
  <c r="AK29" i="81"/>
  <c r="AL29" i="81"/>
  <c r="AM29" i="81"/>
  <c r="AN29" i="81"/>
  <c r="AO29" i="81"/>
  <c r="AP29" i="81"/>
  <c r="AQ29" i="81"/>
  <c r="B30" i="81"/>
  <c r="C30" i="81"/>
  <c r="D30" i="81"/>
  <c r="E30" i="81"/>
  <c r="F30" i="81"/>
  <c r="G30" i="81"/>
  <c r="H30" i="81"/>
  <c r="I30" i="81"/>
  <c r="J30" i="81"/>
  <c r="K30" i="81"/>
  <c r="L30" i="81"/>
  <c r="M30" i="81"/>
  <c r="N30" i="81"/>
  <c r="O30" i="81"/>
  <c r="P30" i="81"/>
  <c r="Q30" i="81"/>
  <c r="R30" i="81"/>
  <c r="S30" i="81"/>
  <c r="T30" i="81"/>
  <c r="U30" i="81"/>
  <c r="V30" i="81"/>
  <c r="W30" i="81"/>
  <c r="X30" i="81"/>
  <c r="Y30" i="81"/>
  <c r="Z30" i="81"/>
  <c r="AA30" i="81"/>
  <c r="AB30" i="81"/>
  <c r="AC30" i="81"/>
  <c r="AD30" i="81"/>
  <c r="AE30" i="81"/>
  <c r="AF30" i="81"/>
  <c r="AG30" i="81"/>
  <c r="AH30" i="81"/>
  <c r="AI30" i="81"/>
  <c r="AJ30" i="81"/>
  <c r="AK30" i="81"/>
  <c r="AL30" i="81"/>
  <c r="AM30" i="81"/>
  <c r="AN30" i="81"/>
  <c r="AO30" i="81"/>
  <c r="AP30" i="81"/>
  <c r="AQ30" i="81"/>
  <c r="B31" i="81"/>
  <c r="C31" i="81"/>
  <c r="D31" i="81"/>
  <c r="E31" i="81"/>
  <c r="F31" i="81"/>
  <c r="G31" i="81"/>
  <c r="H31" i="81"/>
  <c r="I31" i="81"/>
  <c r="J31" i="81"/>
  <c r="K31" i="81"/>
  <c r="L31" i="81"/>
  <c r="M31" i="81"/>
  <c r="N31" i="81"/>
  <c r="O31" i="81"/>
  <c r="P31" i="81"/>
  <c r="Q31" i="81"/>
  <c r="R31" i="81"/>
  <c r="S31" i="81"/>
  <c r="T31" i="81"/>
  <c r="U31" i="81"/>
  <c r="V31" i="81"/>
  <c r="W31" i="81"/>
  <c r="X31" i="81"/>
  <c r="Y31" i="81"/>
  <c r="Z31" i="81"/>
  <c r="AA31" i="81"/>
  <c r="AB31" i="81"/>
  <c r="AC31" i="81"/>
  <c r="AD31" i="81"/>
  <c r="AE31" i="81"/>
  <c r="AF31" i="81"/>
  <c r="AG31" i="81"/>
  <c r="AH31" i="81"/>
  <c r="AI31" i="81"/>
  <c r="AJ31" i="81"/>
  <c r="AK31" i="81"/>
  <c r="AL31" i="81"/>
  <c r="AM31" i="81"/>
  <c r="AN31" i="81"/>
  <c r="AO31" i="81"/>
  <c r="AP31" i="81"/>
  <c r="AQ31" i="81"/>
  <c r="B32" i="81"/>
  <c r="C32" i="81"/>
  <c r="D32" i="81"/>
  <c r="E32" i="81"/>
  <c r="F32" i="81"/>
  <c r="G32" i="81"/>
  <c r="H32" i="81"/>
  <c r="I32" i="81"/>
  <c r="J32" i="81"/>
  <c r="K32" i="81"/>
  <c r="L32" i="81"/>
  <c r="M32" i="81"/>
  <c r="N32" i="81"/>
  <c r="O32" i="81"/>
  <c r="P32" i="81"/>
  <c r="Q32" i="81"/>
  <c r="R32" i="81"/>
  <c r="S32" i="81"/>
  <c r="T32" i="81"/>
  <c r="U32" i="81"/>
  <c r="V32" i="81"/>
  <c r="W32" i="81"/>
  <c r="X32" i="81"/>
  <c r="Y32" i="81"/>
  <c r="Z32" i="81"/>
  <c r="AA32" i="81"/>
  <c r="AB32" i="81"/>
  <c r="AC32" i="81"/>
  <c r="AD32" i="81"/>
  <c r="AE32" i="81"/>
  <c r="AF32" i="81"/>
  <c r="AG32" i="81"/>
  <c r="AH32" i="81"/>
  <c r="AI32" i="81"/>
  <c r="AJ32" i="81"/>
  <c r="AK32" i="81"/>
  <c r="AL32" i="81"/>
  <c r="AM32" i="81"/>
  <c r="AN32" i="81"/>
  <c r="AO32" i="81"/>
  <c r="AP32" i="81"/>
  <c r="AQ32" i="81"/>
  <c r="B33" i="81"/>
  <c r="C33" i="81"/>
  <c r="D33" i="81"/>
  <c r="E33" i="81"/>
  <c r="F33" i="81"/>
  <c r="G33" i="81"/>
  <c r="H33" i="81"/>
  <c r="I33" i="81"/>
  <c r="J33" i="81"/>
  <c r="K33" i="81"/>
  <c r="L33" i="81"/>
  <c r="M33" i="81"/>
  <c r="N33" i="81"/>
  <c r="O33" i="81"/>
  <c r="P33" i="81"/>
  <c r="Q33" i="81"/>
  <c r="R33" i="81"/>
  <c r="S33" i="81"/>
  <c r="T33" i="81"/>
  <c r="U33" i="81"/>
  <c r="V33" i="81"/>
  <c r="W33" i="81"/>
  <c r="X33" i="81"/>
  <c r="Y33" i="81"/>
  <c r="Z33" i="81"/>
  <c r="AA33" i="81"/>
  <c r="AB33" i="81"/>
  <c r="AC33" i="81"/>
  <c r="AD33" i="81"/>
  <c r="AE33" i="81"/>
  <c r="AF33" i="81"/>
  <c r="AG33" i="81"/>
  <c r="AH33" i="81"/>
  <c r="AI33" i="81"/>
  <c r="AJ33" i="81"/>
  <c r="AK33" i="81"/>
  <c r="AL33" i="81"/>
  <c r="AM33" i="81"/>
  <c r="AN33" i="81"/>
  <c r="AO33" i="81"/>
  <c r="AP33" i="81"/>
  <c r="AQ33" i="81"/>
  <c r="B34" i="81"/>
  <c r="C34" i="81"/>
  <c r="D34" i="81"/>
  <c r="E34" i="81"/>
  <c r="F34" i="81"/>
  <c r="G34" i="81"/>
  <c r="H34" i="81"/>
  <c r="I34" i="81"/>
  <c r="J34" i="81"/>
  <c r="K34" i="81"/>
  <c r="L34" i="81"/>
  <c r="M34" i="81"/>
  <c r="N34" i="81"/>
  <c r="O34" i="81"/>
  <c r="P34" i="81"/>
  <c r="Q34" i="81"/>
  <c r="R34" i="81"/>
  <c r="S34" i="81"/>
  <c r="T34" i="81"/>
  <c r="U34" i="81"/>
  <c r="V34" i="81"/>
  <c r="W34" i="81"/>
  <c r="X34" i="81"/>
  <c r="Y34" i="81"/>
  <c r="Z34" i="81"/>
  <c r="AA34" i="81"/>
  <c r="AB34" i="81"/>
  <c r="AC34" i="81"/>
  <c r="AD34" i="81"/>
  <c r="AE34" i="81"/>
  <c r="AF34" i="81"/>
  <c r="AG34" i="81"/>
  <c r="AH34" i="81"/>
  <c r="AI34" i="81"/>
  <c r="AJ34" i="81"/>
  <c r="AK34" i="81"/>
  <c r="AL34" i="81"/>
  <c r="AM34" i="81"/>
  <c r="AN34" i="81"/>
  <c r="AO34" i="81"/>
  <c r="AP34" i="81"/>
  <c r="AQ34" i="81"/>
  <c r="B35" i="81"/>
  <c r="C35" i="81"/>
  <c r="D35" i="81"/>
  <c r="E35" i="81"/>
  <c r="F35" i="81"/>
  <c r="G35" i="81"/>
  <c r="H35" i="81"/>
  <c r="I35" i="81"/>
  <c r="J35" i="81"/>
  <c r="K35" i="81"/>
  <c r="L35" i="81"/>
  <c r="M35" i="81"/>
  <c r="N35" i="81"/>
  <c r="O35" i="81"/>
  <c r="P35" i="81"/>
  <c r="Q35" i="81"/>
  <c r="R35" i="81"/>
  <c r="S35" i="81"/>
  <c r="T35" i="81"/>
  <c r="U35" i="81"/>
  <c r="V35" i="81"/>
  <c r="W35" i="81"/>
  <c r="X35" i="81"/>
  <c r="Y35" i="81"/>
  <c r="Z35" i="81"/>
  <c r="AA35" i="81"/>
  <c r="AB35" i="81"/>
  <c r="AC35" i="81"/>
  <c r="AD35" i="81"/>
  <c r="AE35" i="81"/>
  <c r="AF35" i="81"/>
  <c r="AG35" i="81"/>
  <c r="AH35" i="81"/>
  <c r="AI35" i="81"/>
  <c r="AJ35" i="81"/>
  <c r="AK35" i="81"/>
  <c r="AL35" i="81"/>
  <c r="AM35" i="81"/>
  <c r="AN35" i="81"/>
  <c r="AO35" i="81"/>
  <c r="AP35" i="81"/>
  <c r="AQ35" i="81"/>
  <c r="B36" i="81"/>
  <c r="C36" i="81"/>
  <c r="D36" i="81"/>
  <c r="E36" i="81"/>
  <c r="F36" i="81"/>
  <c r="G36" i="81"/>
  <c r="H36" i="81"/>
  <c r="I36" i="81"/>
  <c r="J36" i="81"/>
  <c r="K36" i="81"/>
  <c r="L36" i="81"/>
  <c r="M36" i="81"/>
  <c r="N36" i="81"/>
  <c r="O36" i="81"/>
  <c r="P36" i="81"/>
  <c r="Q36" i="81"/>
  <c r="R36" i="81"/>
  <c r="S36" i="81"/>
  <c r="T36" i="81"/>
  <c r="U36" i="81"/>
  <c r="V36" i="81"/>
  <c r="W36" i="81"/>
  <c r="X36" i="81"/>
  <c r="Y36" i="81"/>
  <c r="Z36" i="81"/>
  <c r="AA36" i="81"/>
  <c r="AB36" i="81"/>
  <c r="AC36" i="81"/>
  <c r="AD36" i="81"/>
  <c r="AE36" i="81"/>
  <c r="AF36" i="81"/>
  <c r="AG36" i="81"/>
  <c r="AH36" i="81"/>
  <c r="AI36" i="81"/>
  <c r="AJ36" i="81"/>
  <c r="AK36" i="81"/>
  <c r="AL36" i="81"/>
  <c r="AM36" i="81"/>
  <c r="AN36" i="81"/>
  <c r="AO36" i="81"/>
  <c r="AP36" i="81"/>
  <c r="AQ36" i="81"/>
  <c r="B37" i="81"/>
  <c r="C37" i="81"/>
  <c r="D37" i="81"/>
  <c r="E37" i="81"/>
  <c r="F37" i="81"/>
  <c r="G37" i="81"/>
  <c r="H37" i="81"/>
  <c r="I37" i="81"/>
  <c r="J37" i="81"/>
  <c r="K37" i="81"/>
  <c r="L37" i="81"/>
  <c r="M37" i="81"/>
  <c r="N37" i="81"/>
  <c r="O37" i="81"/>
  <c r="P37" i="81"/>
  <c r="Q37" i="81"/>
  <c r="R37" i="81"/>
  <c r="S37" i="81"/>
  <c r="T37" i="81"/>
  <c r="U37" i="81"/>
  <c r="V37" i="81"/>
  <c r="W37" i="81"/>
  <c r="X37" i="81"/>
  <c r="Y37" i="81"/>
  <c r="Z37" i="81"/>
  <c r="AA37" i="81"/>
  <c r="AB37" i="81"/>
  <c r="AC37" i="81"/>
  <c r="AD37" i="81"/>
  <c r="AE37" i="81"/>
  <c r="AF37" i="81"/>
  <c r="AG37" i="81"/>
  <c r="AH37" i="81"/>
  <c r="AI37" i="81"/>
  <c r="AJ37" i="81"/>
  <c r="AK37" i="81"/>
  <c r="AL37" i="81"/>
  <c r="AM37" i="81"/>
  <c r="AN37" i="81"/>
  <c r="AO37" i="81"/>
  <c r="AP37" i="81"/>
  <c r="AQ37" i="81"/>
  <c r="B38" i="81"/>
  <c r="C38" i="81"/>
  <c r="D38" i="81"/>
  <c r="E38" i="81"/>
  <c r="F38" i="81"/>
  <c r="G38" i="81"/>
  <c r="H38" i="81"/>
  <c r="I38" i="81"/>
  <c r="J38" i="81"/>
  <c r="K38" i="81"/>
  <c r="L38" i="81"/>
  <c r="M38" i="81"/>
  <c r="N38" i="81"/>
  <c r="O38" i="81"/>
  <c r="P38" i="81"/>
  <c r="Q38" i="81"/>
  <c r="R38" i="81"/>
  <c r="S38" i="81"/>
  <c r="T38" i="81"/>
  <c r="U38" i="81"/>
  <c r="V38" i="81"/>
  <c r="W38" i="81"/>
  <c r="X38" i="81"/>
  <c r="Y38" i="81"/>
  <c r="Z38" i="81"/>
  <c r="AA38" i="81"/>
  <c r="AB38" i="81"/>
  <c r="AC38" i="81"/>
  <c r="AD38" i="81"/>
  <c r="AE38" i="81"/>
  <c r="AF38" i="81"/>
  <c r="AG38" i="81"/>
  <c r="AH38" i="81"/>
  <c r="AI38" i="81"/>
  <c r="AJ38" i="81"/>
  <c r="AK38" i="81"/>
  <c r="AL38" i="81"/>
  <c r="AM38" i="81"/>
  <c r="AN38" i="81"/>
  <c r="AO38" i="81"/>
  <c r="AP38" i="81"/>
  <c r="AQ38" i="81"/>
  <c r="B39" i="81"/>
  <c r="C39" i="81"/>
  <c r="D39" i="81"/>
  <c r="E39" i="81"/>
  <c r="F39" i="81"/>
  <c r="G39" i="81"/>
  <c r="H39" i="81"/>
  <c r="I39" i="81"/>
  <c r="J39" i="81"/>
  <c r="K39" i="81"/>
  <c r="L39" i="81"/>
  <c r="M39" i="81"/>
  <c r="N39" i="81"/>
  <c r="O39" i="81"/>
  <c r="P39" i="81"/>
  <c r="Q39" i="81"/>
  <c r="R39" i="81"/>
  <c r="S39" i="81"/>
  <c r="T39" i="81"/>
  <c r="U39" i="81"/>
  <c r="V39" i="81"/>
  <c r="W39" i="81"/>
  <c r="X39" i="81"/>
  <c r="Y39" i="81"/>
  <c r="Z39" i="81"/>
  <c r="AA39" i="81"/>
  <c r="AB39" i="81"/>
  <c r="AC39" i="81"/>
  <c r="AD39" i="81"/>
  <c r="AE39" i="81"/>
  <c r="AF39" i="81"/>
  <c r="AG39" i="81"/>
  <c r="AH39" i="81"/>
  <c r="AI39" i="81"/>
  <c r="AJ39" i="81"/>
  <c r="AK39" i="81"/>
  <c r="AL39" i="81"/>
  <c r="AM39" i="81"/>
  <c r="AN39" i="81"/>
  <c r="AO39" i="81"/>
  <c r="AP39" i="81"/>
  <c r="AQ39" i="81"/>
  <c r="B40" i="81"/>
  <c r="C40" i="81"/>
  <c r="D40" i="81"/>
  <c r="E40" i="81"/>
  <c r="F40" i="81"/>
  <c r="G40" i="81"/>
  <c r="H40" i="81"/>
  <c r="I40" i="81"/>
  <c r="J40" i="81"/>
  <c r="K40" i="81"/>
  <c r="L40" i="81"/>
  <c r="M40" i="81"/>
  <c r="N40" i="81"/>
  <c r="O40" i="81"/>
  <c r="P40" i="81"/>
  <c r="Q40" i="81"/>
  <c r="R40" i="81"/>
  <c r="S40" i="81"/>
  <c r="T40" i="81"/>
  <c r="U40" i="81"/>
  <c r="V40" i="81"/>
  <c r="W40" i="81"/>
  <c r="X40" i="81"/>
  <c r="Y40" i="81"/>
  <c r="Z40" i="81"/>
  <c r="AA40" i="81"/>
  <c r="AB40" i="81"/>
  <c r="AC40" i="81"/>
  <c r="AD40" i="81"/>
  <c r="AE40" i="81"/>
  <c r="AF40" i="81"/>
  <c r="AG40" i="81"/>
  <c r="AH40" i="81"/>
  <c r="AI40" i="81"/>
  <c r="AJ40" i="81"/>
  <c r="AK40" i="81"/>
  <c r="AL40" i="81"/>
  <c r="AM40" i="81"/>
  <c r="AN40" i="81"/>
  <c r="AO40" i="81"/>
  <c r="AP40" i="81"/>
  <c r="AQ40" i="81"/>
  <c r="B41" i="81"/>
  <c r="C41" i="81"/>
  <c r="D41" i="81"/>
  <c r="E41" i="81"/>
  <c r="F41" i="81"/>
  <c r="G41" i="81"/>
  <c r="H41" i="81"/>
  <c r="I41" i="81"/>
  <c r="J41" i="81"/>
  <c r="K41" i="81"/>
  <c r="L41" i="81"/>
  <c r="M41" i="81"/>
  <c r="N41" i="81"/>
  <c r="O41" i="81"/>
  <c r="P41" i="81"/>
  <c r="Q41" i="81"/>
  <c r="R41" i="81"/>
  <c r="S41" i="81"/>
  <c r="T41" i="81"/>
  <c r="U41" i="81"/>
  <c r="V41" i="81"/>
  <c r="W41" i="81"/>
  <c r="X41" i="81"/>
  <c r="Y41" i="81"/>
  <c r="Z41" i="81"/>
  <c r="AA41" i="81"/>
  <c r="AB41" i="81"/>
  <c r="AC41" i="81"/>
  <c r="AD41" i="81"/>
  <c r="AE41" i="81"/>
  <c r="AF41" i="81"/>
  <c r="AG41" i="81"/>
  <c r="AH41" i="81"/>
  <c r="AI41" i="81"/>
  <c r="AJ41" i="81"/>
  <c r="AK41" i="81"/>
  <c r="AL41" i="81"/>
  <c r="AM41" i="81"/>
  <c r="AN41" i="81"/>
  <c r="AO41" i="81"/>
  <c r="AP41" i="81"/>
  <c r="AQ41" i="81"/>
  <c r="B42" i="81"/>
  <c r="C42" i="81"/>
  <c r="D42" i="81"/>
  <c r="E42" i="81"/>
  <c r="F42" i="81"/>
  <c r="G42" i="81"/>
  <c r="H42" i="81"/>
  <c r="I42" i="81"/>
  <c r="J42" i="81"/>
  <c r="K42" i="81"/>
  <c r="L42" i="81"/>
  <c r="M42" i="81"/>
  <c r="N42" i="81"/>
  <c r="O42" i="81"/>
  <c r="P42" i="81"/>
  <c r="Q42" i="81"/>
  <c r="R42" i="81"/>
  <c r="S42" i="81"/>
  <c r="T42" i="81"/>
  <c r="U42" i="81"/>
  <c r="V42" i="81"/>
  <c r="W42" i="81"/>
  <c r="X42" i="81"/>
  <c r="Y42" i="81"/>
  <c r="Z42" i="81"/>
  <c r="AA42" i="81"/>
  <c r="AB42" i="81"/>
  <c r="AC42" i="81"/>
  <c r="AD42" i="81"/>
  <c r="AE42" i="81"/>
  <c r="AF42" i="81"/>
  <c r="AG42" i="81"/>
  <c r="AH42" i="81"/>
  <c r="AI42" i="81"/>
  <c r="AJ42" i="81"/>
  <c r="AK42" i="81"/>
  <c r="AL42" i="81"/>
  <c r="AM42" i="81"/>
  <c r="AN42" i="81"/>
  <c r="AO42" i="81"/>
  <c r="AP42" i="81"/>
  <c r="AQ42" i="81"/>
  <c r="B43" i="81"/>
  <c r="C43" i="81"/>
  <c r="D43" i="81"/>
  <c r="E43" i="81"/>
  <c r="F43" i="81"/>
  <c r="G43" i="81"/>
  <c r="H43" i="81"/>
  <c r="I43" i="81"/>
  <c r="J43" i="81"/>
  <c r="K43" i="81"/>
  <c r="L43" i="81"/>
  <c r="M43" i="81"/>
  <c r="N43" i="81"/>
  <c r="O43" i="81"/>
  <c r="P43" i="81"/>
  <c r="Q43" i="81"/>
  <c r="R43" i="81"/>
  <c r="S43" i="81"/>
  <c r="T43" i="81"/>
  <c r="U43" i="81"/>
  <c r="V43" i="81"/>
  <c r="W43" i="81"/>
  <c r="X43" i="81"/>
  <c r="Y43" i="81"/>
  <c r="Z43" i="81"/>
  <c r="AA43" i="81"/>
  <c r="AB43" i="81"/>
  <c r="AC43" i="81"/>
  <c r="AD43" i="81"/>
  <c r="AE43" i="81"/>
  <c r="AF43" i="81"/>
  <c r="AG43" i="81"/>
  <c r="AH43" i="81"/>
  <c r="AI43" i="81"/>
  <c r="AJ43" i="81"/>
  <c r="AK43" i="81"/>
  <c r="AL43" i="81"/>
  <c r="AM43" i="81"/>
  <c r="AN43" i="81"/>
  <c r="AO43" i="81"/>
  <c r="AP43" i="81"/>
  <c r="AQ43" i="81"/>
  <c r="B44" i="81"/>
  <c r="C44" i="81"/>
  <c r="D44" i="81"/>
  <c r="E44" i="81"/>
  <c r="F44" i="81"/>
  <c r="G44" i="81"/>
  <c r="H44" i="81"/>
  <c r="I44" i="81"/>
  <c r="J44" i="81"/>
  <c r="K44" i="81"/>
  <c r="L44" i="81"/>
  <c r="M44" i="81"/>
  <c r="N44" i="81"/>
  <c r="O44" i="81"/>
  <c r="P44" i="81"/>
  <c r="Q44" i="81"/>
  <c r="R44" i="81"/>
  <c r="S44" i="81"/>
  <c r="T44" i="81"/>
  <c r="U44" i="81"/>
  <c r="V44" i="81"/>
  <c r="W44" i="81"/>
  <c r="X44" i="81"/>
  <c r="Y44" i="81"/>
  <c r="Z44" i="81"/>
  <c r="AA44" i="81"/>
  <c r="AB44" i="81"/>
  <c r="AC44" i="81"/>
  <c r="AD44" i="81"/>
  <c r="AE44" i="81"/>
  <c r="AF44" i="81"/>
  <c r="AG44" i="81"/>
  <c r="AH44" i="81"/>
  <c r="AI44" i="81"/>
  <c r="AJ44" i="81"/>
  <c r="AK44" i="81"/>
  <c r="AL44" i="81"/>
  <c r="AM44" i="81"/>
  <c r="AN44" i="81"/>
  <c r="AO44" i="81"/>
  <c r="AP44" i="81"/>
  <c r="AQ44" i="81"/>
  <c r="B45" i="81"/>
  <c r="C45" i="81"/>
  <c r="D45" i="81"/>
  <c r="E45" i="81"/>
  <c r="F45" i="81"/>
  <c r="G45" i="81"/>
  <c r="H45" i="81"/>
  <c r="I45" i="81"/>
  <c r="J45" i="81"/>
  <c r="K45" i="81"/>
  <c r="L45" i="81"/>
  <c r="M45" i="81"/>
  <c r="N45" i="81"/>
  <c r="O45" i="81"/>
  <c r="P45" i="81"/>
  <c r="Q45" i="81"/>
  <c r="R45" i="81"/>
  <c r="S45" i="81"/>
  <c r="T45" i="81"/>
  <c r="U45" i="81"/>
  <c r="V45" i="81"/>
  <c r="W45" i="81"/>
  <c r="X45" i="81"/>
  <c r="Y45" i="81"/>
  <c r="Z45" i="81"/>
  <c r="AA45" i="81"/>
  <c r="AB45" i="81"/>
  <c r="AC45" i="81"/>
  <c r="AD45" i="81"/>
  <c r="AE45" i="81"/>
  <c r="AF45" i="81"/>
  <c r="AG45" i="81"/>
  <c r="AH45" i="81"/>
  <c r="AI45" i="81"/>
  <c r="AJ45" i="81"/>
  <c r="AK45" i="81"/>
  <c r="AL45" i="81"/>
  <c r="AM45" i="81"/>
  <c r="AN45" i="81"/>
  <c r="AO45" i="81"/>
  <c r="AP45" i="81"/>
  <c r="AQ45" i="81"/>
  <c r="B46" i="81"/>
  <c r="C46" i="81"/>
  <c r="D46" i="81"/>
  <c r="E46" i="81"/>
  <c r="F46" i="81"/>
  <c r="G46" i="81"/>
  <c r="H46" i="81"/>
  <c r="I46" i="81"/>
  <c r="J46" i="81"/>
  <c r="K46" i="81"/>
  <c r="L46" i="81"/>
  <c r="M46" i="81"/>
  <c r="N46" i="81"/>
  <c r="O46" i="81"/>
  <c r="P46" i="81"/>
  <c r="Q46" i="81"/>
  <c r="R46" i="81"/>
  <c r="S46" i="81"/>
  <c r="T46" i="81"/>
  <c r="U46" i="81"/>
  <c r="V46" i="81"/>
  <c r="W46" i="81"/>
  <c r="X46" i="81"/>
  <c r="Y46" i="81"/>
  <c r="Z46" i="81"/>
  <c r="AA46" i="81"/>
  <c r="AB46" i="81"/>
  <c r="AC46" i="81"/>
  <c r="AD46" i="81"/>
  <c r="AE46" i="81"/>
  <c r="AF46" i="81"/>
  <c r="AG46" i="81"/>
  <c r="AH46" i="81"/>
  <c r="AI46" i="81"/>
  <c r="AJ46" i="81"/>
  <c r="AK46" i="81"/>
  <c r="AL46" i="81"/>
  <c r="AM46" i="81"/>
  <c r="AN46" i="81"/>
  <c r="AO46" i="81"/>
  <c r="AP46" i="81"/>
  <c r="AQ46" i="81"/>
  <c r="B47" i="81"/>
  <c r="C47" i="81"/>
  <c r="D47" i="81"/>
  <c r="E47" i="81"/>
  <c r="F47" i="81"/>
  <c r="G47" i="81"/>
  <c r="H47" i="81"/>
  <c r="I47" i="81"/>
  <c r="J47" i="81"/>
  <c r="K47" i="81"/>
  <c r="L47" i="81"/>
  <c r="M47" i="81"/>
  <c r="N47" i="81"/>
  <c r="O47" i="81"/>
  <c r="P47" i="81"/>
  <c r="Q47" i="81"/>
  <c r="R47" i="81"/>
  <c r="S47" i="81"/>
  <c r="T47" i="81"/>
  <c r="U47" i="81"/>
  <c r="V47" i="81"/>
  <c r="W47" i="81"/>
  <c r="X47" i="81"/>
  <c r="Y47" i="81"/>
  <c r="Z47" i="81"/>
  <c r="AA47" i="81"/>
  <c r="AB47" i="81"/>
  <c r="AC47" i="81"/>
  <c r="AD47" i="81"/>
  <c r="AE47" i="81"/>
  <c r="AF47" i="81"/>
  <c r="AG47" i="81"/>
  <c r="AH47" i="81"/>
  <c r="AI47" i="81"/>
  <c r="AJ47" i="81"/>
  <c r="AK47" i="81"/>
  <c r="AL47" i="81"/>
  <c r="AM47" i="81"/>
  <c r="AN47" i="81"/>
  <c r="AO47" i="81"/>
  <c r="AP47" i="81"/>
  <c r="AQ47" i="81"/>
  <c r="B48" i="81"/>
  <c r="C48" i="81"/>
  <c r="D48" i="81"/>
  <c r="E48" i="81"/>
  <c r="F48" i="81"/>
  <c r="G48" i="81"/>
  <c r="H48" i="81"/>
  <c r="I48" i="81"/>
  <c r="J48" i="81"/>
  <c r="K48" i="81"/>
  <c r="L48" i="81"/>
  <c r="M48" i="81"/>
  <c r="N48" i="81"/>
  <c r="O48" i="81"/>
  <c r="P48" i="81"/>
  <c r="Q48" i="81"/>
  <c r="R48" i="81"/>
  <c r="S48" i="81"/>
  <c r="T48" i="81"/>
  <c r="U48" i="81"/>
  <c r="V48" i="81"/>
  <c r="W48" i="81"/>
  <c r="X48" i="81"/>
  <c r="Y48" i="81"/>
  <c r="Z48" i="81"/>
  <c r="AA48" i="81"/>
  <c r="AB48" i="81"/>
  <c r="AC48" i="81"/>
  <c r="AD48" i="81"/>
  <c r="AE48" i="81"/>
  <c r="AF48" i="81"/>
  <c r="AG48" i="81"/>
  <c r="AH48" i="81"/>
  <c r="AI48" i="81"/>
  <c r="AJ48" i="81"/>
  <c r="AK48" i="81"/>
  <c r="AL48" i="81"/>
  <c r="AM48" i="81"/>
  <c r="AN48" i="81"/>
  <c r="AO48" i="81"/>
  <c r="AP48" i="81"/>
  <c r="AQ48" i="81"/>
  <c r="B49" i="81"/>
  <c r="C49" i="81"/>
  <c r="D49" i="81"/>
  <c r="E49" i="81"/>
  <c r="F49" i="81"/>
  <c r="G49" i="81"/>
  <c r="H49" i="81"/>
  <c r="I49" i="81"/>
  <c r="J49" i="81"/>
  <c r="K49" i="81"/>
  <c r="L49" i="81"/>
  <c r="M49" i="81"/>
  <c r="N49" i="81"/>
  <c r="O49" i="81"/>
  <c r="P49" i="81"/>
  <c r="Q49" i="81"/>
  <c r="R49" i="81"/>
  <c r="S49" i="81"/>
  <c r="T49" i="81"/>
  <c r="U49" i="81"/>
  <c r="V49" i="81"/>
  <c r="W49" i="81"/>
  <c r="X49" i="81"/>
  <c r="Y49" i="81"/>
  <c r="Z49" i="81"/>
  <c r="AA49" i="81"/>
  <c r="AB49" i="81"/>
  <c r="AC49" i="81"/>
  <c r="AD49" i="81"/>
  <c r="AE49" i="81"/>
  <c r="AF49" i="81"/>
  <c r="AG49" i="81"/>
  <c r="AH49" i="81"/>
  <c r="AI49" i="81"/>
  <c r="AJ49" i="81"/>
  <c r="AK49" i="81"/>
  <c r="AL49" i="81"/>
  <c r="AM49" i="81"/>
  <c r="AN49" i="81"/>
  <c r="AO49" i="81"/>
  <c r="AP49" i="81"/>
  <c r="AQ49" i="81"/>
  <c r="B50" i="81"/>
  <c r="C50" i="81"/>
  <c r="D50" i="81"/>
  <c r="E50" i="81"/>
  <c r="F50" i="81"/>
  <c r="G50" i="81"/>
  <c r="H50" i="81"/>
  <c r="I50" i="81"/>
  <c r="J50" i="81"/>
  <c r="K50" i="81"/>
  <c r="L50" i="81"/>
  <c r="M50" i="81"/>
  <c r="N50" i="81"/>
  <c r="O50" i="81"/>
  <c r="P50" i="81"/>
  <c r="Q50" i="81"/>
  <c r="R50" i="81"/>
  <c r="S50" i="81"/>
  <c r="T50" i="81"/>
  <c r="U50" i="81"/>
  <c r="V50" i="81"/>
  <c r="W50" i="81"/>
  <c r="X50" i="81"/>
  <c r="Y50" i="81"/>
  <c r="Z50" i="81"/>
  <c r="AA50" i="81"/>
  <c r="AB50" i="81"/>
  <c r="AC50" i="81"/>
  <c r="AD50" i="81"/>
  <c r="AE50" i="81"/>
  <c r="AF50" i="81"/>
  <c r="AG50" i="81"/>
  <c r="AH50" i="81"/>
  <c r="AI50" i="81"/>
  <c r="AJ50" i="81"/>
  <c r="AK50" i="81"/>
  <c r="AL50" i="81"/>
  <c r="AM50" i="81"/>
  <c r="AN50" i="81"/>
  <c r="AO50" i="81"/>
  <c r="AP50" i="81"/>
  <c r="AQ50" i="81"/>
  <c r="B51" i="81"/>
  <c r="C51" i="81"/>
  <c r="D51" i="81"/>
  <c r="E51" i="81"/>
  <c r="F51" i="81"/>
  <c r="G51" i="81"/>
  <c r="H51" i="81"/>
  <c r="I51" i="81"/>
  <c r="J51" i="81"/>
  <c r="K51" i="81"/>
  <c r="L51" i="81"/>
  <c r="M51" i="81"/>
  <c r="N51" i="81"/>
  <c r="O51" i="81"/>
  <c r="P51" i="81"/>
  <c r="Q51" i="81"/>
  <c r="R51" i="81"/>
  <c r="S51" i="81"/>
  <c r="T51" i="81"/>
  <c r="U51" i="81"/>
  <c r="V51" i="81"/>
  <c r="W51" i="81"/>
  <c r="X51" i="81"/>
  <c r="Y51" i="81"/>
  <c r="Z51" i="81"/>
  <c r="AA51" i="81"/>
  <c r="AB51" i="81"/>
  <c r="AC51" i="81"/>
  <c r="AD51" i="81"/>
  <c r="AE51" i="81"/>
  <c r="AF51" i="81"/>
  <c r="AG51" i="81"/>
  <c r="AH51" i="81"/>
  <c r="AI51" i="81"/>
  <c r="AJ51" i="81"/>
  <c r="AK51" i="81"/>
  <c r="AL51" i="81"/>
  <c r="AM51" i="81"/>
  <c r="AN51" i="81"/>
  <c r="AO51" i="81"/>
  <c r="AP51" i="81"/>
  <c r="AQ51" i="81"/>
  <c r="B52" i="81"/>
  <c r="C52" i="81"/>
  <c r="D52" i="81"/>
  <c r="E52" i="81"/>
  <c r="F52" i="81"/>
  <c r="G52" i="81"/>
  <c r="H52" i="81"/>
  <c r="I52" i="81"/>
  <c r="J52" i="81"/>
  <c r="K52" i="81"/>
  <c r="L52" i="81"/>
  <c r="M52" i="81"/>
  <c r="N52" i="81"/>
  <c r="O52" i="81"/>
  <c r="P52" i="81"/>
  <c r="Q52" i="81"/>
  <c r="R52" i="81"/>
  <c r="S52" i="81"/>
  <c r="T52" i="81"/>
  <c r="U52" i="81"/>
  <c r="V52" i="81"/>
  <c r="W52" i="81"/>
  <c r="X52" i="81"/>
  <c r="Y52" i="81"/>
  <c r="Z52" i="81"/>
  <c r="AA52" i="81"/>
  <c r="AB52" i="81"/>
  <c r="AC52" i="81"/>
  <c r="AD52" i="81"/>
  <c r="AE52" i="81"/>
  <c r="AF52" i="81"/>
  <c r="AG52" i="81"/>
  <c r="AH52" i="81"/>
  <c r="AI52" i="81"/>
  <c r="AJ52" i="81"/>
  <c r="AK52" i="81"/>
  <c r="AL52" i="81"/>
  <c r="AM52" i="81"/>
  <c r="AN52" i="81"/>
  <c r="AO52" i="81"/>
  <c r="AP52" i="81"/>
  <c r="AQ52" i="81"/>
  <c r="B53" i="81"/>
  <c r="C53" i="81"/>
  <c r="D53" i="81"/>
  <c r="E53" i="81"/>
  <c r="F53" i="81"/>
  <c r="G53" i="81"/>
  <c r="H53" i="81"/>
  <c r="I53" i="81"/>
  <c r="J53" i="81"/>
  <c r="K53" i="81"/>
  <c r="L53" i="81"/>
  <c r="M53" i="81"/>
  <c r="N53" i="81"/>
  <c r="O53" i="81"/>
  <c r="P53" i="81"/>
  <c r="Q53" i="81"/>
  <c r="R53" i="81"/>
  <c r="S53" i="81"/>
  <c r="T53" i="81"/>
  <c r="U53" i="81"/>
  <c r="V53" i="81"/>
  <c r="W53" i="81"/>
  <c r="X53" i="81"/>
  <c r="Y53" i="81"/>
  <c r="Z53" i="81"/>
  <c r="AA53" i="81"/>
  <c r="AB53" i="81"/>
  <c r="AC53" i="81"/>
  <c r="AD53" i="81"/>
  <c r="AE53" i="81"/>
  <c r="AF53" i="81"/>
  <c r="AG53" i="81"/>
  <c r="AH53" i="81"/>
  <c r="AI53" i="81"/>
  <c r="AJ53" i="81"/>
  <c r="AK53" i="81"/>
  <c r="AL53" i="81"/>
  <c r="AM53" i="81"/>
  <c r="AN53" i="81"/>
  <c r="AO53" i="81"/>
  <c r="AP53" i="81"/>
  <c r="AQ53" i="81"/>
  <c r="B54" i="81"/>
  <c r="C54" i="81"/>
  <c r="D54" i="81"/>
  <c r="E54" i="81"/>
  <c r="F54" i="81"/>
  <c r="G54" i="81"/>
  <c r="H54" i="81"/>
  <c r="I54" i="81"/>
  <c r="J54" i="81"/>
  <c r="K54" i="81"/>
  <c r="L54" i="81"/>
  <c r="M54" i="81"/>
  <c r="N54" i="81"/>
  <c r="O54" i="81"/>
  <c r="P54" i="81"/>
  <c r="Q54" i="81"/>
  <c r="R54" i="81"/>
  <c r="S54" i="81"/>
  <c r="T54" i="81"/>
  <c r="U54" i="81"/>
  <c r="V54" i="81"/>
  <c r="W54" i="81"/>
  <c r="X54" i="81"/>
  <c r="Y54" i="81"/>
  <c r="Z54" i="81"/>
  <c r="AA54" i="81"/>
  <c r="AB54" i="81"/>
  <c r="AC54" i="81"/>
  <c r="AD54" i="81"/>
  <c r="AE54" i="81"/>
  <c r="AF54" i="81"/>
  <c r="AG54" i="81"/>
  <c r="AH54" i="81"/>
  <c r="AI54" i="81"/>
  <c r="AJ54" i="81"/>
  <c r="AK54" i="81"/>
  <c r="AL54" i="81"/>
  <c r="AM54" i="81"/>
  <c r="AN54" i="81"/>
  <c r="AO54" i="81"/>
  <c r="AP54" i="81"/>
  <c r="AQ54" i="81"/>
  <c r="B55" i="81"/>
  <c r="C55" i="81"/>
  <c r="D55" i="81"/>
  <c r="E55" i="81"/>
  <c r="F55" i="81"/>
  <c r="G55" i="81"/>
  <c r="H55" i="81"/>
  <c r="I55" i="81"/>
  <c r="J55" i="81"/>
  <c r="K55" i="81"/>
  <c r="L55" i="81"/>
  <c r="M55" i="81"/>
  <c r="N55" i="81"/>
  <c r="O55" i="81"/>
  <c r="P55" i="81"/>
  <c r="Q55" i="81"/>
  <c r="R55" i="81"/>
  <c r="S55" i="81"/>
  <c r="T55" i="81"/>
  <c r="U55" i="81"/>
  <c r="V55" i="81"/>
  <c r="W55" i="81"/>
  <c r="X55" i="81"/>
  <c r="Y55" i="81"/>
  <c r="Z55" i="81"/>
  <c r="AA55" i="81"/>
  <c r="AB55" i="81"/>
  <c r="AC55" i="81"/>
  <c r="AD55" i="81"/>
  <c r="AE55" i="81"/>
  <c r="AF55" i="81"/>
  <c r="AG55" i="81"/>
  <c r="AH55" i="81"/>
  <c r="AI55" i="81"/>
  <c r="AJ55" i="81"/>
  <c r="AK55" i="81"/>
  <c r="AL55" i="81"/>
  <c r="AM55" i="81"/>
  <c r="AN55" i="81"/>
  <c r="AO55" i="81"/>
  <c r="AP55" i="81"/>
  <c r="AQ55" i="81"/>
  <c r="B56" i="81"/>
  <c r="C56" i="81"/>
  <c r="D56" i="81"/>
  <c r="E56" i="81"/>
  <c r="F56" i="81"/>
  <c r="G56" i="81"/>
  <c r="H56" i="81"/>
  <c r="I56" i="81"/>
  <c r="J56" i="81"/>
  <c r="K56" i="81"/>
  <c r="L56" i="81"/>
  <c r="M56" i="81"/>
  <c r="N56" i="81"/>
  <c r="O56" i="81"/>
  <c r="P56" i="81"/>
  <c r="Q56" i="81"/>
  <c r="R56" i="81"/>
  <c r="S56" i="81"/>
  <c r="T56" i="81"/>
  <c r="U56" i="81"/>
  <c r="V56" i="81"/>
  <c r="W56" i="81"/>
  <c r="X56" i="81"/>
  <c r="Y56" i="81"/>
  <c r="Z56" i="81"/>
  <c r="AA56" i="81"/>
  <c r="AB56" i="81"/>
  <c r="AC56" i="81"/>
  <c r="AD56" i="81"/>
  <c r="AE56" i="81"/>
  <c r="AF56" i="81"/>
  <c r="AG56" i="81"/>
  <c r="AH56" i="81"/>
  <c r="AI56" i="81"/>
  <c r="AJ56" i="81"/>
  <c r="AK56" i="81"/>
  <c r="AL56" i="81"/>
  <c r="AM56" i="81"/>
  <c r="AN56" i="81"/>
  <c r="AO56" i="81"/>
  <c r="AP56" i="81"/>
  <c r="AQ56" i="81"/>
  <c r="B57" i="81"/>
  <c r="C57" i="81"/>
  <c r="D57" i="81"/>
  <c r="E57" i="81"/>
  <c r="F57" i="81"/>
  <c r="G57" i="81"/>
  <c r="H57" i="81"/>
  <c r="I57" i="81"/>
  <c r="J57" i="81"/>
  <c r="K57" i="81"/>
  <c r="L57" i="81"/>
  <c r="M57" i="81"/>
  <c r="N57" i="81"/>
  <c r="O57" i="81"/>
  <c r="P57" i="81"/>
  <c r="Q57" i="81"/>
  <c r="R57" i="81"/>
  <c r="S57" i="81"/>
  <c r="T57" i="81"/>
  <c r="U57" i="81"/>
  <c r="V57" i="81"/>
  <c r="W57" i="81"/>
  <c r="X57" i="81"/>
  <c r="Y57" i="81"/>
  <c r="Z57" i="81"/>
  <c r="AA57" i="81"/>
  <c r="AB57" i="81"/>
  <c r="AC57" i="81"/>
  <c r="AD57" i="81"/>
  <c r="AE57" i="81"/>
  <c r="AF57" i="81"/>
  <c r="AG57" i="81"/>
  <c r="AH57" i="81"/>
  <c r="AI57" i="81"/>
  <c r="AJ57" i="81"/>
  <c r="AK57" i="81"/>
  <c r="AL57" i="81"/>
  <c r="AM57" i="81"/>
  <c r="AN57" i="81"/>
  <c r="AO57" i="81"/>
  <c r="AP57" i="81"/>
  <c r="AQ57" i="81"/>
  <c r="B58" i="81"/>
  <c r="C58" i="81"/>
  <c r="D58" i="81"/>
  <c r="E58" i="81"/>
  <c r="F58" i="81"/>
  <c r="G58" i="81"/>
  <c r="H58" i="81"/>
  <c r="I58" i="81"/>
  <c r="J58" i="81"/>
  <c r="K58" i="81"/>
  <c r="L58" i="81"/>
  <c r="M58" i="81"/>
  <c r="N58" i="81"/>
  <c r="O58" i="81"/>
  <c r="P58" i="81"/>
  <c r="Q58" i="81"/>
  <c r="R58" i="81"/>
  <c r="S58" i="81"/>
  <c r="T58" i="81"/>
  <c r="U58" i="81"/>
  <c r="V58" i="81"/>
  <c r="W58" i="81"/>
  <c r="X58" i="81"/>
  <c r="Y58" i="81"/>
  <c r="Z58" i="81"/>
  <c r="AA58" i="81"/>
  <c r="AB58" i="81"/>
  <c r="AC58" i="81"/>
  <c r="AD58" i="81"/>
  <c r="AE58" i="81"/>
  <c r="AF58" i="81"/>
  <c r="AG58" i="81"/>
  <c r="AH58" i="81"/>
  <c r="AI58" i="81"/>
  <c r="AJ58" i="81"/>
  <c r="AK58" i="81"/>
  <c r="AL58" i="81"/>
  <c r="AM58" i="81"/>
  <c r="AN58" i="81"/>
  <c r="AO58" i="81"/>
  <c r="AP58" i="81"/>
  <c r="AQ58" i="81"/>
  <c r="B59" i="81"/>
  <c r="C59" i="81"/>
  <c r="D59" i="81"/>
  <c r="E59" i="81"/>
  <c r="F59" i="81"/>
  <c r="G59" i="81"/>
  <c r="H59" i="81"/>
  <c r="I59" i="81"/>
  <c r="J59" i="81"/>
  <c r="K59" i="81"/>
  <c r="L59" i="81"/>
  <c r="M59" i="81"/>
  <c r="N59" i="81"/>
  <c r="O59" i="81"/>
  <c r="P59" i="81"/>
  <c r="Q59" i="81"/>
  <c r="R59" i="81"/>
  <c r="S59" i="81"/>
  <c r="T59" i="81"/>
  <c r="U59" i="81"/>
  <c r="V59" i="81"/>
  <c r="W59" i="81"/>
  <c r="X59" i="81"/>
  <c r="Y59" i="81"/>
  <c r="Z59" i="81"/>
  <c r="AA59" i="81"/>
  <c r="AB59" i="81"/>
  <c r="AC59" i="81"/>
  <c r="AD59" i="81"/>
  <c r="AE59" i="81"/>
  <c r="AF59" i="81"/>
  <c r="AG59" i="81"/>
  <c r="AH59" i="81"/>
  <c r="AI59" i="81"/>
  <c r="AJ59" i="81"/>
  <c r="AK59" i="81"/>
  <c r="AL59" i="81"/>
  <c r="AM59" i="81"/>
  <c r="AN59" i="81"/>
  <c r="AO59" i="81"/>
  <c r="AP59" i="81"/>
  <c r="AQ59" i="81"/>
  <c r="B60" i="81"/>
  <c r="C60" i="81"/>
  <c r="D60" i="81"/>
  <c r="E60" i="81"/>
  <c r="F60" i="81"/>
  <c r="G60" i="81"/>
  <c r="H60" i="81"/>
  <c r="I60" i="81"/>
  <c r="J60" i="81"/>
  <c r="K60" i="81"/>
  <c r="L60" i="81"/>
  <c r="M60" i="81"/>
  <c r="N60" i="81"/>
  <c r="O60" i="81"/>
  <c r="P60" i="81"/>
  <c r="Q60" i="81"/>
  <c r="R60" i="81"/>
  <c r="S60" i="81"/>
  <c r="T60" i="81"/>
  <c r="U60" i="81"/>
  <c r="V60" i="81"/>
  <c r="W60" i="81"/>
  <c r="X60" i="81"/>
  <c r="Y60" i="81"/>
  <c r="Z60" i="81"/>
  <c r="AA60" i="81"/>
  <c r="AB60" i="81"/>
  <c r="AC60" i="81"/>
  <c r="AD60" i="81"/>
  <c r="AE60" i="81"/>
  <c r="AF60" i="81"/>
  <c r="AG60" i="81"/>
  <c r="AH60" i="81"/>
  <c r="AI60" i="81"/>
  <c r="AJ60" i="81"/>
  <c r="AK60" i="81"/>
  <c r="AL60" i="81"/>
  <c r="AM60" i="81"/>
  <c r="AN60" i="81"/>
  <c r="AO60" i="81"/>
  <c r="AP60" i="81"/>
  <c r="AQ60" i="81"/>
  <c r="B61" i="81"/>
  <c r="C61" i="81"/>
  <c r="D61" i="81"/>
  <c r="E61" i="81"/>
  <c r="F61" i="81"/>
  <c r="G61" i="81"/>
  <c r="H61" i="81"/>
  <c r="I61" i="81"/>
  <c r="J61" i="81"/>
  <c r="K61" i="81"/>
  <c r="L61" i="81"/>
  <c r="M61" i="81"/>
  <c r="N61" i="81"/>
  <c r="O61" i="81"/>
  <c r="P61" i="81"/>
  <c r="Q61" i="81"/>
  <c r="R61" i="81"/>
  <c r="S61" i="81"/>
  <c r="T61" i="81"/>
  <c r="U61" i="81"/>
  <c r="V61" i="81"/>
  <c r="W61" i="81"/>
  <c r="X61" i="81"/>
  <c r="Y61" i="81"/>
  <c r="Z61" i="81"/>
  <c r="AA61" i="81"/>
  <c r="AB61" i="81"/>
  <c r="AC61" i="81"/>
  <c r="AD61" i="81"/>
  <c r="AE61" i="81"/>
  <c r="AF61" i="81"/>
  <c r="AG61" i="81"/>
  <c r="AH61" i="81"/>
  <c r="AI61" i="81"/>
  <c r="AJ61" i="81"/>
  <c r="AK61" i="81"/>
  <c r="AL61" i="81"/>
  <c r="AM61" i="81"/>
  <c r="AN61" i="81"/>
  <c r="AO61" i="81"/>
  <c r="AP61" i="81"/>
  <c r="AQ61" i="81"/>
  <c r="B62" i="81"/>
  <c r="C62" i="81"/>
  <c r="D62" i="81"/>
  <c r="E62" i="81"/>
  <c r="F62" i="81"/>
  <c r="G62" i="81"/>
  <c r="H62" i="81"/>
  <c r="I62" i="81"/>
  <c r="J62" i="81"/>
  <c r="K62" i="81"/>
  <c r="L62" i="81"/>
  <c r="M62" i="81"/>
  <c r="N62" i="81"/>
  <c r="O62" i="81"/>
  <c r="P62" i="81"/>
  <c r="Q62" i="81"/>
  <c r="R62" i="81"/>
  <c r="S62" i="81"/>
  <c r="T62" i="81"/>
  <c r="U62" i="81"/>
  <c r="V62" i="81"/>
  <c r="W62" i="81"/>
  <c r="X62" i="81"/>
  <c r="Y62" i="81"/>
  <c r="Z62" i="81"/>
  <c r="AA62" i="81"/>
  <c r="AB62" i="81"/>
  <c r="AC62" i="81"/>
  <c r="AD62" i="81"/>
  <c r="AE62" i="81"/>
  <c r="AF62" i="81"/>
  <c r="AG62" i="81"/>
  <c r="AH62" i="81"/>
  <c r="AI62" i="81"/>
  <c r="AJ62" i="81"/>
  <c r="AK62" i="81"/>
  <c r="AL62" i="81"/>
  <c r="AM62" i="81"/>
  <c r="AN62" i="81"/>
  <c r="AO62" i="81"/>
  <c r="AP62" i="81"/>
  <c r="AQ62" i="81"/>
  <c r="B63" i="81"/>
  <c r="C63" i="81"/>
  <c r="D63" i="81"/>
  <c r="E63" i="81"/>
  <c r="F63" i="81"/>
  <c r="G63" i="81"/>
  <c r="H63" i="81"/>
  <c r="I63" i="81"/>
  <c r="J63" i="81"/>
  <c r="K63" i="81"/>
  <c r="L63" i="81"/>
  <c r="M63" i="81"/>
  <c r="N63" i="81"/>
  <c r="O63" i="81"/>
  <c r="P63" i="81"/>
  <c r="Q63" i="81"/>
  <c r="R63" i="81"/>
  <c r="S63" i="81"/>
  <c r="T63" i="81"/>
  <c r="U63" i="81"/>
  <c r="V63" i="81"/>
  <c r="W63" i="81"/>
  <c r="X63" i="81"/>
  <c r="Y63" i="81"/>
  <c r="Z63" i="81"/>
  <c r="AA63" i="81"/>
  <c r="AB63" i="81"/>
  <c r="AC63" i="81"/>
  <c r="AD63" i="81"/>
  <c r="AE63" i="81"/>
  <c r="AF63" i="81"/>
  <c r="AG63" i="81"/>
  <c r="AH63" i="81"/>
  <c r="AI63" i="81"/>
  <c r="AJ63" i="81"/>
  <c r="AK63" i="81"/>
  <c r="AL63" i="81"/>
  <c r="AM63" i="81"/>
  <c r="AN63" i="81"/>
  <c r="AO63" i="81"/>
  <c r="AP63" i="81"/>
  <c r="AQ63" i="81"/>
  <c r="B64" i="81"/>
  <c r="C64" i="81"/>
  <c r="D64" i="81"/>
  <c r="E64" i="81"/>
  <c r="F64" i="81"/>
  <c r="G64" i="81"/>
  <c r="H64" i="81"/>
  <c r="I64" i="81"/>
  <c r="J64" i="81"/>
  <c r="K64" i="81"/>
  <c r="L64" i="81"/>
  <c r="M64" i="81"/>
  <c r="N64" i="81"/>
  <c r="O64" i="81"/>
  <c r="P64" i="81"/>
  <c r="Q64" i="81"/>
  <c r="R64" i="81"/>
  <c r="S64" i="81"/>
  <c r="T64" i="81"/>
  <c r="U64" i="81"/>
  <c r="V64" i="81"/>
  <c r="W64" i="81"/>
  <c r="X64" i="81"/>
  <c r="Y64" i="81"/>
  <c r="Z64" i="81"/>
  <c r="AA64" i="81"/>
  <c r="AB64" i="81"/>
  <c r="AC64" i="81"/>
  <c r="AD64" i="81"/>
  <c r="AE64" i="81"/>
  <c r="AF64" i="81"/>
  <c r="AG64" i="81"/>
  <c r="AH64" i="81"/>
  <c r="AI64" i="81"/>
  <c r="AJ64" i="81"/>
  <c r="AK64" i="81"/>
  <c r="AL64" i="81"/>
  <c r="AM64" i="81"/>
  <c r="AN64" i="81"/>
  <c r="AO64" i="81"/>
  <c r="AP64" i="81"/>
  <c r="AQ64" i="81"/>
  <c r="B65" i="81"/>
  <c r="C65" i="81"/>
  <c r="D65" i="81"/>
  <c r="E65" i="81"/>
  <c r="F65" i="81"/>
  <c r="G65" i="81"/>
  <c r="H65" i="81"/>
  <c r="I65" i="81"/>
  <c r="J65" i="81"/>
  <c r="K65" i="81"/>
  <c r="L65" i="81"/>
  <c r="M65" i="81"/>
  <c r="N65" i="81"/>
  <c r="O65" i="81"/>
  <c r="P65" i="81"/>
  <c r="Q65" i="81"/>
  <c r="R65" i="81"/>
  <c r="S65" i="81"/>
  <c r="T65" i="81"/>
  <c r="U65" i="81"/>
  <c r="V65" i="81"/>
  <c r="W65" i="81"/>
  <c r="X65" i="81"/>
  <c r="Y65" i="81"/>
  <c r="Z65" i="81"/>
  <c r="AA65" i="81"/>
  <c r="AB65" i="81"/>
  <c r="AC65" i="81"/>
  <c r="AD65" i="81"/>
  <c r="AE65" i="81"/>
  <c r="AF65" i="81"/>
  <c r="AG65" i="81"/>
  <c r="AH65" i="81"/>
  <c r="AI65" i="81"/>
  <c r="AJ65" i="81"/>
  <c r="AK65" i="81"/>
  <c r="AL65" i="81"/>
  <c r="AM65" i="81"/>
  <c r="AN65" i="81"/>
  <c r="AO65" i="81"/>
  <c r="AP65" i="81"/>
  <c r="AQ65" i="81"/>
  <c r="B66" i="81"/>
  <c r="C66" i="81"/>
  <c r="D66" i="81"/>
  <c r="E66" i="81"/>
  <c r="F66" i="81"/>
  <c r="G66" i="81"/>
  <c r="H66" i="81"/>
  <c r="I66" i="81"/>
  <c r="J66" i="81"/>
  <c r="K66" i="81"/>
  <c r="L66" i="81"/>
  <c r="M66" i="81"/>
  <c r="N66" i="81"/>
  <c r="O66" i="81"/>
  <c r="P66" i="81"/>
  <c r="Q66" i="81"/>
  <c r="R66" i="81"/>
  <c r="S66" i="81"/>
  <c r="T66" i="81"/>
  <c r="U66" i="81"/>
  <c r="V66" i="81"/>
  <c r="W66" i="81"/>
  <c r="X66" i="81"/>
  <c r="Y66" i="81"/>
  <c r="Z66" i="81"/>
  <c r="AA66" i="81"/>
  <c r="AB66" i="81"/>
  <c r="AC66" i="81"/>
  <c r="AD66" i="81"/>
  <c r="AE66" i="81"/>
  <c r="AF66" i="81"/>
  <c r="AG66" i="81"/>
  <c r="AH66" i="81"/>
  <c r="AI66" i="81"/>
  <c r="AJ66" i="81"/>
  <c r="AK66" i="81"/>
  <c r="AL66" i="81"/>
  <c r="AM66" i="81"/>
  <c r="AN66" i="81"/>
  <c r="AO66" i="81"/>
  <c r="AP66" i="81"/>
  <c r="AQ66" i="81"/>
  <c r="B67" i="81"/>
  <c r="C67" i="81"/>
  <c r="D67" i="81"/>
  <c r="E67" i="81"/>
  <c r="F67" i="81"/>
  <c r="G67" i="81"/>
  <c r="H67" i="81"/>
  <c r="I67" i="81"/>
  <c r="J67" i="81"/>
  <c r="K67" i="81"/>
  <c r="L67" i="81"/>
  <c r="M67" i="81"/>
  <c r="N67" i="81"/>
  <c r="O67" i="81"/>
  <c r="P67" i="81"/>
  <c r="Q67" i="81"/>
  <c r="R67" i="81"/>
  <c r="S67" i="81"/>
  <c r="T67" i="81"/>
  <c r="U67" i="81"/>
  <c r="V67" i="81"/>
  <c r="W67" i="81"/>
  <c r="X67" i="81"/>
  <c r="Y67" i="81"/>
  <c r="Z67" i="81"/>
  <c r="AA67" i="81"/>
  <c r="AB67" i="81"/>
  <c r="AC67" i="81"/>
  <c r="AD67" i="81"/>
  <c r="AE67" i="81"/>
  <c r="AF67" i="81"/>
  <c r="AG67" i="81"/>
  <c r="AH67" i="81"/>
  <c r="AI67" i="81"/>
  <c r="AJ67" i="81"/>
  <c r="AK67" i="81"/>
  <c r="AL67" i="81"/>
  <c r="AM67" i="81"/>
  <c r="AN67" i="81"/>
  <c r="AO67" i="81"/>
  <c r="AP67" i="81"/>
  <c r="AQ67" i="81"/>
  <c r="B68" i="81"/>
  <c r="C68" i="81"/>
  <c r="D68" i="81"/>
  <c r="E68" i="81"/>
  <c r="F68" i="81"/>
  <c r="G68" i="81"/>
  <c r="H68" i="81"/>
  <c r="I68" i="81"/>
  <c r="J68" i="81"/>
  <c r="K68" i="81"/>
  <c r="L68" i="81"/>
  <c r="M68" i="81"/>
  <c r="N68" i="81"/>
  <c r="O68" i="81"/>
  <c r="P68" i="81"/>
  <c r="Q68" i="81"/>
  <c r="R68" i="81"/>
  <c r="S68" i="81"/>
  <c r="T68" i="81"/>
  <c r="U68" i="81"/>
  <c r="V68" i="81"/>
  <c r="W68" i="81"/>
  <c r="X68" i="81"/>
  <c r="Y68" i="81"/>
  <c r="Z68" i="81"/>
  <c r="AA68" i="81"/>
  <c r="AB68" i="81"/>
  <c r="AC68" i="81"/>
  <c r="AD68" i="81"/>
  <c r="AE68" i="81"/>
  <c r="AF68" i="81"/>
  <c r="AG68" i="81"/>
  <c r="AH68" i="81"/>
  <c r="AI68" i="81"/>
  <c r="AJ68" i="81"/>
  <c r="AK68" i="81"/>
  <c r="AL68" i="81"/>
  <c r="AM68" i="81"/>
  <c r="AN68" i="81"/>
  <c r="AO68" i="81"/>
  <c r="AP68" i="81"/>
  <c r="AQ68" i="81"/>
  <c r="B69" i="81"/>
  <c r="C69" i="81"/>
  <c r="D69" i="81"/>
  <c r="E69" i="81"/>
  <c r="F69" i="81"/>
  <c r="G69" i="81"/>
  <c r="H69" i="81"/>
  <c r="I69" i="81"/>
  <c r="J69" i="81"/>
  <c r="K69" i="81"/>
  <c r="L69" i="81"/>
  <c r="M69" i="81"/>
  <c r="N69" i="81"/>
  <c r="O69" i="81"/>
  <c r="P69" i="81"/>
  <c r="Q69" i="81"/>
  <c r="R69" i="81"/>
  <c r="S69" i="81"/>
  <c r="T69" i="81"/>
  <c r="U69" i="81"/>
  <c r="V69" i="81"/>
  <c r="W69" i="81"/>
  <c r="X69" i="81"/>
  <c r="Y69" i="81"/>
  <c r="Z69" i="81"/>
  <c r="AA69" i="81"/>
  <c r="AB69" i="81"/>
  <c r="AC69" i="81"/>
  <c r="AD69" i="81"/>
  <c r="AE69" i="81"/>
  <c r="AF69" i="81"/>
  <c r="AG69" i="81"/>
  <c r="AH69" i="81"/>
  <c r="AI69" i="81"/>
  <c r="AJ69" i="81"/>
  <c r="AK69" i="81"/>
  <c r="AL69" i="81"/>
  <c r="AM69" i="81"/>
  <c r="AN69" i="81"/>
  <c r="AO69" i="81"/>
  <c r="AP69" i="81"/>
  <c r="AQ69" i="81"/>
  <c r="B70" i="81"/>
  <c r="C70" i="81"/>
  <c r="D70" i="81"/>
  <c r="E70" i="81"/>
  <c r="F70" i="81"/>
  <c r="G70" i="81"/>
  <c r="H70" i="81"/>
  <c r="I70" i="81"/>
  <c r="J70" i="81"/>
  <c r="K70" i="81"/>
  <c r="L70" i="81"/>
  <c r="M70" i="81"/>
  <c r="N70" i="81"/>
  <c r="O70" i="81"/>
  <c r="P70" i="81"/>
  <c r="Q70" i="81"/>
  <c r="R70" i="81"/>
  <c r="S70" i="81"/>
  <c r="T70" i="81"/>
  <c r="U70" i="81"/>
  <c r="V70" i="81"/>
  <c r="W70" i="81"/>
  <c r="X70" i="81"/>
  <c r="Y70" i="81"/>
  <c r="Z70" i="81"/>
  <c r="AA70" i="81"/>
  <c r="AB70" i="81"/>
  <c r="AC70" i="81"/>
  <c r="AD70" i="81"/>
  <c r="AE70" i="81"/>
  <c r="AF70" i="81"/>
  <c r="AG70" i="81"/>
  <c r="AH70" i="81"/>
  <c r="AI70" i="81"/>
  <c r="AJ70" i="81"/>
  <c r="AK70" i="81"/>
  <c r="AL70" i="81"/>
  <c r="AM70" i="81"/>
  <c r="AN70" i="81"/>
  <c r="AO70" i="81"/>
  <c r="AP70" i="81"/>
  <c r="AQ70" i="81"/>
  <c r="B71" i="81"/>
  <c r="C71" i="81"/>
  <c r="D71" i="81"/>
  <c r="E71" i="81"/>
  <c r="F71" i="81"/>
  <c r="G71" i="81"/>
  <c r="H71" i="81"/>
  <c r="I71" i="81"/>
  <c r="J71" i="81"/>
  <c r="K71" i="81"/>
  <c r="L71" i="81"/>
  <c r="M71" i="81"/>
  <c r="N71" i="81"/>
  <c r="O71" i="81"/>
  <c r="P71" i="81"/>
  <c r="Q71" i="81"/>
  <c r="R71" i="81"/>
  <c r="S71" i="81"/>
  <c r="T71" i="81"/>
  <c r="U71" i="81"/>
  <c r="V71" i="81"/>
  <c r="W71" i="81"/>
  <c r="X71" i="81"/>
  <c r="Y71" i="81"/>
  <c r="Z71" i="81"/>
  <c r="AA71" i="81"/>
  <c r="AB71" i="81"/>
  <c r="AC71" i="81"/>
  <c r="AD71" i="81"/>
  <c r="AE71" i="81"/>
  <c r="AF71" i="81"/>
  <c r="AG71" i="81"/>
  <c r="AH71" i="81"/>
  <c r="AI71" i="81"/>
  <c r="AJ71" i="81"/>
  <c r="AK71" i="81"/>
  <c r="AL71" i="81"/>
  <c r="AM71" i="81"/>
  <c r="AN71" i="81"/>
  <c r="AO71" i="81"/>
  <c r="AP71" i="81"/>
  <c r="AQ71" i="81"/>
  <c r="B72" i="81"/>
  <c r="C72" i="81"/>
  <c r="D72" i="81"/>
  <c r="E72" i="81"/>
  <c r="F72" i="81"/>
  <c r="G72" i="81"/>
  <c r="H72" i="81"/>
  <c r="I72" i="81"/>
  <c r="J72" i="81"/>
  <c r="K72" i="81"/>
  <c r="L72" i="81"/>
  <c r="M72" i="81"/>
  <c r="N72" i="81"/>
  <c r="O72" i="81"/>
  <c r="P72" i="81"/>
  <c r="Q72" i="81"/>
  <c r="R72" i="81"/>
  <c r="S72" i="81"/>
  <c r="T72" i="81"/>
  <c r="U72" i="81"/>
  <c r="V72" i="81"/>
  <c r="W72" i="81"/>
  <c r="X72" i="81"/>
  <c r="Y72" i="81"/>
  <c r="Z72" i="81"/>
  <c r="AA72" i="81"/>
  <c r="AB72" i="81"/>
  <c r="AC72" i="81"/>
  <c r="AD72" i="81"/>
  <c r="AE72" i="81"/>
  <c r="AF72" i="81"/>
  <c r="AG72" i="81"/>
  <c r="AH72" i="81"/>
  <c r="AI72" i="81"/>
  <c r="AJ72" i="81"/>
  <c r="AK72" i="81"/>
  <c r="AL72" i="81"/>
  <c r="AM72" i="81"/>
  <c r="AN72" i="81"/>
  <c r="AO72" i="81"/>
  <c r="AP72" i="81"/>
  <c r="AQ72" i="81"/>
  <c r="B73" i="81"/>
  <c r="C73" i="81"/>
  <c r="D73" i="81"/>
  <c r="E73" i="81"/>
  <c r="F73" i="81"/>
  <c r="G73" i="81"/>
  <c r="H73" i="81"/>
  <c r="I73" i="81"/>
  <c r="J73" i="81"/>
  <c r="K73" i="81"/>
  <c r="L73" i="81"/>
  <c r="M73" i="81"/>
  <c r="N73" i="81"/>
  <c r="O73" i="81"/>
  <c r="P73" i="81"/>
  <c r="Q73" i="81"/>
  <c r="R73" i="81"/>
  <c r="S73" i="81"/>
  <c r="T73" i="81"/>
  <c r="U73" i="81"/>
  <c r="V73" i="81"/>
  <c r="W73" i="81"/>
  <c r="X73" i="81"/>
  <c r="Y73" i="81"/>
  <c r="Z73" i="81"/>
  <c r="AA73" i="81"/>
  <c r="AB73" i="81"/>
  <c r="AC73" i="81"/>
  <c r="AD73" i="81"/>
  <c r="AE73" i="81"/>
  <c r="AF73" i="81"/>
  <c r="AG73" i="81"/>
  <c r="AH73" i="81"/>
  <c r="AI73" i="81"/>
  <c r="AJ73" i="81"/>
  <c r="AK73" i="81"/>
  <c r="AL73" i="81"/>
  <c r="AM73" i="81"/>
  <c r="AN73" i="81"/>
  <c r="AO73" i="81"/>
  <c r="AP73" i="81"/>
  <c r="AQ73" i="81"/>
  <c r="B74" i="81"/>
  <c r="C74" i="81"/>
  <c r="D74" i="81"/>
  <c r="E74" i="81"/>
  <c r="F74" i="81"/>
  <c r="G74" i="81"/>
  <c r="H74" i="81"/>
  <c r="I74" i="81"/>
  <c r="J74" i="81"/>
  <c r="K74" i="81"/>
  <c r="L74" i="81"/>
  <c r="M74" i="81"/>
  <c r="N74" i="81"/>
  <c r="O74" i="81"/>
  <c r="P74" i="81"/>
  <c r="Q74" i="81"/>
  <c r="R74" i="81"/>
  <c r="S74" i="81"/>
  <c r="T74" i="81"/>
  <c r="U74" i="81"/>
  <c r="V74" i="81"/>
  <c r="W74" i="81"/>
  <c r="X74" i="81"/>
  <c r="Y74" i="81"/>
  <c r="Z74" i="81"/>
  <c r="AA74" i="81"/>
  <c r="AB74" i="81"/>
  <c r="AC74" i="81"/>
  <c r="AD74" i="81"/>
  <c r="AE74" i="81"/>
  <c r="AF74" i="81"/>
  <c r="AG74" i="81"/>
  <c r="AH74" i="81"/>
  <c r="AI74" i="81"/>
  <c r="AJ74" i="81"/>
  <c r="AK74" i="81"/>
  <c r="AL74" i="81"/>
  <c r="AM74" i="81"/>
  <c r="AN74" i="81"/>
  <c r="AO74" i="81"/>
  <c r="AP74" i="81"/>
  <c r="AQ74" i="81"/>
  <c r="B75" i="81"/>
  <c r="C75" i="81"/>
  <c r="D75" i="81"/>
  <c r="E75" i="81"/>
  <c r="F75" i="81"/>
  <c r="G75" i="81"/>
  <c r="H75" i="81"/>
  <c r="I75" i="81"/>
  <c r="J75" i="81"/>
  <c r="K75" i="81"/>
  <c r="L75" i="81"/>
  <c r="M75" i="81"/>
  <c r="N75" i="81"/>
  <c r="O75" i="81"/>
  <c r="P75" i="81"/>
  <c r="Q75" i="81"/>
  <c r="R75" i="81"/>
  <c r="S75" i="81"/>
  <c r="T75" i="81"/>
  <c r="U75" i="81"/>
  <c r="V75" i="81"/>
  <c r="W75" i="81"/>
  <c r="X75" i="81"/>
  <c r="Y75" i="81"/>
  <c r="Z75" i="81"/>
  <c r="AA75" i="81"/>
  <c r="AB75" i="81"/>
  <c r="AC75" i="81"/>
  <c r="AD75" i="81"/>
  <c r="AE75" i="81"/>
  <c r="AF75" i="81"/>
  <c r="AG75" i="81"/>
  <c r="AH75" i="81"/>
  <c r="AI75" i="81"/>
  <c r="AJ75" i="81"/>
  <c r="AK75" i="81"/>
  <c r="AL75" i="81"/>
  <c r="AM75" i="81"/>
  <c r="AN75" i="81"/>
  <c r="AO75" i="81"/>
  <c r="AP75" i="81"/>
  <c r="AQ75" i="81"/>
  <c r="B76" i="81"/>
  <c r="C76" i="81"/>
  <c r="D76" i="81"/>
  <c r="E76" i="81"/>
  <c r="F76" i="81"/>
  <c r="G76" i="81"/>
  <c r="H76" i="81"/>
  <c r="I76" i="81"/>
  <c r="J76" i="81"/>
  <c r="K76" i="81"/>
  <c r="L76" i="81"/>
  <c r="M76" i="81"/>
  <c r="N76" i="81"/>
  <c r="O76" i="81"/>
  <c r="P76" i="81"/>
  <c r="Q76" i="81"/>
  <c r="R76" i="81"/>
  <c r="S76" i="81"/>
  <c r="T76" i="81"/>
  <c r="U76" i="81"/>
  <c r="V76" i="81"/>
  <c r="W76" i="81"/>
  <c r="X76" i="81"/>
  <c r="Y76" i="81"/>
  <c r="Z76" i="81"/>
  <c r="AA76" i="81"/>
  <c r="AB76" i="81"/>
  <c r="AC76" i="81"/>
  <c r="AD76" i="81"/>
  <c r="AE76" i="81"/>
  <c r="AF76" i="81"/>
  <c r="AG76" i="81"/>
  <c r="AH76" i="81"/>
  <c r="AI76" i="81"/>
  <c r="AJ76" i="81"/>
  <c r="AK76" i="81"/>
  <c r="AL76" i="81"/>
  <c r="AM76" i="81"/>
  <c r="AN76" i="81"/>
  <c r="AO76" i="81"/>
  <c r="AP76" i="81"/>
  <c r="AQ76" i="81"/>
  <c r="B77" i="81"/>
  <c r="C77" i="81"/>
  <c r="D77" i="81"/>
  <c r="E77" i="81"/>
  <c r="F77" i="81"/>
  <c r="G77" i="81"/>
  <c r="H77" i="81"/>
  <c r="I77" i="81"/>
  <c r="J77" i="81"/>
  <c r="K77" i="81"/>
  <c r="L77" i="81"/>
  <c r="M77" i="81"/>
  <c r="N77" i="81"/>
  <c r="O77" i="81"/>
  <c r="P77" i="81"/>
  <c r="Q77" i="81"/>
  <c r="R77" i="81"/>
  <c r="S77" i="81"/>
  <c r="T77" i="81"/>
  <c r="U77" i="81"/>
  <c r="V77" i="81"/>
  <c r="W77" i="81"/>
  <c r="X77" i="81"/>
  <c r="Y77" i="81"/>
  <c r="Z77" i="81"/>
  <c r="AA77" i="81"/>
  <c r="AB77" i="81"/>
  <c r="AC77" i="81"/>
  <c r="AD77" i="81"/>
  <c r="AE77" i="81"/>
  <c r="AF77" i="81"/>
  <c r="AG77" i="81"/>
  <c r="AH77" i="81"/>
  <c r="AI77" i="81"/>
  <c r="AJ77" i="81"/>
  <c r="AK77" i="81"/>
  <c r="AL77" i="81"/>
  <c r="AM77" i="81"/>
  <c r="AN77" i="81"/>
  <c r="AO77" i="81"/>
  <c r="AP77" i="81"/>
  <c r="AQ77" i="81"/>
  <c r="B78" i="81"/>
  <c r="C78" i="81"/>
  <c r="D78" i="81"/>
  <c r="E78" i="81"/>
  <c r="F78" i="81"/>
  <c r="G78" i="81"/>
  <c r="H78" i="81"/>
  <c r="I78" i="81"/>
  <c r="J78" i="81"/>
  <c r="K78" i="81"/>
  <c r="L78" i="81"/>
  <c r="M78" i="81"/>
  <c r="N78" i="81"/>
  <c r="O78" i="81"/>
  <c r="P78" i="81"/>
  <c r="Q78" i="81"/>
  <c r="R78" i="81"/>
  <c r="S78" i="81"/>
  <c r="T78" i="81"/>
  <c r="U78" i="81"/>
  <c r="V78" i="81"/>
  <c r="W78" i="81"/>
  <c r="X78" i="81"/>
  <c r="Y78" i="81"/>
  <c r="Z78" i="81"/>
  <c r="AA78" i="81"/>
  <c r="AB78" i="81"/>
  <c r="AC78" i="81"/>
  <c r="AD78" i="81"/>
  <c r="AE78" i="81"/>
  <c r="AF78" i="81"/>
  <c r="AG78" i="81"/>
  <c r="AH78" i="81"/>
  <c r="AI78" i="81"/>
  <c r="AJ78" i="81"/>
  <c r="AK78" i="81"/>
  <c r="AL78" i="81"/>
  <c r="AM78" i="81"/>
  <c r="AN78" i="81"/>
  <c r="AO78" i="81"/>
  <c r="AP78" i="81"/>
  <c r="AQ78" i="81"/>
  <c r="B79" i="81"/>
  <c r="C79" i="81"/>
  <c r="D79" i="81"/>
  <c r="E79" i="81"/>
  <c r="F79" i="81"/>
  <c r="G79" i="81"/>
  <c r="H79" i="81"/>
  <c r="I79" i="81"/>
  <c r="J79" i="81"/>
  <c r="K79" i="81"/>
  <c r="L79" i="81"/>
  <c r="M79" i="81"/>
  <c r="N79" i="81"/>
  <c r="O79" i="81"/>
  <c r="P79" i="81"/>
  <c r="Q79" i="81"/>
  <c r="R79" i="81"/>
  <c r="S79" i="81"/>
  <c r="T79" i="81"/>
  <c r="U79" i="81"/>
  <c r="V79" i="81"/>
  <c r="W79" i="81"/>
  <c r="X79" i="81"/>
  <c r="Y79" i="81"/>
  <c r="Z79" i="81"/>
  <c r="AA79" i="81"/>
  <c r="AB79" i="81"/>
  <c r="AC79" i="81"/>
  <c r="AD79" i="81"/>
  <c r="AE79" i="81"/>
  <c r="AF79" i="81"/>
  <c r="AG79" i="81"/>
  <c r="AH79" i="81"/>
  <c r="AI79" i="81"/>
  <c r="AJ79" i="81"/>
  <c r="AK79" i="81"/>
  <c r="AL79" i="81"/>
  <c r="AM79" i="81"/>
  <c r="AN79" i="81"/>
  <c r="AO79" i="81"/>
  <c r="AP79" i="81"/>
  <c r="AQ79" i="81"/>
  <c r="B80" i="81"/>
  <c r="C80" i="81"/>
  <c r="D80" i="81"/>
  <c r="E80" i="81"/>
  <c r="F80" i="81"/>
  <c r="G80" i="81"/>
  <c r="H80" i="81"/>
  <c r="I80" i="81"/>
  <c r="J80" i="81"/>
  <c r="K80" i="81"/>
  <c r="L80" i="81"/>
  <c r="M80" i="81"/>
  <c r="N80" i="81"/>
  <c r="O80" i="81"/>
  <c r="P80" i="81"/>
  <c r="Q80" i="81"/>
  <c r="R80" i="81"/>
  <c r="S80" i="81"/>
  <c r="T80" i="81"/>
  <c r="U80" i="81"/>
  <c r="V80" i="81"/>
  <c r="W80" i="81"/>
  <c r="X80" i="81"/>
  <c r="Y80" i="81"/>
  <c r="Z80" i="81"/>
  <c r="AA80" i="81"/>
  <c r="AB80" i="81"/>
  <c r="AC80" i="81"/>
  <c r="AD80" i="81"/>
  <c r="AE80" i="81"/>
  <c r="AF80" i="81"/>
  <c r="AG80" i="81"/>
  <c r="AH80" i="81"/>
  <c r="AI80" i="81"/>
  <c r="AJ80" i="81"/>
  <c r="AK80" i="81"/>
  <c r="AL80" i="81"/>
  <c r="AM80" i="81"/>
  <c r="AN80" i="81"/>
  <c r="AO80" i="81"/>
  <c r="AP80" i="81"/>
  <c r="AQ80" i="81"/>
  <c r="B81" i="81"/>
  <c r="C81" i="81"/>
  <c r="D81" i="81"/>
  <c r="E81" i="81"/>
  <c r="F81" i="81"/>
  <c r="G81" i="81"/>
  <c r="H81" i="81"/>
  <c r="I81" i="81"/>
  <c r="J81" i="81"/>
  <c r="K81" i="81"/>
  <c r="L81" i="81"/>
  <c r="M81" i="81"/>
  <c r="N81" i="81"/>
  <c r="O81" i="81"/>
  <c r="P81" i="81"/>
  <c r="Q81" i="81"/>
  <c r="R81" i="81"/>
  <c r="S81" i="81"/>
  <c r="T81" i="81"/>
  <c r="U81" i="81"/>
  <c r="V81" i="81"/>
  <c r="W81" i="81"/>
  <c r="X81" i="81"/>
  <c r="Y81" i="81"/>
  <c r="Z81" i="81"/>
  <c r="AA81" i="81"/>
  <c r="AB81" i="81"/>
  <c r="AC81" i="81"/>
  <c r="AD81" i="81"/>
  <c r="AE81" i="81"/>
  <c r="AF81" i="81"/>
  <c r="AG81" i="81"/>
  <c r="AH81" i="81"/>
  <c r="AI81" i="81"/>
  <c r="AJ81" i="81"/>
  <c r="AK81" i="81"/>
  <c r="AL81" i="81"/>
  <c r="AM81" i="81"/>
  <c r="AN81" i="81"/>
  <c r="AO81" i="81"/>
  <c r="AP81" i="81"/>
  <c r="AQ81" i="81"/>
  <c r="B82" i="81"/>
  <c r="C82" i="81"/>
  <c r="D82" i="81"/>
  <c r="E82" i="81"/>
  <c r="F82" i="81"/>
  <c r="G82" i="81"/>
  <c r="H82" i="81"/>
  <c r="I82" i="81"/>
  <c r="J82" i="81"/>
  <c r="K82" i="81"/>
  <c r="L82" i="81"/>
  <c r="M82" i="81"/>
  <c r="N82" i="81"/>
  <c r="O82" i="81"/>
  <c r="P82" i="81"/>
  <c r="Q82" i="81"/>
  <c r="R82" i="81"/>
  <c r="S82" i="81"/>
  <c r="T82" i="81"/>
  <c r="U82" i="81"/>
  <c r="V82" i="81"/>
  <c r="W82" i="81"/>
  <c r="X82" i="81"/>
  <c r="Y82" i="81"/>
  <c r="Z82" i="81"/>
  <c r="AA82" i="81"/>
  <c r="AB82" i="81"/>
  <c r="AC82" i="81"/>
  <c r="AD82" i="81"/>
  <c r="AE82" i="81"/>
  <c r="AF82" i="81"/>
  <c r="AG82" i="81"/>
  <c r="AH82" i="81"/>
  <c r="AI82" i="81"/>
  <c r="AJ82" i="81"/>
  <c r="AK82" i="81"/>
  <c r="AL82" i="81"/>
  <c r="AM82" i="81"/>
  <c r="AN82" i="81"/>
  <c r="AO82" i="81"/>
  <c r="AP82" i="81"/>
  <c r="AQ82" i="81"/>
  <c r="B83" i="81"/>
  <c r="C83" i="81"/>
  <c r="D83" i="81"/>
  <c r="E83" i="81"/>
  <c r="F83" i="81"/>
  <c r="G83" i="81"/>
  <c r="H83" i="81"/>
  <c r="I83" i="81"/>
  <c r="J83" i="81"/>
  <c r="K83" i="81"/>
  <c r="L83" i="81"/>
  <c r="M83" i="81"/>
  <c r="N83" i="81"/>
  <c r="O83" i="81"/>
  <c r="P83" i="81"/>
  <c r="Q83" i="81"/>
  <c r="R83" i="81"/>
  <c r="S83" i="81"/>
  <c r="T83" i="81"/>
  <c r="U83" i="81"/>
  <c r="V83" i="81"/>
  <c r="W83" i="81"/>
  <c r="X83" i="81"/>
  <c r="Y83" i="81"/>
  <c r="Z83" i="81"/>
  <c r="AA83" i="81"/>
  <c r="AB83" i="81"/>
  <c r="AC83" i="81"/>
  <c r="AD83" i="81"/>
  <c r="AE83" i="81"/>
  <c r="AF83" i="81"/>
  <c r="AG83" i="81"/>
  <c r="AH83" i="81"/>
  <c r="AI83" i="81"/>
  <c r="AJ83" i="81"/>
  <c r="AK83" i="81"/>
  <c r="AL83" i="81"/>
  <c r="AM83" i="81"/>
  <c r="AN83" i="81"/>
  <c r="AO83" i="81"/>
  <c r="AP83" i="81"/>
  <c r="AQ83" i="81"/>
  <c r="B84" i="81"/>
  <c r="C84" i="81"/>
  <c r="D84" i="81"/>
  <c r="E84" i="81"/>
  <c r="F84" i="81"/>
  <c r="G84" i="81"/>
  <c r="H84" i="81"/>
  <c r="I84" i="81"/>
  <c r="J84" i="81"/>
  <c r="K84" i="81"/>
  <c r="L84" i="81"/>
  <c r="M84" i="81"/>
  <c r="N84" i="81"/>
  <c r="O84" i="81"/>
  <c r="P84" i="81"/>
  <c r="Q84" i="81"/>
  <c r="R84" i="81"/>
  <c r="S84" i="81"/>
  <c r="T84" i="81"/>
  <c r="U84" i="81"/>
  <c r="V84" i="81"/>
  <c r="W84" i="81"/>
  <c r="X84" i="81"/>
  <c r="Y84" i="81"/>
  <c r="Z84" i="81"/>
  <c r="AA84" i="81"/>
  <c r="AB84" i="81"/>
  <c r="AC84" i="81"/>
  <c r="AD84" i="81"/>
  <c r="AE84" i="81"/>
  <c r="AF84" i="81"/>
  <c r="AG84" i="81"/>
  <c r="AH84" i="81"/>
  <c r="AI84" i="81"/>
  <c r="AJ84" i="81"/>
  <c r="AK84" i="81"/>
  <c r="AL84" i="81"/>
  <c r="AM84" i="81"/>
  <c r="AN84" i="81"/>
  <c r="AO84" i="81"/>
  <c r="AP84" i="81"/>
  <c r="AQ84" i="81"/>
  <c r="B85" i="81"/>
  <c r="C85" i="81"/>
  <c r="D85" i="81"/>
  <c r="E85" i="81"/>
  <c r="F85" i="81"/>
  <c r="G85" i="81"/>
  <c r="H85" i="81"/>
  <c r="I85" i="81"/>
  <c r="J85" i="81"/>
  <c r="K85" i="81"/>
  <c r="L85" i="81"/>
  <c r="M85" i="81"/>
  <c r="N85" i="81"/>
  <c r="O85" i="81"/>
  <c r="P85" i="81"/>
  <c r="Q85" i="81"/>
  <c r="R85" i="81"/>
  <c r="S85" i="81"/>
  <c r="T85" i="81"/>
  <c r="U85" i="81"/>
  <c r="V85" i="81"/>
  <c r="W85" i="81"/>
  <c r="X85" i="81"/>
  <c r="Y85" i="81"/>
  <c r="Z85" i="81"/>
  <c r="AA85" i="81"/>
  <c r="AB85" i="81"/>
  <c r="AC85" i="81"/>
  <c r="AD85" i="81"/>
  <c r="AE85" i="81"/>
  <c r="AF85" i="81"/>
  <c r="AG85" i="81"/>
  <c r="AH85" i="81"/>
  <c r="AI85" i="81"/>
  <c r="AJ85" i="81"/>
  <c r="AK85" i="81"/>
  <c r="AL85" i="81"/>
  <c r="AM85" i="81"/>
  <c r="AN85" i="81"/>
  <c r="AO85" i="81"/>
  <c r="AP85" i="81"/>
  <c r="AQ85" i="81"/>
  <c r="B86" i="81"/>
  <c r="C86" i="81"/>
  <c r="D86" i="81"/>
  <c r="E86" i="81"/>
  <c r="F86" i="81"/>
  <c r="G86" i="81"/>
  <c r="H86" i="81"/>
  <c r="I86" i="81"/>
  <c r="J86" i="81"/>
  <c r="K86" i="81"/>
  <c r="L86" i="81"/>
  <c r="M86" i="81"/>
  <c r="N86" i="81"/>
  <c r="O86" i="81"/>
  <c r="P86" i="81"/>
  <c r="Q86" i="81"/>
  <c r="R86" i="81"/>
  <c r="S86" i="81"/>
  <c r="T86" i="81"/>
  <c r="U86" i="81"/>
  <c r="V86" i="81"/>
  <c r="W86" i="81"/>
  <c r="X86" i="81"/>
  <c r="Y86" i="81"/>
  <c r="Z86" i="81"/>
  <c r="AA86" i="81"/>
  <c r="AB86" i="81"/>
  <c r="AC86" i="81"/>
  <c r="AD86" i="81"/>
  <c r="AE86" i="81"/>
  <c r="AF86" i="81"/>
  <c r="AG86" i="81"/>
  <c r="AH86" i="81"/>
  <c r="AI86" i="81"/>
  <c r="AJ86" i="81"/>
  <c r="AK86" i="81"/>
  <c r="AL86" i="81"/>
  <c r="AM86" i="81"/>
  <c r="AN86" i="81"/>
  <c r="AO86" i="81"/>
  <c r="AP86" i="81"/>
  <c r="AQ86" i="81"/>
  <c r="B87" i="81"/>
  <c r="C87" i="81"/>
  <c r="D87" i="81"/>
  <c r="E87" i="81"/>
  <c r="F87" i="81"/>
  <c r="G87" i="81"/>
  <c r="H87" i="81"/>
  <c r="I87" i="81"/>
  <c r="J87" i="81"/>
  <c r="K87" i="81"/>
  <c r="L87" i="81"/>
  <c r="M87" i="81"/>
  <c r="N87" i="81"/>
  <c r="O87" i="81"/>
  <c r="P87" i="81"/>
  <c r="Q87" i="81"/>
  <c r="R87" i="81"/>
  <c r="S87" i="81"/>
  <c r="T87" i="81"/>
  <c r="U87" i="81"/>
  <c r="V87" i="81"/>
  <c r="W87" i="81"/>
  <c r="X87" i="81"/>
  <c r="Y87" i="81"/>
  <c r="Z87" i="81"/>
  <c r="AA87" i="81"/>
  <c r="AB87" i="81"/>
  <c r="AC87" i="81"/>
  <c r="AD87" i="81"/>
  <c r="AE87" i="81"/>
  <c r="AF87" i="81"/>
  <c r="AG87" i="81"/>
  <c r="AH87" i="81"/>
  <c r="AI87" i="81"/>
  <c r="AJ87" i="81"/>
  <c r="AK87" i="81"/>
  <c r="AL87" i="81"/>
  <c r="AM87" i="81"/>
  <c r="AN87" i="81"/>
  <c r="AO87" i="81"/>
  <c r="AP87" i="81"/>
  <c r="AQ87" i="81"/>
  <c r="B88" i="81"/>
  <c r="C88" i="81"/>
  <c r="D88" i="81"/>
  <c r="E88" i="81"/>
  <c r="F88" i="81"/>
  <c r="G88" i="81"/>
  <c r="H88" i="81"/>
  <c r="I88" i="81"/>
  <c r="J88" i="81"/>
  <c r="K88" i="81"/>
  <c r="L88" i="81"/>
  <c r="M88" i="81"/>
  <c r="N88" i="81"/>
  <c r="O88" i="81"/>
  <c r="P88" i="81"/>
  <c r="Q88" i="81"/>
  <c r="R88" i="81"/>
  <c r="S88" i="81"/>
  <c r="T88" i="81"/>
  <c r="U88" i="81"/>
  <c r="V88" i="81"/>
  <c r="W88" i="81"/>
  <c r="X88" i="81"/>
  <c r="Y88" i="81"/>
  <c r="Z88" i="81"/>
  <c r="AA88" i="81"/>
  <c r="AB88" i="81"/>
  <c r="AC88" i="81"/>
  <c r="AD88" i="81"/>
  <c r="AE88" i="81"/>
  <c r="AF88" i="81"/>
  <c r="AG88" i="81"/>
  <c r="AH88" i="81"/>
  <c r="AI88" i="81"/>
  <c r="AJ88" i="81"/>
  <c r="AK88" i="81"/>
  <c r="AL88" i="81"/>
  <c r="AM88" i="81"/>
  <c r="AN88" i="81"/>
  <c r="AO88" i="81"/>
  <c r="AP88" i="81"/>
  <c r="AQ88" i="81"/>
  <c r="B89" i="81"/>
  <c r="C89" i="81"/>
  <c r="D89" i="81"/>
  <c r="E89" i="81"/>
  <c r="F89" i="81"/>
  <c r="G89" i="81"/>
  <c r="H89" i="81"/>
  <c r="I89" i="81"/>
  <c r="J89" i="81"/>
  <c r="K89" i="81"/>
  <c r="L89" i="81"/>
  <c r="M89" i="81"/>
  <c r="N89" i="81"/>
  <c r="O89" i="81"/>
  <c r="P89" i="81"/>
  <c r="Q89" i="81"/>
  <c r="R89" i="81"/>
  <c r="S89" i="81"/>
  <c r="T89" i="81"/>
  <c r="U89" i="81"/>
  <c r="V89" i="81"/>
  <c r="W89" i="81"/>
  <c r="X89" i="81"/>
  <c r="Y89" i="81"/>
  <c r="Z89" i="81"/>
  <c r="AA89" i="81"/>
  <c r="AB89" i="81"/>
  <c r="AC89" i="81"/>
  <c r="AD89" i="81"/>
  <c r="AE89" i="81"/>
  <c r="AF89" i="81"/>
  <c r="AG89" i="81"/>
  <c r="AH89" i="81"/>
  <c r="AI89" i="81"/>
  <c r="AJ89" i="81"/>
  <c r="AK89" i="81"/>
  <c r="AL89" i="81"/>
  <c r="AM89" i="81"/>
  <c r="AN89" i="81"/>
  <c r="AO89" i="81"/>
  <c r="AP89" i="81"/>
  <c r="AQ89" i="81"/>
  <c r="B90" i="81"/>
  <c r="C90" i="81"/>
  <c r="D90" i="81"/>
  <c r="E90" i="81"/>
  <c r="F90" i="81"/>
  <c r="G90" i="81"/>
  <c r="H90" i="81"/>
  <c r="I90" i="81"/>
  <c r="J90" i="81"/>
  <c r="K90" i="81"/>
  <c r="L90" i="81"/>
  <c r="M90" i="81"/>
  <c r="N90" i="81"/>
  <c r="O90" i="81"/>
  <c r="P90" i="81"/>
  <c r="Q90" i="81"/>
  <c r="R90" i="81"/>
  <c r="S90" i="81"/>
  <c r="T90" i="81"/>
  <c r="U90" i="81"/>
  <c r="V90" i="81"/>
  <c r="W90" i="81"/>
  <c r="X90" i="81"/>
  <c r="Y90" i="81"/>
  <c r="Z90" i="81"/>
  <c r="AA90" i="81"/>
  <c r="AB90" i="81"/>
  <c r="AC90" i="81"/>
  <c r="AD90" i="81"/>
  <c r="AE90" i="81"/>
  <c r="AF90" i="81"/>
  <c r="AG90" i="81"/>
  <c r="AH90" i="81"/>
  <c r="AI90" i="81"/>
  <c r="AJ90" i="81"/>
  <c r="AK90" i="81"/>
  <c r="AL90" i="81"/>
  <c r="AM90" i="81"/>
  <c r="AN90" i="81"/>
  <c r="AO90" i="81"/>
  <c r="AP90" i="81"/>
  <c r="AQ90" i="81"/>
  <c r="B91" i="81"/>
  <c r="C91" i="81"/>
  <c r="D91" i="81"/>
  <c r="E91" i="81"/>
  <c r="F91" i="81"/>
  <c r="G91" i="81"/>
  <c r="H91" i="81"/>
  <c r="I91" i="81"/>
  <c r="J91" i="81"/>
  <c r="K91" i="81"/>
  <c r="L91" i="81"/>
  <c r="M91" i="81"/>
  <c r="N91" i="81"/>
  <c r="O91" i="81"/>
  <c r="P91" i="81"/>
  <c r="Q91" i="81"/>
  <c r="R91" i="81"/>
  <c r="S91" i="81"/>
  <c r="T91" i="81"/>
  <c r="U91" i="81"/>
  <c r="V91" i="81"/>
  <c r="W91" i="81"/>
  <c r="X91" i="81"/>
  <c r="Y91" i="81"/>
  <c r="Z91" i="81"/>
  <c r="AA91" i="81"/>
  <c r="AB91" i="81"/>
  <c r="AC91" i="81"/>
  <c r="AD91" i="81"/>
  <c r="AE91" i="81"/>
  <c r="AF91" i="81"/>
  <c r="AG91" i="81"/>
  <c r="AH91" i="81"/>
  <c r="AI91" i="81"/>
  <c r="AJ91" i="81"/>
  <c r="AK91" i="81"/>
  <c r="AL91" i="81"/>
  <c r="AM91" i="81"/>
  <c r="AN91" i="81"/>
  <c r="AO91" i="81"/>
  <c r="AP91" i="81"/>
  <c r="AQ91" i="81"/>
  <c r="B92" i="81"/>
  <c r="C92" i="81"/>
  <c r="D92" i="81"/>
  <c r="E92" i="81"/>
  <c r="F92" i="81"/>
  <c r="G92" i="81"/>
  <c r="H92" i="81"/>
  <c r="I92" i="81"/>
  <c r="J92" i="81"/>
  <c r="K92" i="81"/>
  <c r="L92" i="81"/>
  <c r="M92" i="81"/>
  <c r="N92" i="81"/>
  <c r="O92" i="81"/>
  <c r="P92" i="81"/>
  <c r="Q92" i="81"/>
  <c r="R92" i="81"/>
  <c r="S92" i="81"/>
  <c r="T92" i="81"/>
  <c r="U92" i="81"/>
  <c r="V92" i="81"/>
  <c r="W92" i="81"/>
  <c r="X92" i="81"/>
  <c r="Y92" i="81"/>
  <c r="Z92" i="81"/>
  <c r="AA92" i="81"/>
  <c r="AB92" i="81"/>
  <c r="AC92" i="81"/>
  <c r="AD92" i="81"/>
  <c r="AE92" i="81"/>
  <c r="AF92" i="81"/>
  <c r="AG92" i="81"/>
  <c r="AH92" i="81"/>
  <c r="AI92" i="81"/>
  <c r="AJ92" i="81"/>
  <c r="AK92" i="81"/>
  <c r="AL92" i="81"/>
  <c r="AM92" i="81"/>
  <c r="AN92" i="81"/>
  <c r="AO92" i="81"/>
  <c r="AP92" i="81"/>
  <c r="AQ92" i="81"/>
  <c r="B93" i="81"/>
  <c r="C93" i="81"/>
  <c r="D93" i="81"/>
  <c r="E93" i="81"/>
  <c r="F93" i="81"/>
  <c r="G93" i="81"/>
  <c r="H93" i="81"/>
  <c r="I93" i="81"/>
  <c r="J93" i="81"/>
  <c r="K93" i="81"/>
  <c r="L93" i="81"/>
  <c r="M93" i="81"/>
  <c r="N93" i="81"/>
  <c r="O93" i="81"/>
  <c r="P93" i="81"/>
  <c r="Q93" i="81"/>
  <c r="R93" i="81"/>
  <c r="S93" i="81"/>
  <c r="T93" i="81"/>
  <c r="U93" i="81"/>
  <c r="V93" i="81"/>
  <c r="W93" i="81"/>
  <c r="X93" i="81"/>
  <c r="Y93" i="81"/>
  <c r="Z93" i="81"/>
  <c r="AA93" i="81"/>
  <c r="AB93" i="81"/>
  <c r="AC93" i="81"/>
  <c r="AD93" i="81"/>
  <c r="AE93" i="81"/>
  <c r="AF93" i="81"/>
  <c r="AG93" i="81"/>
  <c r="AH93" i="81"/>
  <c r="AI93" i="81"/>
  <c r="AJ93" i="81"/>
  <c r="AK93" i="81"/>
  <c r="AL93" i="81"/>
  <c r="AM93" i="81"/>
  <c r="AN93" i="81"/>
  <c r="AO93" i="81"/>
  <c r="AP93" i="81"/>
  <c r="AQ93" i="81"/>
  <c r="B94" i="81"/>
  <c r="C94" i="81"/>
  <c r="D94" i="81"/>
  <c r="E94" i="81"/>
  <c r="F94" i="81"/>
  <c r="G94" i="81"/>
  <c r="H94" i="81"/>
  <c r="I94" i="81"/>
  <c r="J94" i="81"/>
  <c r="K94" i="81"/>
  <c r="L94" i="81"/>
  <c r="M94" i="81"/>
  <c r="N94" i="81"/>
  <c r="O94" i="81"/>
  <c r="P94" i="81"/>
  <c r="Q94" i="81"/>
  <c r="R94" i="81"/>
  <c r="S94" i="81"/>
  <c r="T94" i="81"/>
  <c r="U94" i="81"/>
  <c r="V94" i="81"/>
  <c r="W94" i="81"/>
  <c r="X94" i="81"/>
  <c r="Y94" i="81"/>
  <c r="Z94" i="81"/>
  <c r="AA94" i="81"/>
  <c r="AB94" i="81"/>
  <c r="AC94" i="81"/>
  <c r="AD94" i="81"/>
  <c r="AE94" i="81"/>
  <c r="AF94" i="81"/>
  <c r="AG94" i="81"/>
  <c r="AH94" i="81"/>
  <c r="AI94" i="81"/>
  <c r="AJ94" i="81"/>
  <c r="AK94" i="81"/>
  <c r="AL94" i="81"/>
  <c r="AM94" i="81"/>
  <c r="AN94" i="81"/>
  <c r="AO94" i="81"/>
  <c r="AP94" i="81"/>
  <c r="AQ94" i="81"/>
  <c r="B95" i="81"/>
  <c r="C95" i="81"/>
  <c r="D95" i="81"/>
  <c r="E95" i="81"/>
  <c r="F95" i="81"/>
  <c r="G95" i="81"/>
  <c r="H95" i="81"/>
  <c r="I95" i="81"/>
  <c r="J95" i="81"/>
  <c r="K95" i="81"/>
  <c r="L95" i="81"/>
  <c r="M95" i="81"/>
  <c r="N95" i="81"/>
  <c r="O95" i="81"/>
  <c r="P95" i="81"/>
  <c r="Q95" i="81"/>
  <c r="R95" i="81"/>
  <c r="S95" i="81"/>
  <c r="T95" i="81"/>
  <c r="U95" i="81"/>
  <c r="V95" i="81"/>
  <c r="W95" i="81"/>
  <c r="X95" i="81"/>
  <c r="Y95" i="81"/>
  <c r="Z95" i="81"/>
  <c r="AA95" i="81"/>
  <c r="AB95" i="81"/>
  <c r="AC95" i="81"/>
  <c r="AD95" i="81"/>
  <c r="AE95" i="81"/>
  <c r="AF95" i="81"/>
  <c r="AG95" i="81"/>
  <c r="AH95" i="81"/>
  <c r="AI95" i="81"/>
  <c r="AJ95" i="81"/>
  <c r="AK95" i="81"/>
  <c r="AL95" i="81"/>
  <c r="AM95" i="81"/>
  <c r="AN95" i="81"/>
  <c r="AO95" i="81"/>
  <c r="AP95" i="81"/>
  <c r="AQ95" i="81"/>
  <c r="B96" i="81"/>
  <c r="C96" i="81"/>
  <c r="D96" i="81"/>
  <c r="E96" i="81"/>
  <c r="F96" i="81"/>
  <c r="G96" i="81"/>
  <c r="H96" i="81"/>
  <c r="I96" i="81"/>
  <c r="J96" i="81"/>
  <c r="K96" i="81"/>
  <c r="L96" i="81"/>
  <c r="M96" i="81"/>
  <c r="N96" i="81"/>
  <c r="O96" i="81"/>
  <c r="P96" i="81"/>
  <c r="Q96" i="81"/>
  <c r="R96" i="81"/>
  <c r="S96" i="81"/>
  <c r="T96" i="81"/>
  <c r="U96" i="81"/>
  <c r="V96" i="81"/>
  <c r="W96" i="81"/>
  <c r="X96" i="81"/>
  <c r="Y96" i="81"/>
  <c r="Z96" i="81"/>
  <c r="AA96" i="81"/>
  <c r="AB96" i="81"/>
  <c r="AC96" i="81"/>
  <c r="AD96" i="81"/>
  <c r="AE96" i="81"/>
  <c r="AF96" i="81"/>
  <c r="AG96" i="81"/>
  <c r="AH96" i="81"/>
  <c r="AI96" i="81"/>
  <c r="AJ96" i="81"/>
  <c r="AK96" i="81"/>
  <c r="AL96" i="81"/>
  <c r="AM96" i="81"/>
  <c r="AN96" i="81"/>
  <c r="AO96" i="81"/>
  <c r="AP96" i="81"/>
  <c r="AQ96" i="81"/>
  <c r="B97" i="81"/>
  <c r="C97" i="81"/>
  <c r="D97" i="81"/>
  <c r="E97" i="81"/>
  <c r="F97" i="81"/>
  <c r="G97" i="81"/>
  <c r="H97" i="81"/>
  <c r="I97" i="81"/>
  <c r="J97" i="81"/>
  <c r="K97" i="81"/>
  <c r="L97" i="81"/>
  <c r="M97" i="81"/>
  <c r="N97" i="81"/>
  <c r="O97" i="81"/>
  <c r="P97" i="81"/>
  <c r="Q97" i="81"/>
  <c r="R97" i="81"/>
  <c r="S97" i="81"/>
  <c r="T97" i="81"/>
  <c r="U97" i="81"/>
  <c r="V97" i="81"/>
  <c r="W97" i="81"/>
  <c r="X97" i="81"/>
  <c r="Y97" i="81"/>
  <c r="Z97" i="81"/>
  <c r="AA97" i="81"/>
  <c r="AB97" i="81"/>
  <c r="AC97" i="81"/>
  <c r="AD97" i="81"/>
  <c r="AE97" i="81"/>
  <c r="AF97" i="81"/>
  <c r="AG97" i="81"/>
  <c r="AH97" i="81"/>
  <c r="AI97" i="81"/>
  <c r="AJ97" i="81"/>
  <c r="AK97" i="81"/>
  <c r="AL97" i="81"/>
  <c r="AM97" i="81"/>
  <c r="AN97" i="81"/>
  <c r="AO97" i="81"/>
  <c r="AP97" i="81"/>
  <c r="AQ97" i="81"/>
  <c r="B98" i="81"/>
  <c r="C98" i="81"/>
  <c r="D98" i="81"/>
  <c r="E98" i="81"/>
  <c r="F98" i="81"/>
  <c r="G98" i="81"/>
  <c r="H98" i="81"/>
  <c r="I98" i="81"/>
  <c r="J98" i="81"/>
  <c r="K98" i="81"/>
  <c r="L98" i="81"/>
  <c r="M98" i="81"/>
  <c r="N98" i="81"/>
  <c r="O98" i="81"/>
  <c r="P98" i="81"/>
  <c r="Q98" i="81"/>
  <c r="R98" i="81"/>
  <c r="S98" i="81"/>
  <c r="T98" i="81"/>
  <c r="U98" i="81"/>
  <c r="V98" i="81"/>
  <c r="W98" i="81"/>
  <c r="X98" i="81"/>
  <c r="Y98" i="81"/>
  <c r="Z98" i="81"/>
  <c r="AA98" i="81"/>
  <c r="AB98" i="81"/>
  <c r="AC98" i="81"/>
  <c r="AD98" i="81"/>
  <c r="AE98" i="81"/>
  <c r="AF98" i="81"/>
  <c r="AG98" i="81"/>
  <c r="AH98" i="81"/>
  <c r="AI98" i="81"/>
  <c r="AJ98" i="81"/>
  <c r="AK98" i="81"/>
  <c r="AL98" i="81"/>
  <c r="AM98" i="81"/>
  <c r="AN98" i="81"/>
  <c r="AO98" i="81"/>
  <c r="AP98" i="81"/>
  <c r="AQ98" i="81"/>
  <c r="B99" i="81"/>
  <c r="C99" i="81"/>
  <c r="D99" i="81"/>
  <c r="E99" i="81"/>
  <c r="F99" i="81"/>
  <c r="G99" i="81"/>
  <c r="H99" i="81"/>
  <c r="I99" i="81"/>
  <c r="J99" i="81"/>
  <c r="K99" i="81"/>
  <c r="L99" i="81"/>
  <c r="M99" i="81"/>
  <c r="N99" i="81"/>
  <c r="O99" i="81"/>
  <c r="P99" i="81"/>
  <c r="Q99" i="81"/>
  <c r="R99" i="81"/>
  <c r="S99" i="81"/>
  <c r="T99" i="81"/>
  <c r="U99" i="81"/>
  <c r="V99" i="81"/>
  <c r="W99" i="81"/>
  <c r="X99" i="81"/>
  <c r="Y99" i="81"/>
  <c r="Z99" i="81"/>
  <c r="AA99" i="81"/>
  <c r="AB99" i="81"/>
  <c r="AC99" i="81"/>
  <c r="AD99" i="81"/>
  <c r="AE99" i="81"/>
  <c r="AF99" i="81"/>
  <c r="AG99" i="81"/>
  <c r="AH99" i="81"/>
  <c r="AI99" i="81"/>
  <c r="AJ99" i="81"/>
  <c r="AK99" i="81"/>
  <c r="AL99" i="81"/>
  <c r="AM99" i="81"/>
  <c r="AN99" i="81"/>
  <c r="AO99" i="81"/>
  <c r="AP99" i="81"/>
  <c r="AQ99" i="81"/>
  <c r="B100" i="81"/>
  <c r="C100" i="81"/>
  <c r="D100" i="81"/>
  <c r="E100" i="81"/>
  <c r="F100" i="81"/>
  <c r="G100" i="81"/>
  <c r="H100" i="81"/>
  <c r="I100" i="81"/>
  <c r="J100" i="81"/>
  <c r="K100" i="81"/>
  <c r="L100" i="81"/>
  <c r="M100" i="81"/>
  <c r="N100" i="81"/>
  <c r="O100" i="81"/>
  <c r="P100" i="81"/>
  <c r="Q100" i="81"/>
  <c r="R100" i="81"/>
  <c r="S100" i="81"/>
  <c r="T100" i="81"/>
  <c r="U100" i="81"/>
  <c r="V100" i="81"/>
  <c r="W100" i="81"/>
  <c r="X100" i="81"/>
  <c r="Y100" i="81"/>
  <c r="Z100" i="81"/>
  <c r="AA100" i="81"/>
  <c r="AB100" i="81"/>
  <c r="AC100" i="81"/>
  <c r="AD100" i="81"/>
  <c r="AE100" i="81"/>
  <c r="AF100" i="81"/>
  <c r="AG100" i="81"/>
  <c r="AH100" i="81"/>
  <c r="AI100" i="81"/>
  <c r="AJ100" i="81"/>
  <c r="AK100" i="81"/>
  <c r="AL100" i="81"/>
  <c r="AM100" i="81"/>
  <c r="AN100" i="81"/>
  <c r="AO100" i="81"/>
  <c r="AP100" i="81"/>
  <c r="AQ100" i="81"/>
  <c r="B101" i="81"/>
  <c r="C101" i="81"/>
  <c r="D101" i="81"/>
  <c r="E101" i="81"/>
  <c r="F101" i="81"/>
  <c r="G101" i="81"/>
  <c r="H101" i="81"/>
  <c r="I101" i="81"/>
  <c r="J101" i="81"/>
  <c r="K101" i="81"/>
  <c r="L101" i="81"/>
  <c r="M101" i="81"/>
  <c r="N101" i="81"/>
  <c r="O101" i="81"/>
  <c r="P101" i="81"/>
  <c r="Q101" i="81"/>
  <c r="R101" i="81"/>
  <c r="S101" i="81"/>
  <c r="T101" i="81"/>
  <c r="U101" i="81"/>
  <c r="V101" i="81"/>
  <c r="W101" i="81"/>
  <c r="X101" i="81"/>
  <c r="Y101" i="81"/>
  <c r="Z101" i="81"/>
  <c r="AA101" i="81"/>
  <c r="AB101" i="81"/>
  <c r="AC101" i="81"/>
  <c r="AD101" i="81"/>
  <c r="AE101" i="81"/>
  <c r="AF101" i="81"/>
  <c r="AG101" i="81"/>
  <c r="AH101" i="81"/>
  <c r="AI101" i="81"/>
  <c r="AJ101" i="81"/>
  <c r="AK101" i="81"/>
  <c r="AL101" i="81"/>
  <c r="AM101" i="81"/>
  <c r="AN101" i="81"/>
  <c r="AO101" i="81"/>
  <c r="AP101" i="81"/>
  <c r="AQ101" i="81"/>
  <c r="B102" i="81"/>
  <c r="C102" i="81"/>
  <c r="D102" i="81"/>
  <c r="E102" i="81"/>
  <c r="F102" i="81"/>
  <c r="G102" i="81"/>
  <c r="H102" i="81"/>
  <c r="I102" i="81"/>
  <c r="J102" i="81"/>
  <c r="K102" i="81"/>
  <c r="L102" i="81"/>
  <c r="M102" i="81"/>
  <c r="N102" i="81"/>
  <c r="O102" i="81"/>
  <c r="P102" i="81"/>
  <c r="Q102" i="81"/>
  <c r="R102" i="81"/>
  <c r="S102" i="81"/>
  <c r="T102" i="81"/>
  <c r="U102" i="81"/>
  <c r="V102" i="81"/>
  <c r="W102" i="81"/>
  <c r="X102" i="81"/>
  <c r="Y102" i="81"/>
  <c r="Z102" i="81"/>
  <c r="AA102" i="81"/>
  <c r="AB102" i="81"/>
  <c r="AC102" i="81"/>
  <c r="AD102" i="81"/>
  <c r="AE102" i="81"/>
  <c r="AF102" i="81"/>
  <c r="AG102" i="81"/>
  <c r="AH102" i="81"/>
  <c r="AI102" i="81"/>
  <c r="AJ102" i="81"/>
  <c r="AK102" i="81"/>
  <c r="AL102" i="81"/>
  <c r="AM102" i="81"/>
  <c r="AN102" i="81"/>
  <c r="AO102" i="81"/>
  <c r="AP102" i="81"/>
  <c r="AQ102" i="81"/>
  <c r="B103" i="81"/>
  <c r="C103" i="81"/>
  <c r="D103" i="81"/>
  <c r="E103" i="81"/>
  <c r="F103" i="81"/>
  <c r="G103" i="81"/>
  <c r="H103" i="81"/>
  <c r="I103" i="81"/>
  <c r="J103" i="81"/>
  <c r="K103" i="81"/>
  <c r="L103" i="81"/>
  <c r="M103" i="81"/>
  <c r="N103" i="81"/>
  <c r="O103" i="81"/>
  <c r="P103" i="81"/>
  <c r="Q103" i="81"/>
  <c r="R103" i="81"/>
  <c r="S103" i="81"/>
  <c r="T103" i="81"/>
  <c r="U103" i="81"/>
  <c r="V103" i="81"/>
  <c r="W103" i="81"/>
  <c r="X103" i="81"/>
  <c r="Y103" i="81"/>
  <c r="Z103" i="81"/>
  <c r="AA103" i="81"/>
  <c r="AB103" i="81"/>
  <c r="AC103" i="81"/>
  <c r="AD103" i="81"/>
  <c r="AE103" i="81"/>
  <c r="AF103" i="81"/>
  <c r="AG103" i="81"/>
  <c r="AH103" i="81"/>
  <c r="AI103" i="81"/>
  <c r="AJ103" i="81"/>
  <c r="AK103" i="81"/>
  <c r="AL103" i="81"/>
  <c r="AM103" i="81"/>
  <c r="AN103" i="81"/>
  <c r="AO103" i="81"/>
  <c r="AP103" i="81"/>
  <c r="AQ103" i="81"/>
  <c r="B104" i="81"/>
  <c r="C104" i="81"/>
  <c r="D104" i="81"/>
  <c r="E104" i="81"/>
  <c r="F104" i="81"/>
  <c r="G104" i="81"/>
  <c r="H104" i="81"/>
  <c r="I104" i="81"/>
  <c r="J104" i="81"/>
  <c r="K104" i="81"/>
  <c r="L104" i="81"/>
  <c r="M104" i="81"/>
  <c r="N104" i="81"/>
  <c r="O104" i="81"/>
  <c r="P104" i="81"/>
  <c r="Q104" i="81"/>
  <c r="R104" i="81"/>
  <c r="S104" i="81"/>
  <c r="T104" i="81"/>
  <c r="U104" i="81"/>
  <c r="V104" i="81"/>
  <c r="W104" i="81"/>
  <c r="X104" i="81"/>
  <c r="Y104" i="81"/>
  <c r="Z104" i="81"/>
  <c r="AA104" i="81"/>
  <c r="AB104" i="81"/>
  <c r="AC104" i="81"/>
  <c r="AD104" i="81"/>
  <c r="AE104" i="81"/>
  <c r="AF104" i="81"/>
  <c r="AG104" i="81"/>
  <c r="AH104" i="81"/>
  <c r="AI104" i="81"/>
  <c r="AJ104" i="81"/>
  <c r="AK104" i="81"/>
  <c r="AL104" i="81"/>
  <c r="AM104" i="81"/>
  <c r="AN104" i="81"/>
  <c r="AO104" i="81"/>
  <c r="AP104" i="81"/>
  <c r="AQ104" i="81"/>
  <c r="B105" i="81"/>
  <c r="C105" i="81"/>
  <c r="D105" i="81"/>
  <c r="E105" i="81"/>
  <c r="F105" i="81"/>
  <c r="G105" i="81"/>
  <c r="H105" i="81"/>
  <c r="I105" i="81"/>
  <c r="J105" i="81"/>
  <c r="K105" i="81"/>
  <c r="L105" i="81"/>
  <c r="M105" i="81"/>
  <c r="N105" i="81"/>
  <c r="O105" i="81"/>
  <c r="P105" i="81"/>
  <c r="Q105" i="81"/>
  <c r="R105" i="81"/>
  <c r="S105" i="81"/>
  <c r="T105" i="81"/>
  <c r="U105" i="81"/>
  <c r="V105" i="81"/>
  <c r="W105" i="81"/>
  <c r="X105" i="81"/>
  <c r="Y105" i="81"/>
  <c r="Z105" i="81"/>
  <c r="AA105" i="81"/>
  <c r="AB105" i="81"/>
  <c r="AC105" i="81"/>
  <c r="AD105" i="81"/>
  <c r="AE105" i="81"/>
  <c r="AF105" i="81"/>
  <c r="AG105" i="81"/>
  <c r="AH105" i="81"/>
  <c r="AI105" i="81"/>
  <c r="AJ105" i="81"/>
  <c r="AK105" i="81"/>
  <c r="AL105" i="81"/>
  <c r="AM105" i="81"/>
  <c r="AN105" i="81"/>
  <c r="AO105" i="81"/>
  <c r="AP105" i="81"/>
  <c r="AQ105" i="81"/>
  <c r="B106" i="81"/>
  <c r="C106" i="81"/>
  <c r="D106" i="81"/>
  <c r="E106" i="81"/>
  <c r="F106" i="81"/>
  <c r="G106" i="81"/>
  <c r="H106" i="81"/>
  <c r="I106" i="81"/>
  <c r="J106" i="81"/>
  <c r="K106" i="81"/>
  <c r="L106" i="81"/>
  <c r="M106" i="81"/>
  <c r="N106" i="81"/>
  <c r="O106" i="81"/>
  <c r="P106" i="81"/>
  <c r="Q106" i="81"/>
  <c r="R106" i="81"/>
  <c r="S106" i="81"/>
  <c r="T106" i="81"/>
  <c r="U106" i="81"/>
  <c r="V106" i="81"/>
  <c r="W106" i="81"/>
  <c r="X106" i="81"/>
  <c r="Y106" i="81"/>
  <c r="Z106" i="81"/>
  <c r="AA106" i="81"/>
  <c r="AB106" i="81"/>
  <c r="AC106" i="81"/>
  <c r="AD106" i="81"/>
  <c r="AE106" i="81"/>
  <c r="AF106" i="81"/>
  <c r="AG106" i="81"/>
  <c r="AH106" i="81"/>
  <c r="AI106" i="81"/>
  <c r="AJ106" i="81"/>
  <c r="AK106" i="81"/>
  <c r="AL106" i="81"/>
  <c r="AM106" i="81"/>
  <c r="AN106" i="81"/>
  <c r="AO106" i="81"/>
  <c r="AP106" i="81"/>
  <c r="AQ106" i="81"/>
  <c r="B107" i="81"/>
  <c r="C107" i="81"/>
  <c r="D107" i="81"/>
  <c r="E107" i="81"/>
  <c r="F107" i="81"/>
  <c r="G107" i="81"/>
  <c r="H107" i="81"/>
  <c r="I107" i="81"/>
  <c r="J107" i="81"/>
  <c r="K107" i="81"/>
  <c r="L107" i="81"/>
  <c r="M107" i="81"/>
  <c r="N107" i="81"/>
  <c r="O107" i="81"/>
  <c r="P107" i="81"/>
  <c r="Q107" i="81"/>
  <c r="R107" i="81"/>
  <c r="S107" i="81"/>
  <c r="T107" i="81"/>
  <c r="U107" i="81"/>
  <c r="V107" i="81"/>
  <c r="W107" i="81"/>
  <c r="X107" i="81"/>
  <c r="Y107" i="81"/>
  <c r="Z107" i="81"/>
  <c r="AA107" i="81"/>
  <c r="AB107" i="81"/>
  <c r="AC107" i="81"/>
  <c r="AD107" i="81"/>
  <c r="AE107" i="81"/>
  <c r="AF107" i="81"/>
  <c r="AG107" i="81"/>
  <c r="AH107" i="81"/>
  <c r="AI107" i="81"/>
  <c r="AJ107" i="81"/>
  <c r="AK107" i="81"/>
  <c r="AL107" i="81"/>
  <c r="AM107" i="81"/>
  <c r="AN107" i="81"/>
  <c r="AO107" i="81"/>
  <c r="AP107" i="81"/>
  <c r="AQ107" i="81"/>
  <c r="B108" i="81"/>
  <c r="C108" i="81"/>
  <c r="D108" i="81"/>
  <c r="E108" i="81"/>
  <c r="F108" i="81"/>
  <c r="G108" i="81"/>
  <c r="H108" i="81"/>
  <c r="I108" i="81"/>
  <c r="J108" i="81"/>
  <c r="K108" i="81"/>
  <c r="L108" i="81"/>
  <c r="M108" i="81"/>
  <c r="N108" i="81"/>
  <c r="O108" i="81"/>
  <c r="P108" i="81"/>
  <c r="Q108" i="81"/>
  <c r="R108" i="81"/>
  <c r="S108" i="81"/>
  <c r="T108" i="81"/>
  <c r="U108" i="81"/>
  <c r="V108" i="81"/>
  <c r="W108" i="81"/>
  <c r="X108" i="81"/>
  <c r="Y108" i="81"/>
  <c r="Z108" i="81"/>
  <c r="AA108" i="81"/>
  <c r="AB108" i="81"/>
  <c r="AC108" i="81"/>
  <c r="AD108" i="81"/>
  <c r="AE108" i="81"/>
  <c r="AF108" i="81"/>
  <c r="AG108" i="81"/>
  <c r="AH108" i="81"/>
  <c r="AI108" i="81"/>
  <c r="AJ108" i="81"/>
  <c r="AK108" i="81"/>
  <c r="AL108" i="81"/>
  <c r="AM108" i="81"/>
  <c r="AN108" i="81"/>
  <c r="AO108" i="81"/>
  <c r="AP108" i="81"/>
  <c r="AQ108" i="81"/>
  <c r="B109" i="81"/>
  <c r="C109" i="81"/>
  <c r="D109" i="81"/>
  <c r="E109" i="81"/>
  <c r="F109" i="81"/>
  <c r="G109" i="81"/>
  <c r="H109" i="81"/>
  <c r="I109" i="81"/>
  <c r="J109" i="81"/>
  <c r="K109" i="81"/>
  <c r="L109" i="81"/>
  <c r="M109" i="81"/>
  <c r="N109" i="81"/>
  <c r="O109" i="81"/>
  <c r="P109" i="81"/>
  <c r="Q109" i="81"/>
  <c r="R109" i="81"/>
  <c r="S109" i="81"/>
  <c r="T109" i="81"/>
  <c r="U109" i="81"/>
  <c r="V109" i="81"/>
  <c r="W109" i="81"/>
  <c r="X109" i="81"/>
  <c r="Y109" i="81"/>
  <c r="Z109" i="81"/>
  <c r="AA109" i="81"/>
  <c r="AB109" i="81"/>
  <c r="AC109" i="81"/>
  <c r="AD109" i="81"/>
  <c r="AE109" i="81"/>
  <c r="AF109" i="81"/>
  <c r="AG109" i="81"/>
  <c r="AH109" i="81"/>
  <c r="AI109" i="81"/>
  <c r="AJ109" i="81"/>
  <c r="AK109" i="81"/>
  <c r="AL109" i="81"/>
  <c r="AM109" i="81"/>
  <c r="AN109" i="81"/>
  <c r="AO109" i="81"/>
  <c r="AP109" i="81"/>
  <c r="AQ109" i="81"/>
  <c r="B110" i="81"/>
  <c r="C110" i="81"/>
  <c r="D110" i="81"/>
  <c r="E110" i="81"/>
  <c r="F110" i="81"/>
  <c r="G110" i="81"/>
  <c r="H110" i="81"/>
  <c r="I110" i="81"/>
  <c r="J110" i="81"/>
  <c r="K110" i="81"/>
  <c r="L110" i="81"/>
  <c r="M110" i="81"/>
  <c r="N110" i="81"/>
  <c r="O110" i="81"/>
  <c r="P110" i="81"/>
  <c r="Q110" i="81"/>
  <c r="R110" i="81"/>
  <c r="S110" i="81"/>
  <c r="T110" i="81"/>
  <c r="U110" i="81"/>
  <c r="V110" i="81"/>
  <c r="W110" i="81"/>
  <c r="X110" i="81"/>
  <c r="Y110" i="81"/>
  <c r="Z110" i="81"/>
  <c r="AA110" i="81"/>
  <c r="AB110" i="81"/>
  <c r="AC110" i="81"/>
  <c r="AD110" i="81"/>
  <c r="AE110" i="81"/>
  <c r="AF110" i="81"/>
  <c r="AG110" i="81"/>
  <c r="AH110" i="81"/>
  <c r="AI110" i="81"/>
  <c r="AJ110" i="81"/>
  <c r="AK110" i="81"/>
  <c r="AL110" i="81"/>
  <c r="AM110" i="81"/>
  <c r="AN110" i="81"/>
  <c r="AO110" i="81"/>
  <c r="AP110" i="81"/>
  <c r="AQ110" i="81"/>
  <c r="B111" i="81"/>
  <c r="C111" i="81"/>
  <c r="D111" i="81"/>
  <c r="E111" i="81"/>
  <c r="F111" i="81"/>
  <c r="G111" i="81"/>
  <c r="H111" i="81"/>
  <c r="I111" i="81"/>
  <c r="J111" i="81"/>
  <c r="K111" i="81"/>
  <c r="L111" i="81"/>
  <c r="M111" i="81"/>
  <c r="N111" i="81"/>
  <c r="O111" i="81"/>
  <c r="P111" i="81"/>
  <c r="Q111" i="81"/>
  <c r="R111" i="81"/>
  <c r="S111" i="81"/>
  <c r="T111" i="81"/>
  <c r="U111" i="81"/>
  <c r="V111" i="81"/>
  <c r="W111" i="81"/>
  <c r="X111" i="81"/>
  <c r="Y111" i="81"/>
  <c r="Z111" i="81"/>
  <c r="AA111" i="81"/>
  <c r="AB111" i="81"/>
  <c r="AC111" i="81"/>
  <c r="AD111" i="81"/>
  <c r="AE111" i="81"/>
  <c r="AF111" i="81"/>
  <c r="AG111" i="81"/>
  <c r="AH111" i="81"/>
  <c r="AI111" i="81"/>
  <c r="AJ111" i="81"/>
  <c r="AK111" i="81"/>
  <c r="AL111" i="81"/>
  <c r="AM111" i="81"/>
  <c r="AN111" i="81"/>
  <c r="AO111" i="81"/>
  <c r="AP111" i="81"/>
  <c r="AQ111" i="81"/>
  <c r="B112" i="81"/>
  <c r="C112" i="81"/>
  <c r="D112" i="81"/>
  <c r="E112" i="81"/>
  <c r="F112" i="81"/>
  <c r="G112" i="81"/>
  <c r="H112" i="81"/>
  <c r="I112" i="81"/>
  <c r="J112" i="81"/>
  <c r="K112" i="81"/>
  <c r="L112" i="81"/>
  <c r="M112" i="81"/>
  <c r="N112" i="81"/>
  <c r="O112" i="81"/>
  <c r="P112" i="81"/>
  <c r="Q112" i="81"/>
  <c r="R112" i="81"/>
  <c r="S112" i="81"/>
  <c r="T112" i="81"/>
  <c r="U112" i="81"/>
  <c r="V112" i="81"/>
  <c r="W112" i="81"/>
  <c r="X112" i="81"/>
  <c r="Y112" i="81"/>
  <c r="Z112" i="81"/>
  <c r="AA112" i="81"/>
  <c r="AB112" i="81"/>
  <c r="AC112" i="81"/>
  <c r="AD112" i="81"/>
  <c r="AE112" i="81"/>
  <c r="AF112" i="81"/>
  <c r="AG112" i="81"/>
  <c r="AH112" i="81"/>
  <c r="AI112" i="81"/>
  <c r="AJ112" i="81"/>
  <c r="AK112" i="81"/>
  <c r="AL112" i="81"/>
  <c r="AM112" i="81"/>
  <c r="AN112" i="81"/>
  <c r="AO112" i="81"/>
  <c r="AP112" i="81"/>
  <c r="AQ112" i="81"/>
  <c r="B113" i="81"/>
  <c r="C113" i="81"/>
  <c r="D113" i="81"/>
  <c r="E113" i="81"/>
  <c r="F113" i="81"/>
  <c r="G113" i="81"/>
  <c r="H113" i="81"/>
  <c r="I113" i="81"/>
  <c r="J113" i="81"/>
  <c r="K113" i="81"/>
  <c r="L113" i="81"/>
  <c r="M113" i="81"/>
  <c r="N113" i="81"/>
  <c r="O113" i="81"/>
  <c r="P113" i="81"/>
  <c r="Q113" i="81"/>
  <c r="R113" i="81"/>
  <c r="S113" i="81"/>
  <c r="T113" i="81"/>
  <c r="U113" i="81"/>
  <c r="V113" i="81"/>
  <c r="W113" i="81"/>
  <c r="X113" i="81"/>
  <c r="Y113" i="81"/>
  <c r="Z113" i="81"/>
  <c r="AA113" i="81"/>
  <c r="AB113" i="81"/>
  <c r="AC113" i="81"/>
  <c r="AD113" i="81"/>
  <c r="AE113" i="81"/>
  <c r="AF113" i="81"/>
  <c r="AG113" i="81"/>
  <c r="AH113" i="81"/>
  <c r="AI113" i="81"/>
  <c r="AJ113" i="81"/>
  <c r="AK113" i="81"/>
  <c r="AL113" i="81"/>
  <c r="AM113" i="81"/>
  <c r="AN113" i="81"/>
  <c r="AO113" i="81"/>
  <c r="AP113" i="81"/>
  <c r="AQ113" i="81"/>
  <c r="B114" i="81"/>
  <c r="C114" i="81"/>
  <c r="D114" i="81"/>
  <c r="E114" i="81"/>
  <c r="F114" i="81"/>
  <c r="G114" i="81"/>
  <c r="H114" i="81"/>
  <c r="I114" i="81"/>
  <c r="J114" i="81"/>
  <c r="K114" i="81"/>
  <c r="L114" i="81"/>
  <c r="M114" i="81"/>
  <c r="N114" i="81"/>
  <c r="O114" i="81"/>
  <c r="P114" i="81"/>
  <c r="Q114" i="81"/>
  <c r="R114" i="81"/>
  <c r="S114" i="81"/>
  <c r="T114" i="81"/>
  <c r="U114" i="81"/>
  <c r="V114" i="81"/>
  <c r="W114" i="81"/>
  <c r="X114" i="81"/>
  <c r="Y114" i="81"/>
  <c r="Z114" i="81"/>
  <c r="AA114" i="81"/>
  <c r="AB114" i="81"/>
  <c r="AC114" i="81"/>
  <c r="AD114" i="81"/>
  <c r="AE114" i="81"/>
  <c r="AF114" i="81"/>
  <c r="AG114" i="81"/>
  <c r="AH114" i="81"/>
  <c r="AI114" i="81"/>
  <c r="AJ114" i="81"/>
  <c r="AK114" i="81"/>
  <c r="AL114" i="81"/>
  <c r="AM114" i="81"/>
  <c r="AN114" i="81"/>
  <c r="AO114" i="81"/>
  <c r="AP114" i="81"/>
  <c r="AQ114" i="81"/>
  <c r="B115" i="81"/>
  <c r="C115" i="81"/>
  <c r="D115" i="81"/>
  <c r="E115" i="81"/>
  <c r="F115" i="81"/>
  <c r="G115" i="81"/>
  <c r="H115" i="81"/>
  <c r="I115" i="81"/>
  <c r="J115" i="81"/>
  <c r="K115" i="81"/>
  <c r="L115" i="81"/>
  <c r="M115" i="81"/>
  <c r="N115" i="81"/>
  <c r="O115" i="81"/>
  <c r="P115" i="81"/>
  <c r="Q115" i="81"/>
  <c r="R115" i="81"/>
  <c r="S115" i="81"/>
  <c r="T115" i="81"/>
  <c r="U115" i="81"/>
  <c r="V115" i="81"/>
  <c r="W115" i="81"/>
  <c r="X115" i="81"/>
  <c r="Y115" i="81"/>
  <c r="Z115" i="81"/>
  <c r="AA115" i="81"/>
  <c r="AB115" i="81"/>
  <c r="AC115" i="81"/>
  <c r="AD115" i="81"/>
  <c r="AE115" i="81"/>
  <c r="AF115" i="81"/>
  <c r="AG115" i="81"/>
  <c r="AH115" i="81"/>
  <c r="AI115" i="81"/>
  <c r="AJ115" i="81"/>
  <c r="AK115" i="81"/>
  <c r="AL115" i="81"/>
  <c r="AM115" i="81"/>
  <c r="AN115" i="81"/>
  <c r="AO115" i="81"/>
  <c r="AP115" i="81"/>
  <c r="AQ115" i="81"/>
  <c r="B116" i="81"/>
  <c r="C116" i="81"/>
  <c r="D116" i="81"/>
  <c r="E116" i="81"/>
  <c r="F116" i="81"/>
  <c r="G116" i="81"/>
  <c r="H116" i="81"/>
  <c r="I116" i="81"/>
  <c r="J116" i="81"/>
  <c r="K116" i="81"/>
  <c r="L116" i="81"/>
  <c r="M116" i="81"/>
  <c r="N116" i="81"/>
  <c r="O116" i="81"/>
  <c r="P116" i="81"/>
  <c r="Q116" i="81"/>
  <c r="R116" i="81"/>
  <c r="S116" i="81"/>
  <c r="T116" i="81"/>
  <c r="U116" i="81"/>
  <c r="V116" i="81"/>
  <c r="W116" i="81"/>
  <c r="X116" i="81"/>
  <c r="Y116" i="81"/>
  <c r="Z116" i="81"/>
  <c r="AA116" i="81"/>
  <c r="AB116" i="81"/>
  <c r="AC116" i="81"/>
  <c r="AD116" i="81"/>
  <c r="AE116" i="81"/>
  <c r="AF116" i="81"/>
  <c r="AG116" i="81"/>
  <c r="AH116" i="81"/>
  <c r="AI116" i="81"/>
  <c r="AJ116" i="81"/>
  <c r="AK116" i="81"/>
  <c r="AL116" i="81"/>
  <c r="AM116" i="81"/>
  <c r="AN116" i="81"/>
  <c r="AO116" i="81"/>
  <c r="AP116" i="81"/>
  <c r="AQ116" i="81"/>
  <c r="B117" i="81"/>
  <c r="C117" i="81"/>
  <c r="D117" i="81"/>
  <c r="E117" i="81"/>
  <c r="F117" i="81"/>
  <c r="G117" i="81"/>
  <c r="H117" i="81"/>
  <c r="I117" i="81"/>
  <c r="J117" i="81"/>
  <c r="K117" i="81"/>
  <c r="L117" i="81"/>
  <c r="M117" i="81"/>
  <c r="N117" i="81"/>
  <c r="O117" i="81"/>
  <c r="P117" i="81"/>
  <c r="Q117" i="81"/>
  <c r="R117" i="81"/>
  <c r="S117" i="81"/>
  <c r="T117" i="81"/>
  <c r="U117" i="81"/>
  <c r="V117" i="81"/>
  <c r="W117" i="81"/>
  <c r="X117" i="81"/>
  <c r="Y117" i="81"/>
  <c r="Z117" i="81"/>
  <c r="AA117" i="81"/>
  <c r="AB117" i="81"/>
  <c r="AC117" i="81"/>
  <c r="AD117" i="81"/>
  <c r="AE117" i="81"/>
  <c r="AF117" i="81"/>
  <c r="AG117" i="81"/>
  <c r="AH117" i="81"/>
  <c r="AI117" i="81"/>
  <c r="AJ117" i="81"/>
  <c r="AK117" i="81"/>
  <c r="AL117" i="81"/>
  <c r="AM117" i="81"/>
  <c r="AN117" i="81"/>
  <c r="AO117" i="81"/>
  <c r="AP117" i="81"/>
  <c r="AQ117" i="81"/>
  <c r="B118" i="81"/>
  <c r="C118" i="81"/>
  <c r="D118" i="81"/>
  <c r="E118" i="81"/>
  <c r="F118" i="81"/>
  <c r="G118" i="81"/>
  <c r="H118" i="81"/>
  <c r="I118" i="81"/>
  <c r="J118" i="81"/>
  <c r="K118" i="81"/>
  <c r="L118" i="81"/>
  <c r="M118" i="81"/>
  <c r="N118" i="81"/>
  <c r="O118" i="81"/>
  <c r="P118" i="81"/>
  <c r="Q118" i="81"/>
  <c r="R118" i="81"/>
  <c r="S118" i="81"/>
  <c r="T118" i="81"/>
  <c r="U118" i="81"/>
  <c r="V118" i="81"/>
  <c r="W118" i="81"/>
  <c r="X118" i="81"/>
  <c r="Y118" i="81"/>
  <c r="Z118" i="81"/>
  <c r="AA118" i="81"/>
  <c r="AB118" i="81"/>
  <c r="AC118" i="81"/>
  <c r="AD118" i="81"/>
  <c r="AE118" i="81"/>
  <c r="AF118" i="81"/>
  <c r="AG118" i="81"/>
  <c r="AH118" i="81"/>
  <c r="AI118" i="81"/>
  <c r="AJ118" i="81"/>
  <c r="AK118" i="81"/>
  <c r="AL118" i="81"/>
  <c r="AM118" i="81"/>
  <c r="AN118" i="81"/>
  <c r="AO118" i="81"/>
  <c r="AP118" i="81"/>
  <c r="AQ118" i="81"/>
  <c r="B119" i="81"/>
  <c r="C119" i="81"/>
  <c r="D119" i="81"/>
  <c r="E119" i="81"/>
  <c r="F119" i="81"/>
  <c r="G119" i="81"/>
  <c r="H119" i="81"/>
  <c r="I119" i="81"/>
  <c r="J119" i="81"/>
  <c r="K119" i="81"/>
  <c r="L119" i="81"/>
  <c r="M119" i="81"/>
  <c r="N119" i="81"/>
  <c r="O119" i="81"/>
  <c r="P119" i="81"/>
  <c r="Q119" i="81"/>
  <c r="R119" i="81"/>
  <c r="S119" i="81"/>
  <c r="T119" i="81"/>
  <c r="U119" i="81"/>
  <c r="V119" i="81"/>
  <c r="W119" i="81"/>
  <c r="X119" i="81"/>
  <c r="Y119" i="81"/>
  <c r="Z119" i="81"/>
  <c r="AA119" i="81"/>
  <c r="AB119" i="81"/>
  <c r="AC119" i="81"/>
  <c r="AD119" i="81"/>
  <c r="AE119" i="81"/>
  <c r="AF119" i="81"/>
  <c r="AG119" i="81"/>
  <c r="AH119" i="81"/>
  <c r="AI119" i="81"/>
  <c r="AJ119" i="81"/>
  <c r="AK119" i="81"/>
  <c r="AL119" i="81"/>
  <c r="AM119" i="81"/>
  <c r="AN119" i="81"/>
  <c r="AO119" i="81"/>
  <c r="AP119" i="81"/>
  <c r="AQ119" i="81"/>
  <c r="B120" i="81"/>
  <c r="C120" i="81"/>
  <c r="D120" i="81"/>
  <c r="E120" i="81"/>
  <c r="F120" i="81"/>
  <c r="G120" i="81"/>
  <c r="H120" i="81"/>
  <c r="I120" i="81"/>
  <c r="J120" i="81"/>
  <c r="K120" i="81"/>
  <c r="L120" i="81"/>
  <c r="M120" i="81"/>
  <c r="N120" i="81"/>
  <c r="O120" i="81"/>
  <c r="P120" i="81"/>
  <c r="Q120" i="81"/>
  <c r="R120" i="81"/>
  <c r="S120" i="81"/>
  <c r="T120" i="81"/>
  <c r="U120" i="81"/>
  <c r="V120" i="81"/>
  <c r="W120" i="81"/>
  <c r="X120" i="81"/>
  <c r="Y120" i="81"/>
  <c r="Z120" i="81"/>
  <c r="AA120" i="81"/>
  <c r="AB120" i="81"/>
  <c r="AC120" i="81"/>
  <c r="AD120" i="81"/>
  <c r="AE120" i="81"/>
  <c r="AF120" i="81"/>
  <c r="AG120" i="81"/>
  <c r="AH120" i="81"/>
  <c r="AI120" i="81"/>
  <c r="AJ120" i="81"/>
  <c r="AK120" i="81"/>
  <c r="AL120" i="81"/>
  <c r="AM120" i="81"/>
  <c r="AN120" i="81"/>
  <c r="AO120" i="81"/>
  <c r="AP120" i="81"/>
  <c r="AQ120" i="81"/>
  <c r="B121" i="81"/>
  <c r="C121" i="81"/>
  <c r="D121" i="81"/>
  <c r="E121" i="81"/>
  <c r="F121" i="81"/>
  <c r="G121" i="81"/>
  <c r="H121" i="81"/>
  <c r="I121" i="81"/>
  <c r="J121" i="81"/>
  <c r="K121" i="81"/>
  <c r="L121" i="81"/>
  <c r="M121" i="81"/>
  <c r="N121" i="81"/>
  <c r="O121" i="81"/>
  <c r="P121" i="81"/>
  <c r="Q121" i="81"/>
  <c r="R121" i="81"/>
  <c r="S121" i="81"/>
  <c r="T121" i="81"/>
  <c r="U121" i="81"/>
  <c r="V121" i="81"/>
  <c r="W121" i="81"/>
  <c r="X121" i="81"/>
  <c r="Y121" i="81"/>
  <c r="Z121" i="81"/>
  <c r="AA121" i="81"/>
  <c r="AB121" i="81"/>
  <c r="AC121" i="81"/>
  <c r="AD121" i="81"/>
  <c r="AE121" i="81"/>
  <c r="AF121" i="81"/>
  <c r="AG121" i="81"/>
  <c r="AH121" i="81"/>
  <c r="AI121" i="81"/>
  <c r="AJ121" i="81"/>
  <c r="AK121" i="81"/>
  <c r="AL121" i="81"/>
  <c r="AM121" i="81"/>
  <c r="AN121" i="81"/>
  <c r="AO121" i="81"/>
  <c r="AP121" i="81"/>
  <c r="AQ121" i="81"/>
  <c r="B122" i="81"/>
  <c r="C122" i="81"/>
  <c r="D122" i="81"/>
  <c r="E122" i="81"/>
  <c r="F122" i="81"/>
  <c r="G122" i="81"/>
  <c r="H122" i="81"/>
  <c r="I122" i="81"/>
  <c r="J122" i="81"/>
  <c r="K122" i="81"/>
  <c r="L122" i="81"/>
  <c r="M122" i="81"/>
  <c r="N122" i="81"/>
  <c r="O122" i="81"/>
  <c r="P122" i="81"/>
  <c r="Q122" i="81"/>
  <c r="R122" i="81"/>
  <c r="S122" i="81"/>
  <c r="T122" i="81"/>
  <c r="U122" i="81"/>
  <c r="V122" i="81"/>
  <c r="W122" i="81"/>
  <c r="X122" i="81"/>
  <c r="Y122" i="81"/>
  <c r="Z122" i="81"/>
  <c r="AA122" i="81"/>
  <c r="AB122" i="81"/>
  <c r="AC122" i="81"/>
  <c r="AD122" i="81"/>
  <c r="AE122" i="81"/>
  <c r="AF122" i="81"/>
  <c r="AG122" i="81"/>
  <c r="AH122" i="81"/>
  <c r="AI122" i="81"/>
  <c r="AJ122" i="81"/>
  <c r="AK122" i="81"/>
  <c r="AL122" i="81"/>
  <c r="AM122" i="81"/>
  <c r="AN122" i="81"/>
  <c r="AO122" i="81"/>
  <c r="AP122" i="81"/>
  <c r="AQ122" i="81"/>
  <c r="B123" i="81"/>
  <c r="C123" i="81"/>
  <c r="D123" i="81"/>
  <c r="E123" i="81"/>
  <c r="F123" i="81"/>
  <c r="G123" i="81"/>
  <c r="H123" i="81"/>
  <c r="I123" i="81"/>
  <c r="J123" i="81"/>
  <c r="K123" i="81"/>
  <c r="L123" i="81"/>
  <c r="M123" i="81"/>
  <c r="N123" i="81"/>
  <c r="O123" i="81"/>
  <c r="P123" i="81"/>
  <c r="Q123" i="81"/>
  <c r="R123" i="81"/>
  <c r="S123" i="81"/>
  <c r="T123" i="81"/>
  <c r="U123" i="81"/>
  <c r="V123" i="81"/>
  <c r="W123" i="81"/>
  <c r="X123" i="81"/>
  <c r="Y123" i="81"/>
  <c r="Z123" i="81"/>
  <c r="AA123" i="81"/>
  <c r="AB123" i="81"/>
  <c r="AC123" i="81"/>
  <c r="AD123" i="81"/>
  <c r="AE123" i="81"/>
  <c r="AF123" i="81"/>
  <c r="AG123" i="81"/>
  <c r="AH123" i="81"/>
  <c r="AI123" i="81"/>
  <c r="AJ123" i="81"/>
  <c r="AK123" i="81"/>
  <c r="AL123" i="81"/>
  <c r="AM123" i="81"/>
  <c r="AN123" i="81"/>
  <c r="AO123" i="81"/>
  <c r="AP123" i="81"/>
  <c r="AQ123" i="81"/>
  <c r="B124" i="81"/>
  <c r="C124" i="81"/>
  <c r="D124" i="81"/>
  <c r="E124" i="81"/>
  <c r="F124" i="81"/>
  <c r="G124" i="81"/>
  <c r="H124" i="81"/>
  <c r="I124" i="81"/>
  <c r="J124" i="81"/>
  <c r="K124" i="81"/>
  <c r="L124" i="81"/>
  <c r="M124" i="81"/>
  <c r="N124" i="81"/>
  <c r="O124" i="81"/>
  <c r="P124" i="81"/>
  <c r="Q124" i="81"/>
  <c r="R124" i="81"/>
  <c r="S124" i="81"/>
  <c r="T124" i="81"/>
  <c r="U124" i="81"/>
  <c r="V124" i="81"/>
  <c r="W124" i="81"/>
  <c r="X124" i="81"/>
  <c r="Y124" i="81"/>
  <c r="Z124" i="81"/>
  <c r="AA124" i="81"/>
  <c r="AB124" i="81"/>
  <c r="AC124" i="81"/>
  <c r="AD124" i="81"/>
  <c r="AE124" i="81"/>
  <c r="AF124" i="81"/>
  <c r="AG124" i="81"/>
  <c r="AH124" i="81"/>
  <c r="AI124" i="81"/>
  <c r="AJ124" i="81"/>
  <c r="AK124" i="81"/>
  <c r="AL124" i="81"/>
  <c r="AM124" i="81"/>
  <c r="AN124" i="81"/>
  <c r="AO124" i="81"/>
  <c r="AP124" i="81"/>
  <c r="AQ124" i="81"/>
  <c r="B125" i="81"/>
  <c r="C125" i="81"/>
  <c r="D125" i="81"/>
  <c r="E125" i="81"/>
  <c r="F125" i="81"/>
  <c r="G125" i="81"/>
  <c r="H125" i="81"/>
  <c r="I125" i="81"/>
  <c r="J125" i="81"/>
  <c r="K125" i="81"/>
  <c r="L125" i="81"/>
  <c r="M125" i="81"/>
  <c r="N125" i="81"/>
  <c r="O125" i="81"/>
  <c r="P125" i="81"/>
  <c r="Q125" i="81"/>
  <c r="R125" i="81"/>
  <c r="S125" i="81"/>
  <c r="T125" i="81"/>
  <c r="U125" i="81"/>
  <c r="V125" i="81"/>
  <c r="W125" i="81"/>
  <c r="X125" i="81"/>
  <c r="Y125" i="81"/>
  <c r="Z125" i="81"/>
  <c r="AA125" i="81"/>
  <c r="AB125" i="81"/>
  <c r="AC125" i="81"/>
  <c r="AD125" i="81"/>
  <c r="AE125" i="81"/>
  <c r="AF125" i="81"/>
  <c r="AG125" i="81"/>
  <c r="AH125" i="81"/>
  <c r="AI125" i="81"/>
  <c r="AJ125" i="81"/>
  <c r="AK125" i="81"/>
  <c r="AL125" i="81"/>
  <c r="AM125" i="81"/>
  <c r="AN125" i="81"/>
  <c r="AO125" i="81"/>
  <c r="AP125" i="81"/>
  <c r="AQ125" i="81"/>
  <c r="B126" i="81"/>
  <c r="C126" i="81"/>
  <c r="D126" i="81"/>
  <c r="E126" i="81"/>
  <c r="F126" i="81"/>
  <c r="G126" i="81"/>
  <c r="H126" i="81"/>
  <c r="I126" i="81"/>
  <c r="J126" i="81"/>
  <c r="K126" i="81"/>
  <c r="L126" i="81"/>
  <c r="M126" i="81"/>
  <c r="N126" i="81"/>
  <c r="O126" i="81"/>
  <c r="P126" i="81"/>
  <c r="Q126" i="81"/>
  <c r="R126" i="81"/>
  <c r="S126" i="81"/>
  <c r="T126" i="81"/>
  <c r="U126" i="81"/>
  <c r="V126" i="81"/>
  <c r="W126" i="81"/>
  <c r="X126" i="81"/>
  <c r="Y126" i="81"/>
  <c r="Z126" i="81"/>
  <c r="AA126" i="81"/>
  <c r="AB126" i="81"/>
  <c r="AC126" i="81"/>
  <c r="AD126" i="81"/>
  <c r="AE126" i="81"/>
  <c r="AF126" i="81"/>
  <c r="AG126" i="81"/>
  <c r="AH126" i="81"/>
  <c r="AI126" i="81"/>
  <c r="AJ126" i="81"/>
  <c r="AK126" i="81"/>
  <c r="AL126" i="81"/>
  <c r="AM126" i="81"/>
  <c r="AN126" i="81"/>
  <c r="AO126" i="81"/>
  <c r="AP126" i="81"/>
  <c r="AQ126" i="81"/>
  <c r="B127" i="81"/>
  <c r="C127" i="81"/>
  <c r="D127" i="81"/>
  <c r="E127" i="81"/>
  <c r="F127" i="81"/>
  <c r="G127" i="81"/>
  <c r="H127" i="81"/>
  <c r="I127" i="81"/>
  <c r="J127" i="81"/>
  <c r="K127" i="81"/>
  <c r="L127" i="81"/>
  <c r="M127" i="81"/>
  <c r="N127" i="81"/>
  <c r="O127" i="81"/>
  <c r="P127" i="81"/>
  <c r="Q127" i="81"/>
  <c r="R127" i="81"/>
  <c r="S127" i="81"/>
  <c r="T127" i="81"/>
  <c r="U127" i="81"/>
  <c r="V127" i="81"/>
  <c r="W127" i="81"/>
  <c r="X127" i="81"/>
  <c r="Y127" i="81"/>
  <c r="Z127" i="81"/>
  <c r="AA127" i="81"/>
  <c r="AB127" i="81"/>
  <c r="AC127" i="81"/>
  <c r="AD127" i="81"/>
  <c r="AE127" i="81"/>
  <c r="AF127" i="81"/>
  <c r="AG127" i="81"/>
  <c r="AH127" i="81"/>
  <c r="AI127" i="81"/>
  <c r="AJ127" i="81"/>
  <c r="AK127" i="81"/>
  <c r="AL127" i="81"/>
  <c r="AM127" i="81"/>
  <c r="AN127" i="81"/>
  <c r="AO127" i="81"/>
  <c r="AP127" i="81"/>
  <c r="AQ127" i="81"/>
  <c r="B128" i="81"/>
  <c r="C128" i="81"/>
  <c r="D128" i="81"/>
  <c r="E128" i="81"/>
  <c r="F128" i="81"/>
  <c r="G128" i="81"/>
  <c r="H128" i="81"/>
  <c r="I128" i="81"/>
  <c r="J128" i="81"/>
  <c r="K128" i="81"/>
  <c r="L128" i="81"/>
  <c r="M128" i="81"/>
  <c r="N128" i="81"/>
  <c r="O128" i="81"/>
  <c r="P128" i="81"/>
  <c r="Q128" i="81"/>
  <c r="R128" i="81"/>
  <c r="S128" i="81"/>
  <c r="T128" i="81"/>
  <c r="U128" i="81"/>
  <c r="V128" i="81"/>
  <c r="W128" i="81"/>
  <c r="X128" i="81"/>
  <c r="Y128" i="81"/>
  <c r="Z128" i="81"/>
  <c r="AA128" i="81"/>
  <c r="AB128" i="81"/>
  <c r="AC128" i="81"/>
  <c r="AD128" i="81"/>
  <c r="AE128" i="81"/>
  <c r="AF128" i="81"/>
  <c r="AG128" i="81"/>
  <c r="AH128" i="81"/>
  <c r="AI128" i="81"/>
  <c r="AJ128" i="81"/>
  <c r="AK128" i="81"/>
  <c r="AL128" i="81"/>
  <c r="AM128" i="81"/>
  <c r="AN128" i="81"/>
  <c r="AO128" i="81"/>
  <c r="AP128" i="81"/>
  <c r="AQ128" i="81"/>
  <c r="B129" i="81"/>
  <c r="C129" i="81"/>
  <c r="D129" i="81"/>
  <c r="E129" i="81"/>
  <c r="F129" i="81"/>
  <c r="G129" i="81"/>
  <c r="H129" i="81"/>
  <c r="I129" i="81"/>
  <c r="J129" i="81"/>
  <c r="K129" i="81"/>
  <c r="L129" i="81"/>
  <c r="M129" i="81"/>
  <c r="N129" i="81"/>
  <c r="O129" i="81"/>
  <c r="P129" i="81"/>
  <c r="Q129" i="81"/>
  <c r="R129" i="81"/>
  <c r="S129" i="81"/>
  <c r="T129" i="81"/>
  <c r="U129" i="81"/>
  <c r="V129" i="81"/>
  <c r="W129" i="81"/>
  <c r="X129" i="81"/>
  <c r="Y129" i="81"/>
  <c r="Z129" i="81"/>
  <c r="AA129" i="81"/>
  <c r="AB129" i="81"/>
  <c r="AC129" i="81"/>
  <c r="AD129" i="81"/>
  <c r="AE129" i="81"/>
  <c r="AF129" i="81"/>
  <c r="AG129" i="81"/>
  <c r="AH129" i="81"/>
  <c r="AI129" i="81"/>
  <c r="AJ129" i="81"/>
  <c r="AK129" i="81"/>
  <c r="AL129" i="81"/>
  <c r="AM129" i="81"/>
  <c r="AN129" i="81"/>
  <c r="AO129" i="81"/>
  <c r="AP129" i="81"/>
  <c r="AQ129" i="81"/>
  <c r="B130" i="81"/>
  <c r="C130" i="81"/>
  <c r="D130" i="81"/>
  <c r="E130" i="81"/>
  <c r="F130" i="81"/>
  <c r="G130" i="81"/>
  <c r="H130" i="81"/>
  <c r="I130" i="81"/>
  <c r="J130" i="81"/>
  <c r="K130" i="81"/>
  <c r="L130" i="81"/>
  <c r="M130" i="81"/>
  <c r="N130" i="81"/>
  <c r="O130" i="81"/>
  <c r="P130" i="81"/>
  <c r="Q130" i="81"/>
  <c r="R130" i="81"/>
  <c r="S130" i="81"/>
  <c r="T130" i="81"/>
  <c r="U130" i="81"/>
  <c r="V130" i="81"/>
  <c r="W130" i="81"/>
  <c r="X130" i="81"/>
  <c r="Y130" i="81"/>
  <c r="Z130" i="81"/>
  <c r="AA130" i="81"/>
  <c r="AB130" i="81"/>
  <c r="AC130" i="81"/>
  <c r="AD130" i="81"/>
  <c r="AE130" i="81"/>
  <c r="AF130" i="81"/>
  <c r="AG130" i="81"/>
  <c r="AH130" i="81"/>
  <c r="AI130" i="81"/>
  <c r="AJ130" i="81"/>
  <c r="AK130" i="81"/>
  <c r="AL130" i="81"/>
  <c r="AM130" i="81"/>
  <c r="AN130" i="81"/>
  <c r="AO130" i="81"/>
  <c r="AP130" i="81"/>
  <c r="AQ130" i="81"/>
  <c r="B131" i="81"/>
  <c r="C131" i="81"/>
  <c r="D131" i="81"/>
  <c r="E131" i="81"/>
  <c r="F131" i="81"/>
  <c r="G131" i="81"/>
  <c r="H131" i="81"/>
  <c r="I131" i="81"/>
  <c r="J131" i="81"/>
  <c r="K131" i="81"/>
  <c r="L131" i="81"/>
  <c r="M131" i="81"/>
  <c r="N131" i="81"/>
  <c r="O131" i="81"/>
  <c r="P131" i="81"/>
  <c r="Q131" i="81"/>
  <c r="R131" i="81"/>
  <c r="S131" i="81"/>
  <c r="T131" i="81"/>
  <c r="U131" i="81"/>
  <c r="V131" i="81"/>
  <c r="W131" i="81"/>
  <c r="X131" i="81"/>
  <c r="Y131" i="81"/>
  <c r="Z131" i="81"/>
  <c r="AA131" i="81"/>
  <c r="AB131" i="81"/>
  <c r="AC131" i="81"/>
  <c r="AD131" i="81"/>
  <c r="AE131" i="81"/>
  <c r="AF131" i="81"/>
  <c r="AG131" i="81"/>
  <c r="AH131" i="81"/>
  <c r="AI131" i="81"/>
  <c r="AJ131" i="81"/>
  <c r="AK131" i="81"/>
  <c r="AL131" i="81"/>
  <c r="AM131" i="81"/>
  <c r="AN131" i="81"/>
  <c r="AO131" i="81"/>
  <c r="AP131" i="81"/>
  <c r="AQ131" i="81"/>
  <c r="B132" i="81"/>
  <c r="C132" i="81"/>
  <c r="D132" i="81"/>
  <c r="E132" i="81"/>
  <c r="F132" i="81"/>
  <c r="G132" i="81"/>
  <c r="H132" i="81"/>
  <c r="I132" i="81"/>
  <c r="J132" i="81"/>
  <c r="K132" i="81"/>
  <c r="L132" i="81"/>
  <c r="M132" i="81"/>
  <c r="N132" i="81"/>
  <c r="O132" i="81"/>
  <c r="P132" i="81"/>
  <c r="Q132" i="81"/>
  <c r="R132" i="81"/>
  <c r="S132" i="81"/>
  <c r="T132" i="81"/>
  <c r="U132" i="81"/>
  <c r="V132" i="81"/>
  <c r="W132" i="81"/>
  <c r="X132" i="81"/>
  <c r="Y132" i="81"/>
  <c r="Z132" i="81"/>
  <c r="AA132" i="81"/>
  <c r="AB132" i="81"/>
  <c r="AC132" i="81"/>
  <c r="AD132" i="81"/>
  <c r="AE132" i="81"/>
  <c r="AF132" i="81"/>
  <c r="AG132" i="81"/>
  <c r="AH132" i="81"/>
  <c r="AI132" i="81"/>
  <c r="AJ132" i="81"/>
  <c r="AK132" i="81"/>
  <c r="AL132" i="81"/>
  <c r="AM132" i="81"/>
  <c r="AN132" i="81"/>
  <c r="AO132" i="81"/>
  <c r="AP132" i="81"/>
  <c r="AQ132" i="81"/>
  <c r="B133" i="81"/>
  <c r="C133" i="81"/>
  <c r="D133" i="81"/>
  <c r="E133" i="81"/>
  <c r="F133" i="81"/>
  <c r="G133" i="81"/>
  <c r="H133" i="81"/>
  <c r="I133" i="81"/>
  <c r="J133" i="81"/>
  <c r="K133" i="81"/>
  <c r="L133" i="81"/>
  <c r="M133" i="81"/>
  <c r="N133" i="81"/>
  <c r="O133" i="81"/>
  <c r="P133" i="81"/>
  <c r="Q133" i="81"/>
  <c r="R133" i="81"/>
  <c r="S133" i="81"/>
  <c r="T133" i="81"/>
  <c r="U133" i="81"/>
  <c r="V133" i="81"/>
  <c r="W133" i="81"/>
  <c r="X133" i="81"/>
  <c r="Y133" i="81"/>
  <c r="Z133" i="81"/>
  <c r="AA133" i="81"/>
  <c r="AB133" i="81"/>
  <c r="AC133" i="81"/>
  <c r="AD133" i="81"/>
  <c r="AE133" i="81"/>
  <c r="AF133" i="81"/>
  <c r="AG133" i="81"/>
  <c r="AH133" i="81"/>
  <c r="AI133" i="81"/>
  <c r="AJ133" i="81"/>
  <c r="AK133" i="81"/>
  <c r="AL133" i="81"/>
  <c r="AM133" i="81"/>
  <c r="AN133" i="81"/>
  <c r="AO133" i="81"/>
  <c r="AP133" i="81"/>
  <c r="AQ133" i="81"/>
  <c r="B134" i="81"/>
  <c r="C134" i="81"/>
  <c r="D134" i="81"/>
  <c r="E134" i="81"/>
  <c r="F134" i="81"/>
  <c r="G134" i="81"/>
  <c r="H134" i="81"/>
  <c r="I134" i="81"/>
  <c r="J134" i="81"/>
  <c r="K134" i="81"/>
  <c r="L134" i="81"/>
  <c r="M134" i="81"/>
  <c r="N134" i="81"/>
  <c r="O134" i="81"/>
  <c r="P134" i="81"/>
  <c r="Q134" i="81"/>
  <c r="R134" i="81"/>
  <c r="S134" i="81"/>
  <c r="T134" i="81"/>
  <c r="U134" i="81"/>
  <c r="V134" i="81"/>
  <c r="W134" i="81"/>
  <c r="X134" i="81"/>
  <c r="Y134" i="81"/>
  <c r="Z134" i="81"/>
  <c r="AA134" i="81"/>
  <c r="AB134" i="81"/>
  <c r="AC134" i="81"/>
  <c r="AD134" i="81"/>
  <c r="AE134" i="81"/>
  <c r="AF134" i="81"/>
  <c r="AG134" i="81"/>
  <c r="AH134" i="81"/>
  <c r="AI134" i="81"/>
  <c r="AJ134" i="81"/>
  <c r="AK134" i="81"/>
  <c r="AL134" i="81"/>
  <c r="AM134" i="81"/>
  <c r="AN134" i="81"/>
  <c r="AO134" i="81"/>
  <c r="AP134" i="81"/>
  <c r="AQ134" i="81"/>
  <c r="B135" i="81"/>
  <c r="C135" i="81"/>
  <c r="D135" i="81"/>
  <c r="E135" i="81"/>
  <c r="F135" i="81"/>
  <c r="G135" i="81"/>
  <c r="H135" i="81"/>
  <c r="I135" i="81"/>
  <c r="J135" i="81"/>
  <c r="K135" i="81"/>
  <c r="L135" i="81"/>
  <c r="M135" i="81"/>
  <c r="N135" i="81"/>
  <c r="O135" i="81"/>
  <c r="P135" i="81"/>
  <c r="Q135" i="81"/>
  <c r="R135" i="81"/>
  <c r="S135" i="81"/>
  <c r="T135" i="81"/>
  <c r="U135" i="81"/>
  <c r="V135" i="81"/>
  <c r="W135" i="81"/>
  <c r="X135" i="81"/>
  <c r="Y135" i="81"/>
  <c r="Z135" i="81"/>
  <c r="AA135" i="81"/>
  <c r="AB135" i="81"/>
  <c r="AC135" i="81"/>
  <c r="AD135" i="81"/>
  <c r="AE135" i="81"/>
  <c r="AF135" i="81"/>
  <c r="AG135" i="81"/>
  <c r="AH135" i="81"/>
  <c r="AI135" i="81"/>
  <c r="AJ135" i="81"/>
  <c r="AK135" i="81"/>
  <c r="AL135" i="81"/>
  <c r="AM135" i="81"/>
  <c r="AN135" i="81"/>
  <c r="AO135" i="81"/>
  <c r="AP135" i="81"/>
  <c r="AQ135" i="81"/>
  <c r="B136" i="81"/>
  <c r="C136" i="81"/>
  <c r="D136" i="81"/>
  <c r="E136" i="81"/>
  <c r="F136" i="81"/>
  <c r="G136" i="81"/>
  <c r="H136" i="81"/>
  <c r="I136" i="81"/>
  <c r="J136" i="81"/>
  <c r="K136" i="81"/>
  <c r="L136" i="81"/>
  <c r="M136" i="81"/>
  <c r="N136" i="81"/>
  <c r="O136" i="81"/>
  <c r="P136" i="81"/>
  <c r="Q136" i="81"/>
  <c r="R136" i="81"/>
  <c r="S136" i="81"/>
  <c r="T136" i="81"/>
  <c r="U136" i="81"/>
  <c r="V136" i="81"/>
  <c r="W136" i="81"/>
  <c r="X136" i="81"/>
  <c r="Y136" i="81"/>
  <c r="Z136" i="81"/>
  <c r="AA136" i="81"/>
  <c r="AB136" i="81"/>
  <c r="AC136" i="81"/>
  <c r="AD136" i="81"/>
  <c r="AE136" i="81"/>
  <c r="AF136" i="81"/>
  <c r="AG136" i="81"/>
  <c r="AH136" i="81"/>
  <c r="AI136" i="81"/>
  <c r="AJ136" i="81"/>
  <c r="AK136" i="81"/>
  <c r="AL136" i="81"/>
  <c r="AM136" i="81"/>
  <c r="AN136" i="81"/>
  <c r="AO136" i="81"/>
  <c r="AP136" i="81"/>
  <c r="AQ136" i="81"/>
  <c r="B137" i="81"/>
  <c r="C137" i="81"/>
  <c r="D137" i="81"/>
  <c r="E137" i="81"/>
  <c r="F137" i="81"/>
  <c r="G137" i="81"/>
  <c r="H137" i="81"/>
  <c r="I137" i="81"/>
  <c r="J137" i="81"/>
  <c r="K137" i="81"/>
  <c r="L137" i="81"/>
  <c r="M137" i="81"/>
  <c r="N137" i="81"/>
  <c r="O137" i="81"/>
  <c r="P137" i="81"/>
  <c r="Q137" i="81"/>
  <c r="R137" i="81"/>
  <c r="S137" i="81"/>
  <c r="T137" i="81"/>
  <c r="U137" i="81"/>
  <c r="V137" i="81"/>
  <c r="W137" i="81"/>
  <c r="X137" i="81"/>
  <c r="Y137" i="81"/>
  <c r="Z137" i="81"/>
  <c r="AA137" i="81"/>
  <c r="AB137" i="81"/>
  <c r="AC137" i="81"/>
  <c r="AD137" i="81"/>
  <c r="AE137" i="81"/>
  <c r="AF137" i="81"/>
  <c r="AG137" i="81"/>
  <c r="AH137" i="81"/>
  <c r="AI137" i="81"/>
  <c r="AJ137" i="81"/>
  <c r="AK137" i="81"/>
  <c r="AL137" i="81"/>
  <c r="AM137" i="81"/>
  <c r="AN137" i="81"/>
  <c r="AO137" i="81"/>
  <c r="AP137" i="81"/>
  <c r="AQ137" i="81"/>
  <c r="B138" i="81"/>
  <c r="C138" i="81"/>
  <c r="D138" i="81"/>
  <c r="E138" i="81"/>
  <c r="F138" i="81"/>
  <c r="G138" i="81"/>
  <c r="H138" i="81"/>
  <c r="I138" i="81"/>
  <c r="J138" i="81"/>
  <c r="K138" i="81"/>
  <c r="L138" i="81"/>
  <c r="M138" i="81"/>
  <c r="N138" i="81"/>
  <c r="O138" i="81"/>
  <c r="P138" i="81"/>
  <c r="Q138" i="81"/>
  <c r="R138" i="81"/>
  <c r="S138" i="81"/>
  <c r="T138" i="81"/>
  <c r="U138" i="81"/>
  <c r="V138" i="81"/>
  <c r="W138" i="81"/>
  <c r="X138" i="81"/>
  <c r="Y138" i="81"/>
  <c r="Z138" i="81"/>
  <c r="AA138" i="81"/>
  <c r="AB138" i="81"/>
  <c r="AC138" i="81"/>
  <c r="AD138" i="81"/>
  <c r="AE138" i="81"/>
  <c r="AF138" i="81"/>
  <c r="AG138" i="81"/>
  <c r="AH138" i="81"/>
  <c r="AI138" i="81"/>
  <c r="AJ138" i="81"/>
  <c r="AK138" i="81"/>
  <c r="AL138" i="81"/>
  <c r="AM138" i="81"/>
  <c r="AN138" i="81"/>
  <c r="AO138" i="81"/>
  <c r="AP138" i="81"/>
  <c r="AQ138" i="81"/>
  <c r="B139" i="81"/>
  <c r="C139" i="81"/>
  <c r="D139" i="81"/>
  <c r="E139" i="81"/>
  <c r="F139" i="81"/>
  <c r="G139" i="81"/>
  <c r="H139" i="81"/>
  <c r="I139" i="81"/>
  <c r="J139" i="81"/>
  <c r="K139" i="81"/>
  <c r="L139" i="81"/>
  <c r="M139" i="81"/>
  <c r="N139" i="81"/>
  <c r="O139" i="81"/>
  <c r="P139" i="81"/>
  <c r="Q139" i="81"/>
  <c r="R139" i="81"/>
  <c r="S139" i="81"/>
  <c r="T139" i="81"/>
  <c r="U139" i="81"/>
  <c r="V139" i="81"/>
  <c r="W139" i="81"/>
  <c r="X139" i="81"/>
  <c r="Y139" i="81"/>
  <c r="Z139" i="81"/>
  <c r="AA139" i="81"/>
  <c r="AB139" i="81"/>
  <c r="AC139" i="81"/>
  <c r="AD139" i="81"/>
  <c r="AE139" i="81"/>
  <c r="AF139" i="81"/>
  <c r="AG139" i="81"/>
  <c r="AH139" i="81"/>
  <c r="AI139" i="81"/>
  <c r="AJ139" i="81"/>
  <c r="AK139" i="81"/>
  <c r="AL139" i="81"/>
  <c r="AM139" i="81"/>
  <c r="AN139" i="81"/>
  <c r="AO139" i="81"/>
  <c r="AP139" i="81"/>
  <c r="AQ139" i="81"/>
  <c r="B140" i="81"/>
  <c r="C140" i="81"/>
  <c r="D140" i="81"/>
  <c r="E140" i="81"/>
  <c r="F140" i="81"/>
  <c r="G140" i="81"/>
  <c r="H140" i="81"/>
  <c r="I140" i="81"/>
  <c r="J140" i="81"/>
  <c r="K140" i="81"/>
  <c r="L140" i="81"/>
  <c r="M140" i="81"/>
  <c r="N140" i="81"/>
  <c r="O140" i="81"/>
  <c r="P140" i="81"/>
  <c r="Q140" i="81"/>
  <c r="R140" i="81"/>
  <c r="S140" i="81"/>
  <c r="T140" i="81"/>
  <c r="U140" i="81"/>
  <c r="V140" i="81"/>
  <c r="W140" i="81"/>
  <c r="X140" i="81"/>
  <c r="Y140" i="81"/>
  <c r="Z140" i="81"/>
  <c r="AA140" i="81"/>
  <c r="AB140" i="81"/>
  <c r="AC140" i="81"/>
  <c r="AD140" i="81"/>
  <c r="AE140" i="81"/>
  <c r="AF140" i="81"/>
  <c r="AG140" i="81"/>
  <c r="AH140" i="81"/>
  <c r="AI140" i="81"/>
  <c r="AJ140" i="81"/>
  <c r="AK140" i="81"/>
  <c r="AL140" i="81"/>
  <c r="AM140" i="81"/>
  <c r="AN140" i="81"/>
  <c r="AO140" i="81"/>
  <c r="AP140" i="81"/>
  <c r="AQ140" i="81"/>
  <c r="B141" i="81"/>
  <c r="C141" i="81"/>
  <c r="D141" i="81"/>
  <c r="E141" i="81"/>
  <c r="F141" i="81"/>
  <c r="G141" i="81"/>
  <c r="H141" i="81"/>
  <c r="I141" i="81"/>
  <c r="J141" i="81"/>
  <c r="K141" i="81"/>
  <c r="L141" i="81"/>
  <c r="M141" i="81"/>
  <c r="N141" i="81"/>
  <c r="O141" i="81"/>
  <c r="P141" i="81"/>
  <c r="Q141" i="81"/>
  <c r="R141" i="81"/>
  <c r="S141" i="81"/>
  <c r="T141" i="81"/>
  <c r="U141" i="81"/>
  <c r="V141" i="81"/>
  <c r="W141" i="81"/>
  <c r="X141" i="81"/>
  <c r="Y141" i="81"/>
  <c r="Z141" i="81"/>
  <c r="AA141" i="81"/>
  <c r="AB141" i="81"/>
  <c r="AC141" i="81"/>
  <c r="AD141" i="81"/>
  <c r="AE141" i="81"/>
  <c r="AF141" i="81"/>
  <c r="AG141" i="81"/>
  <c r="AH141" i="81"/>
  <c r="AI141" i="81"/>
  <c r="AJ141" i="81"/>
  <c r="AK141" i="81"/>
  <c r="AL141" i="81"/>
  <c r="AM141" i="81"/>
  <c r="AN141" i="81"/>
  <c r="AO141" i="81"/>
  <c r="AP141" i="81"/>
  <c r="AQ141" i="81"/>
  <c r="B142" i="81"/>
  <c r="C142" i="81"/>
  <c r="D142" i="81"/>
  <c r="E142" i="81"/>
  <c r="F142" i="81"/>
  <c r="G142" i="81"/>
  <c r="H142" i="81"/>
  <c r="I142" i="81"/>
  <c r="J142" i="81"/>
  <c r="K142" i="81"/>
  <c r="L142" i="81"/>
  <c r="M142" i="81"/>
  <c r="N142" i="81"/>
  <c r="O142" i="81"/>
  <c r="P142" i="81"/>
  <c r="Q142" i="81"/>
  <c r="R142" i="81"/>
  <c r="S142" i="81"/>
  <c r="T142" i="81"/>
  <c r="U142" i="81"/>
  <c r="V142" i="81"/>
  <c r="W142" i="81"/>
  <c r="X142" i="81"/>
  <c r="Y142" i="81"/>
  <c r="Z142" i="81"/>
  <c r="AA142" i="81"/>
  <c r="AB142" i="81"/>
  <c r="AC142" i="81"/>
  <c r="AD142" i="81"/>
  <c r="AE142" i="81"/>
  <c r="AF142" i="81"/>
  <c r="AG142" i="81"/>
  <c r="AH142" i="81"/>
  <c r="AI142" i="81"/>
  <c r="AJ142" i="81"/>
  <c r="AK142" i="81"/>
  <c r="AL142" i="81"/>
  <c r="AM142" i="81"/>
  <c r="AN142" i="81"/>
  <c r="AO142" i="81"/>
  <c r="AP142" i="81"/>
  <c r="AQ142" i="81"/>
  <c r="B143" i="81"/>
  <c r="C143" i="81"/>
  <c r="D143" i="81"/>
  <c r="E143" i="81"/>
  <c r="F143" i="81"/>
  <c r="G143" i="81"/>
  <c r="H143" i="81"/>
  <c r="I143" i="81"/>
  <c r="J143" i="81"/>
  <c r="K143" i="81"/>
  <c r="L143" i="81"/>
  <c r="M143" i="81"/>
  <c r="N143" i="81"/>
  <c r="O143" i="81"/>
  <c r="P143" i="81"/>
  <c r="Q143" i="81"/>
  <c r="R143" i="81"/>
  <c r="S143" i="81"/>
  <c r="T143" i="81"/>
  <c r="U143" i="81"/>
  <c r="V143" i="81"/>
  <c r="W143" i="81"/>
  <c r="X143" i="81"/>
  <c r="Y143" i="81"/>
  <c r="Z143" i="81"/>
  <c r="AA143" i="81"/>
  <c r="AB143" i="81"/>
  <c r="AC143" i="81"/>
  <c r="AD143" i="81"/>
  <c r="AE143" i="81"/>
  <c r="AF143" i="81"/>
  <c r="AG143" i="81"/>
  <c r="AH143" i="81"/>
  <c r="AI143" i="81"/>
  <c r="AJ143" i="81"/>
  <c r="AK143" i="81"/>
  <c r="AL143" i="81"/>
  <c r="AM143" i="81"/>
  <c r="AN143" i="81"/>
  <c r="AO143" i="81"/>
  <c r="AP143" i="81"/>
  <c r="AQ143" i="81"/>
  <c r="B144" i="81"/>
  <c r="C144" i="81"/>
  <c r="D144" i="81"/>
  <c r="E144" i="81"/>
  <c r="F144" i="81"/>
  <c r="G144" i="81"/>
  <c r="H144" i="81"/>
  <c r="I144" i="81"/>
  <c r="J144" i="81"/>
  <c r="K144" i="81"/>
  <c r="L144" i="81"/>
  <c r="M144" i="81"/>
  <c r="N144" i="81"/>
  <c r="O144" i="81"/>
  <c r="P144" i="81"/>
  <c r="Q144" i="81"/>
  <c r="R144" i="81"/>
  <c r="S144" i="81"/>
  <c r="T144" i="81"/>
  <c r="U144" i="81"/>
  <c r="V144" i="81"/>
  <c r="W144" i="81"/>
  <c r="X144" i="81"/>
  <c r="Y144" i="81"/>
  <c r="Z144" i="81"/>
  <c r="AA144" i="81"/>
  <c r="AB144" i="81"/>
  <c r="AC144" i="81"/>
  <c r="AD144" i="81"/>
  <c r="AE144" i="81"/>
  <c r="AF144" i="81"/>
  <c r="AG144" i="81"/>
  <c r="AH144" i="81"/>
  <c r="AI144" i="81"/>
  <c r="AJ144" i="81"/>
  <c r="AK144" i="81"/>
  <c r="AL144" i="81"/>
  <c r="AM144" i="81"/>
  <c r="AN144" i="81"/>
  <c r="AO144" i="81"/>
  <c r="AP144" i="81"/>
  <c r="AQ144" i="81"/>
  <c r="B145" i="81"/>
  <c r="C145" i="81"/>
  <c r="D145" i="81"/>
  <c r="E145" i="81"/>
  <c r="F145" i="81"/>
  <c r="G145" i="81"/>
  <c r="H145" i="81"/>
  <c r="I145" i="81"/>
  <c r="J145" i="81"/>
  <c r="K145" i="81"/>
  <c r="L145" i="81"/>
  <c r="M145" i="81"/>
  <c r="N145" i="81"/>
  <c r="O145" i="81"/>
  <c r="P145" i="81"/>
  <c r="Q145" i="81"/>
  <c r="R145" i="81"/>
  <c r="S145" i="81"/>
  <c r="T145" i="81"/>
  <c r="U145" i="81"/>
  <c r="V145" i="81"/>
  <c r="W145" i="81"/>
  <c r="X145" i="81"/>
  <c r="Y145" i="81"/>
  <c r="Z145" i="81"/>
  <c r="AA145" i="81"/>
  <c r="AB145" i="81"/>
  <c r="AC145" i="81"/>
  <c r="AD145" i="81"/>
  <c r="AE145" i="81"/>
  <c r="AF145" i="81"/>
  <c r="AG145" i="81"/>
  <c r="AH145" i="81"/>
  <c r="AI145" i="81"/>
  <c r="AJ145" i="81"/>
  <c r="AK145" i="81"/>
  <c r="AL145" i="81"/>
  <c r="AM145" i="81"/>
  <c r="AN145" i="81"/>
  <c r="AO145" i="81"/>
  <c r="AP145" i="81"/>
  <c r="AQ145" i="81"/>
  <c r="B146" i="81"/>
  <c r="C146" i="81"/>
  <c r="D146" i="81"/>
  <c r="E146" i="81"/>
  <c r="F146" i="81"/>
  <c r="G146" i="81"/>
  <c r="H146" i="81"/>
  <c r="I146" i="81"/>
  <c r="J146" i="81"/>
  <c r="K146" i="81"/>
  <c r="L146" i="81"/>
  <c r="M146" i="81"/>
  <c r="N146" i="81"/>
  <c r="O146" i="81"/>
  <c r="P146" i="81"/>
  <c r="Q146" i="81"/>
  <c r="R146" i="81"/>
  <c r="S146" i="81"/>
  <c r="T146" i="81"/>
  <c r="U146" i="81"/>
  <c r="V146" i="81"/>
  <c r="W146" i="81"/>
  <c r="X146" i="81"/>
  <c r="Y146" i="81"/>
  <c r="Z146" i="81"/>
  <c r="AA146" i="81"/>
  <c r="AB146" i="81"/>
  <c r="AC146" i="81"/>
  <c r="AD146" i="81"/>
  <c r="AE146" i="81"/>
  <c r="AF146" i="81"/>
  <c r="AG146" i="81"/>
  <c r="AH146" i="81"/>
  <c r="AI146" i="81"/>
  <c r="AJ146" i="81"/>
  <c r="AK146" i="81"/>
  <c r="AL146" i="81"/>
  <c r="AM146" i="81"/>
  <c r="AN146" i="81"/>
  <c r="AO146" i="81"/>
  <c r="AP146" i="81"/>
  <c r="AQ146" i="81"/>
  <c r="B147" i="81"/>
  <c r="C147" i="81"/>
  <c r="D147" i="81"/>
  <c r="E147" i="81"/>
  <c r="F147" i="81"/>
  <c r="G147" i="81"/>
  <c r="H147" i="81"/>
  <c r="I147" i="81"/>
  <c r="J147" i="81"/>
  <c r="K147" i="81"/>
  <c r="L147" i="81"/>
  <c r="M147" i="81"/>
  <c r="N147" i="81"/>
  <c r="O147" i="81"/>
  <c r="P147" i="81"/>
  <c r="Q147" i="81"/>
  <c r="R147" i="81"/>
  <c r="S147" i="81"/>
  <c r="T147" i="81"/>
  <c r="U147" i="81"/>
  <c r="V147" i="81"/>
  <c r="W147" i="81"/>
  <c r="X147" i="81"/>
  <c r="Y147" i="81"/>
  <c r="Z147" i="81"/>
  <c r="AA147" i="81"/>
  <c r="AB147" i="81"/>
  <c r="AC147" i="81"/>
  <c r="AD147" i="81"/>
  <c r="AE147" i="81"/>
  <c r="AF147" i="81"/>
  <c r="AG147" i="81"/>
  <c r="AH147" i="81"/>
  <c r="AI147" i="81"/>
  <c r="AJ147" i="81"/>
  <c r="AK147" i="81"/>
  <c r="AL147" i="81"/>
  <c r="AM147" i="81"/>
  <c r="AN147" i="81"/>
  <c r="AO147" i="81"/>
  <c r="AP147" i="81"/>
  <c r="AQ147" i="81"/>
  <c r="B148" i="81"/>
  <c r="C148" i="81"/>
  <c r="D148" i="81"/>
  <c r="E148" i="81"/>
  <c r="F148" i="81"/>
  <c r="G148" i="81"/>
  <c r="H148" i="81"/>
  <c r="I148" i="81"/>
  <c r="J148" i="81"/>
  <c r="K148" i="81"/>
  <c r="L148" i="81"/>
  <c r="M148" i="81"/>
  <c r="N148" i="81"/>
  <c r="O148" i="81"/>
  <c r="P148" i="81"/>
  <c r="Q148" i="81"/>
  <c r="R148" i="81"/>
  <c r="S148" i="81"/>
  <c r="T148" i="81"/>
  <c r="U148" i="81"/>
  <c r="V148" i="81"/>
  <c r="W148" i="81"/>
  <c r="X148" i="81"/>
  <c r="Y148" i="81"/>
  <c r="Z148" i="81"/>
  <c r="AA148" i="81"/>
  <c r="AB148" i="81"/>
  <c r="AC148" i="81"/>
  <c r="AD148" i="81"/>
  <c r="AE148" i="81"/>
  <c r="AF148" i="81"/>
  <c r="AG148" i="81"/>
  <c r="AH148" i="81"/>
  <c r="AI148" i="81"/>
  <c r="AJ148" i="81"/>
  <c r="AK148" i="81"/>
  <c r="AL148" i="81"/>
  <c r="AM148" i="81"/>
  <c r="AN148" i="81"/>
  <c r="AO148" i="81"/>
  <c r="AP148" i="81"/>
  <c r="AQ148" i="81"/>
  <c r="B149" i="81"/>
  <c r="C149" i="81"/>
  <c r="D149" i="81"/>
  <c r="E149" i="81"/>
  <c r="F149" i="81"/>
  <c r="G149" i="81"/>
  <c r="H149" i="81"/>
  <c r="I149" i="81"/>
  <c r="J149" i="81"/>
  <c r="K149" i="81"/>
  <c r="L149" i="81"/>
  <c r="M149" i="81"/>
  <c r="N149" i="81"/>
  <c r="O149" i="81"/>
  <c r="P149" i="81"/>
  <c r="Q149" i="81"/>
  <c r="R149" i="81"/>
  <c r="S149" i="81"/>
  <c r="T149" i="81"/>
  <c r="U149" i="81"/>
  <c r="V149" i="81"/>
  <c r="W149" i="81"/>
  <c r="X149" i="81"/>
  <c r="Y149" i="81"/>
  <c r="Z149" i="81"/>
  <c r="AA149" i="81"/>
  <c r="AB149" i="81"/>
  <c r="AC149" i="81"/>
  <c r="AD149" i="81"/>
  <c r="AE149" i="81"/>
  <c r="AF149" i="81"/>
  <c r="AG149" i="81"/>
  <c r="AH149" i="81"/>
  <c r="AI149" i="81"/>
  <c r="AJ149" i="81"/>
  <c r="AK149" i="81"/>
  <c r="AL149" i="81"/>
  <c r="AM149" i="81"/>
  <c r="AN149" i="81"/>
  <c r="AO149" i="81"/>
  <c r="AP149" i="81"/>
  <c r="AQ149" i="81"/>
  <c r="B150" i="81"/>
  <c r="C150" i="81"/>
  <c r="D150" i="81"/>
  <c r="E150" i="81"/>
  <c r="F150" i="81"/>
  <c r="G150" i="81"/>
  <c r="H150" i="81"/>
  <c r="I150" i="81"/>
  <c r="J150" i="81"/>
  <c r="K150" i="81"/>
  <c r="L150" i="81"/>
  <c r="M150" i="81"/>
  <c r="N150" i="81"/>
  <c r="O150" i="81"/>
  <c r="P150" i="81"/>
  <c r="Q150" i="81"/>
  <c r="R150" i="81"/>
  <c r="S150" i="81"/>
  <c r="T150" i="81"/>
  <c r="U150" i="81"/>
  <c r="V150" i="81"/>
  <c r="W150" i="81"/>
  <c r="X150" i="81"/>
  <c r="Y150" i="81"/>
  <c r="Z150" i="81"/>
  <c r="AA150" i="81"/>
  <c r="AB150" i="81"/>
  <c r="AC150" i="81"/>
  <c r="AD150" i="81"/>
  <c r="AE150" i="81"/>
  <c r="AF150" i="81"/>
  <c r="AG150" i="81"/>
  <c r="AH150" i="81"/>
  <c r="AI150" i="81"/>
  <c r="AJ150" i="81"/>
  <c r="AK150" i="81"/>
  <c r="AL150" i="81"/>
  <c r="AM150" i="81"/>
  <c r="AN150" i="81"/>
  <c r="AO150" i="81"/>
  <c r="AP150" i="81"/>
  <c r="AQ150" i="81"/>
  <c r="B151" i="81"/>
  <c r="C151" i="81"/>
  <c r="D151" i="81"/>
  <c r="E151" i="81"/>
  <c r="F151" i="81"/>
  <c r="G151" i="81"/>
  <c r="H151" i="81"/>
  <c r="I151" i="81"/>
  <c r="J151" i="81"/>
  <c r="K151" i="81"/>
  <c r="L151" i="81"/>
  <c r="M151" i="81"/>
  <c r="N151" i="81"/>
  <c r="O151" i="81"/>
  <c r="P151" i="81"/>
  <c r="Q151" i="81"/>
  <c r="R151" i="81"/>
  <c r="S151" i="81"/>
  <c r="T151" i="81"/>
  <c r="U151" i="81"/>
  <c r="V151" i="81"/>
  <c r="W151" i="81"/>
  <c r="X151" i="81"/>
  <c r="Y151" i="81"/>
  <c r="Z151" i="81"/>
  <c r="AA151" i="81"/>
  <c r="AB151" i="81"/>
  <c r="AC151" i="81"/>
  <c r="AD151" i="81"/>
  <c r="AE151" i="81"/>
  <c r="AF151" i="81"/>
  <c r="AG151" i="81"/>
  <c r="AH151" i="81"/>
  <c r="AI151" i="81"/>
  <c r="AJ151" i="81"/>
  <c r="AK151" i="81"/>
  <c r="AL151" i="81"/>
  <c r="AM151" i="81"/>
  <c r="AN151" i="81"/>
  <c r="AO151" i="81"/>
  <c r="AP151" i="81"/>
  <c r="AQ151" i="81"/>
  <c r="B152" i="81"/>
  <c r="C152" i="81"/>
  <c r="D152" i="81"/>
  <c r="E152" i="81"/>
  <c r="F152" i="81"/>
  <c r="G152" i="81"/>
  <c r="H152" i="81"/>
  <c r="I152" i="81"/>
  <c r="J152" i="81"/>
  <c r="K152" i="81"/>
  <c r="L152" i="81"/>
  <c r="M152" i="81"/>
  <c r="N152" i="81"/>
  <c r="O152" i="81"/>
  <c r="P152" i="81"/>
  <c r="Q152" i="81"/>
  <c r="R152" i="81"/>
  <c r="S152" i="81"/>
  <c r="T152" i="81"/>
  <c r="U152" i="81"/>
  <c r="V152" i="81"/>
  <c r="W152" i="81"/>
  <c r="X152" i="81"/>
  <c r="Y152" i="81"/>
  <c r="Z152" i="81"/>
  <c r="AA152" i="81"/>
  <c r="AB152" i="81"/>
  <c r="AC152" i="81"/>
  <c r="AD152" i="81"/>
  <c r="AE152" i="81"/>
  <c r="AF152" i="81"/>
  <c r="AG152" i="81"/>
  <c r="AH152" i="81"/>
  <c r="AI152" i="81"/>
  <c r="AJ152" i="81"/>
  <c r="AK152" i="81"/>
  <c r="AL152" i="81"/>
  <c r="AM152" i="81"/>
  <c r="AN152" i="81"/>
  <c r="AO152" i="81"/>
  <c r="AP152" i="81"/>
  <c r="AQ152" i="81"/>
  <c r="B153" i="81"/>
  <c r="C153" i="81"/>
  <c r="D153" i="81"/>
  <c r="E153" i="81"/>
  <c r="F153" i="81"/>
  <c r="G153" i="81"/>
  <c r="H153" i="81"/>
  <c r="I153" i="81"/>
  <c r="J153" i="81"/>
  <c r="K153" i="81"/>
  <c r="L153" i="81"/>
  <c r="M153" i="81"/>
  <c r="N153" i="81"/>
  <c r="O153" i="81"/>
  <c r="P153" i="81"/>
  <c r="Q153" i="81"/>
  <c r="R153" i="81"/>
  <c r="S153" i="81"/>
  <c r="T153" i="81"/>
  <c r="U153" i="81"/>
  <c r="V153" i="81"/>
  <c r="W153" i="81"/>
  <c r="X153" i="81"/>
  <c r="Y153" i="81"/>
  <c r="Z153" i="81"/>
  <c r="AA153" i="81"/>
  <c r="AB153" i="81"/>
  <c r="AC153" i="81"/>
  <c r="AD153" i="81"/>
  <c r="AE153" i="81"/>
  <c r="AF153" i="81"/>
  <c r="AG153" i="81"/>
  <c r="AH153" i="81"/>
  <c r="AI153" i="81"/>
  <c r="AJ153" i="81"/>
  <c r="AK153" i="81"/>
  <c r="AL153" i="81"/>
  <c r="AM153" i="81"/>
  <c r="AN153" i="81"/>
  <c r="AO153" i="81"/>
  <c r="AP153" i="81"/>
  <c r="AQ153" i="81"/>
  <c r="B154" i="81"/>
  <c r="C154" i="81"/>
  <c r="D154" i="81"/>
  <c r="E154" i="81"/>
  <c r="F154" i="81"/>
  <c r="G154" i="81"/>
  <c r="H154" i="81"/>
  <c r="I154" i="81"/>
  <c r="J154" i="81"/>
  <c r="K154" i="81"/>
  <c r="L154" i="81"/>
  <c r="M154" i="81"/>
  <c r="N154" i="81"/>
  <c r="O154" i="81"/>
  <c r="P154" i="81"/>
  <c r="Q154" i="81"/>
  <c r="R154" i="81"/>
  <c r="S154" i="81"/>
  <c r="T154" i="81"/>
  <c r="U154" i="81"/>
  <c r="V154" i="81"/>
  <c r="W154" i="81"/>
  <c r="X154" i="81"/>
  <c r="Y154" i="81"/>
  <c r="Z154" i="81"/>
  <c r="AA154" i="81"/>
  <c r="AB154" i="81"/>
  <c r="AC154" i="81"/>
  <c r="AD154" i="81"/>
  <c r="AE154" i="81"/>
  <c r="AF154" i="81"/>
  <c r="AG154" i="81"/>
  <c r="AH154" i="81"/>
  <c r="AI154" i="81"/>
  <c r="AJ154" i="81"/>
  <c r="AK154" i="81"/>
  <c r="AL154" i="81"/>
  <c r="AM154" i="81"/>
  <c r="AN154" i="81"/>
  <c r="AO154" i="81"/>
  <c r="AP154" i="81"/>
  <c r="AQ154" i="81"/>
  <c r="B155" i="81"/>
  <c r="C155" i="81"/>
  <c r="D155" i="81"/>
  <c r="E155" i="81"/>
  <c r="F155" i="81"/>
  <c r="G155" i="81"/>
  <c r="H155" i="81"/>
  <c r="I155" i="81"/>
  <c r="J155" i="81"/>
  <c r="K155" i="81"/>
  <c r="L155" i="81"/>
  <c r="M155" i="81"/>
  <c r="N155" i="81"/>
  <c r="O155" i="81"/>
  <c r="P155" i="81"/>
  <c r="Q155" i="81"/>
  <c r="R155" i="81"/>
  <c r="S155" i="81"/>
  <c r="T155" i="81"/>
  <c r="U155" i="81"/>
  <c r="V155" i="81"/>
  <c r="W155" i="81"/>
  <c r="X155" i="81"/>
  <c r="Y155" i="81"/>
  <c r="Z155" i="81"/>
  <c r="AA155" i="81"/>
  <c r="AB155" i="81"/>
  <c r="AC155" i="81"/>
  <c r="AD155" i="81"/>
  <c r="AE155" i="81"/>
  <c r="AF155" i="81"/>
  <c r="AG155" i="81"/>
  <c r="AH155" i="81"/>
  <c r="AI155" i="81"/>
  <c r="AJ155" i="81"/>
  <c r="AK155" i="81"/>
  <c r="AL155" i="81"/>
  <c r="AM155" i="81"/>
  <c r="AN155" i="81"/>
  <c r="AO155" i="81"/>
  <c r="AP155" i="81"/>
  <c r="AQ155" i="81"/>
  <c r="B156" i="81"/>
  <c r="C156" i="81"/>
  <c r="D156" i="81"/>
  <c r="E156" i="81"/>
  <c r="F156" i="81"/>
  <c r="G156" i="81"/>
  <c r="H156" i="81"/>
  <c r="I156" i="81"/>
  <c r="J156" i="81"/>
  <c r="K156" i="81"/>
  <c r="L156" i="81"/>
  <c r="M156" i="81"/>
  <c r="N156" i="81"/>
  <c r="O156" i="81"/>
  <c r="P156" i="81"/>
  <c r="Q156" i="81"/>
  <c r="R156" i="81"/>
  <c r="S156" i="81"/>
  <c r="T156" i="81"/>
  <c r="U156" i="81"/>
  <c r="V156" i="81"/>
  <c r="W156" i="81"/>
  <c r="X156" i="81"/>
  <c r="Y156" i="81"/>
  <c r="Z156" i="81"/>
  <c r="AA156" i="81"/>
  <c r="AB156" i="81"/>
  <c r="AC156" i="81"/>
  <c r="AD156" i="81"/>
  <c r="AE156" i="81"/>
  <c r="AF156" i="81"/>
  <c r="AG156" i="81"/>
  <c r="AH156" i="81"/>
  <c r="AI156" i="81"/>
  <c r="AJ156" i="81"/>
  <c r="AK156" i="81"/>
  <c r="AL156" i="81"/>
  <c r="AM156" i="81"/>
  <c r="AN156" i="81"/>
  <c r="AO156" i="81"/>
  <c r="AP156" i="81"/>
  <c r="AQ156" i="81"/>
  <c r="B157" i="81"/>
  <c r="C157" i="81"/>
  <c r="D157" i="81"/>
  <c r="E157" i="81"/>
  <c r="F157" i="81"/>
  <c r="G157" i="81"/>
  <c r="H157" i="81"/>
  <c r="I157" i="81"/>
  <c r="J157" i="81"/>
  <c r="K157" i="81"/>
  <c r="L157" i="81"/>
  <c r="M157" i="81"/>
  <c r="N157" i="81"/>
  <c r="O157" i="81"/>
  <c r="P157" i="81"/>
  <c r="Q157" i="81"/>
  <c r="R157" i="81"/>
  <c r="S157" i="81"/>
  <c r="T157" i="81"/>
  <c r="U157" i="81"/>
  <c r="V157" i="81"/>
  <c r="W157" i="81"/>
  <c r="X157" i="81"/>
  <c r="Y157" i="81"/>
  <c r="Z157" i="81"/>
  <c r="AA157" i="81"/>
  <c r="AB157" i="81"/>
  <c r="AC157" i="81"/>
  <c r="AD157" i="81"/>
  <c r="AE157" i="81"/>
  <c r="AF157" i="81"/>
  <c r="AG157" i="81"/>
  <c r="AH157" i="81"/>
  <c r="AI157" i="81"/>
  <c r="AJ157" i="81"/>
  <c r="AK157" i="81"/>
  <c r="AL157" i="81"/>
  <c r="AM157" i="81"/>
  <c r="AN157" i="81"/>
  <c r="AO157" i="81"/>
  <c r="AP157" i="81"/>
  <c r="AQ157" i="81"/>
  <c r="B158" i="81"/>
  <c r="C158" i="81"/>
  <c r="D158" i="81"/>
  <c r="E158" i="81"/>
  <c r="F158" i="81"/>
  <c r="G158" i="81"/>
  <c r="H158" i="81"/>
  <c r="I158" i="81"/>
  <c r="J158" i="81"/>
  <c r="K158" i="81"/>
  <c r="L158" i="81"/>
  <c r="M158" i="81"/>
  <c r="N158" i="81"/>
  <c r="O158" i="81"/>
  <c r="P158" i="81"/>
  <c r="Q158" i="81"/>
  <c r="R158" i="81"/>
  <c r="S158" i="81"/>
  <c r="T158" i="81"/>
  <c r="U158" i="81"/>
  <c r="V158" i="81"/>
  <c r="W158" i="81"/>
  <c r="X158" i="81"/>
  <c r="Y158" i="81"/>
  <c r="Z158" i="81"/>
  <c r="AA158" i="81"/>
  <c r="AB158" i="81"/>
  <c r="AC158" i="81"/>
  <c r="AD158" i="81"/>
  <c r="AE158" i="81"/>
  <c r="AF158" i="81"/>
  <c r="AG158" i="81"/>
  <c r="AH158" i="81"/>
  <c r="AI158" i="81"/>
  <c r="AJ158" i="81"/>
  <c r="AK158" i="81"/>
  <c r="AL158" i="81"/>
  <c r="AM158" i="81"/>
  <c r="AN158" i="81"/>
  <c r="AO158" i="81"/>
  <c r="AP158" i="81"/>
  <c r="AQ158" i="81"/>
  <c r="B159" i="81"/>
  <c r="C159" i="81"/>
  <c r="D159" i="81"/>
  <c r="E159" i="81"/>
  <c r="F159" i="81"/>
  <c r="G159" i="81"/>
  <c r="H159" i="81"/>
  <c r="I159" i="81"/>
  <c r="J159" i="81"/>
  <c r="K159" i="81"/>
  <c r="L159" i="81"/>
  <c r="M159" i="81"/>
  <c r="N159" i="81"/>
  <c r="O159" i="81"/>
  <c r="P159" i="81"/>
  <c r="Q159" i="81"/>
  <c r="R159" i="81"/>
  <c r="S159" i="81"/>
  <c r="T159" i="81"/>
  <c r="U159" i="81"/>
  <c r="V159" i="81"/>
  <c r="W159" i="81"/>
  <c r="X159" i="81"/>
  <c r="Y159" i="81"/>
  <c r="Z159" i="81"/>
  <c r="AA159" i="81"/>
  <c r="AB159" i="81"/>
  <c r="AC159" i="81"/>
  <c r="AD159" i="81"/>
  <c r="AE159" i="81"/>
  <c r="AF159" i="81"/>
  <c r="AG159" i="81"/>
  <c r="AH159" i="81"/>
  <c r="AI159" i="81"/>
  <c r="AJ159" i="81"/>
  <c r="AK159" i="81"/>
  <c r="AL159" i="81"/>
  <c r="AM159" i="81"/>
  <c r="AN159" i="81"/>
  <c r="AO159" i="81"/>
  <c r="AP159" i="81"/>
  <c r="AQ159" i="81"/>
  <c r="B160" i="81"/>
  <c r="C160" i="81"/>
  <c r="D160" i="81"/>
  <c r="E160" i="81"/>
  <c r="F160" i="81"/>
  <c r="G160" i="81"/>
  <c r="H160" i="81"/>
  <c r="I160" i="81"/>
  <c r="J160" i="81"/>
  <c r="K160" i="81"/>
  <c r="L160" i="81"/>
  <c r="M160" i="81"/>
  <c r="N160" i="81"/>
  <c r="O160" i="81"/>
  <c r="P160" i="81"/>
  <c r="Q160" i="81"/>
  <c r="R160" i="81"/>
  <c r="S160" i="81"/>
  <c r="T160" i="81"/>
  <c r="U160" i="81"/>
  <c r="V160" i="81"/>
  <c r="W160" i="81"/>
  <c r="X160" i="81"/>
  <c r="Y160" i="81"/>
  <c r="Z160" i="81"/>
  <c r="AA160" i="81"/>
  <c r="AB160" i="81"/>
  <c r="AC160" i="81"/>
  <c r="AD160" i="81"/>
  <c r="AE160" i="81"/>
  <c r="AF160" i="81"/>
  <c r="AG160" i="81"/>
  <c r="AH160" i="81"/>
  <c r="AI160" i="81"/>
  <c r="AJ160" i="81"/>
  <c r="AK160" i="81"/>
  <c r="AL160" i="81"/>
  <c r="AM160" i="81"/>
  <c r="AN160" i="81"/>
  <c r="AO160" i="81"/>
  <c r="AP160" i="81"/>
  <c r="AQ160" i="81"/>
  <c r="B161" i="81"/>
  <c r="C161" i="81"/>
  <c r="D161" i="81"/>
  <c r="E161" i="81"/>
  <c r="F161" i="81"/>
  <c r="G161" i="81"/>
  <c r="H161" i="81"/>
  <c r="I161" i="81"/>
  <c r="J161" i="81"/>
  <c r="K161" i="81"/>
  <c r="L161" i="81"/>
  <c r="M161" i="81"/>
  <c r="N161" i="81"/>
  <c r="O161" i="81"/>
  <c r="P161" i="81"/>
  <c r="Q161" i="81"/>
  <c r="R161" i="81"/>
  <c r="S161" i="81"/>
  <c r="T161" i="81"/>
  <c r="U161" i="81"/>
  <c r="V161" i="81"/>
  <c r="W161" i="81"/>
  <c r="X161" i="81"/>
  <c r="Y161" i="81"/>
  <c r="Z161" i="81"/>
  <c r="AA161" i="81"/>
  <c r="AB161" i="81"/>
  <c r="AC161" i="81"/>
  <c r="AD161" i="81"/>
  <c r="AE161" i="81"/>
  <c r="AF161" i="81"/>
  <c r="AG161" i="81"/>
  <c r="AH161" i="81"/>
  <c r="AI161" i="81"/>
  <c r="AJ161" i="81"/>
  <c r="AK161" i="81"/>
  <c r="AL161" i="81"/>
  <c r="AM161" i="81"/>
  <c r="AN161" i="81"/>
  <c r="AO161" i="81"/>
  <c r="AP161" i="81"/>
  <c r="AQ161" i="81"/>
  <c r="B162" i="81"/>
  <c r="C162" i="81"/>
  <c r="D162" i="81"/>
  <c r="E162" i="81"/>
  <c r="F162" i="81"/>
  <c r="G162" i="81"/>
  <c r="H162" i="81"/>
  <c r="I162" i="81"/>
  <c r="J162" i="81"/>
  <c r="K162" i="81"/>
  <c r="L162" i="81"/>
  <c r="M162" i="81"/>
  <c r="N162" i="81"/>
  <c r="O162" i="81"/>
  <c r="P162" i="81"/>
  <c r="Q162" i="81"/>
  <c r="R162" i="81"/>
  <c r="S162" i="81"/>
  <c r="T162" i="81"/>
  <c r="U162" i="81"/>
  <c r="V162" i="81"/>
  <c r="W162" i="81"/>
  <c r="X162" i="81"/>
  <c r="Y162" i="81"/>
  <c r="Z162" i="81"/>
  <c r="AA162" i="81"/>
  <c r="AB162" i="81"/>
  <c r="AC162" i="81"/>
  <c r="AD162" i="81"/>
  <c r="AE162" i="81"/>
  <c r="AF162" i="81"/>
  <c r="AG162" i="81"/>
  <c r="AH162" i="81"/>
  <c r="AI162" i="81"/>
  <c r="AJ162" i="81"/>
  <c r="AK162" i="81"/>
  <c r="AL162" i="81"/>
  <c r="AM162" i="81"/>
  <c r="AN162" i="81"/>
  <c r="AO162" i="81"/>
  <c r="AP162" i="81"/>
  <c r="AQ162" i="81"/>
  <c r="B163" i="81"/>
  <c r="C163" i="81"/>
  <c r="D163" i="81"/>
  <c r="E163" i="81"/>
  <c r="F163" i="81"/>
  <c r="G163" i="81"/>
  <c r="H163" i="81"/>
  <c r="I163" i="81"/>
  <c r="J163" i="81"/>
  <c r="K163" i="81"/>
  <c r="L163" i="81"/>
  <c r="M163" i="81"/>
  <c r="N163" i="81"/>
  <c r="O163" i="81"/>
  <c r="P163" i="81"/>
  <c r="Q163" i="81"/>
  <c r="R163" i="81"/>
  <c r="S163" i="81"/>
  <c r="T163" i="81"/>
  <c r="U163" i="81"/>
  <c r="V163" i="81"/>
  <c r="W163" i="81"/>
  <c r="X163" i="81"/>
  <c r="Y163" i="81"/>
  <c r="Z163" i="81"/>
  <c r="AA163" i="81"/>
  <c r="AB163" i="81"/>
  <c r="AC163" i="81"/>
  <c r="AD163" i="81"/>
  <c r="AE163" i="81"/>
  <c r="AF163" i="81"/>
  <c r="AG163" i="81"/>
  <c r="AH163" i="81"/>
  <c r="AI163" i="81"/>
  <c r="AJ163" i="81"/>
  <c r="AK163" i="81"/>
  <c r="AL163" i="81"/>
  <c r="AM163" i="81"/>
  <c r="AN163" i="81"/>
  <c r="AO163" i="81"/>
  <c r="AP163" i="81"/>
  <c r="AQ163" i="81"/>
  <c r="B164" i="81"/>
  <c r="C164" i="81"/>
  <c r="D164" i="81"/>
  <c r="E164" i="81"/>
  <c r="F164" i="81"/>
  <c r="G164" i="81"/>
  <c r="H164" i="81"/>
  <c r="I164" i="81"/>
  <c r="J164" i="81"/>
  <c r="K164" i="81"/>
  <c r="L164" i="81"/>
  <c r="M164" i="81"/>
  <c r="N164" i="81"/>
  <c r="O164" i="81"/>
  <c r="P164" i="81"/>
  <c r="Q164" i="81"/>
  <c r="R164" i="81"/>
  <c r="S164" i="81"/>
  <c r="T164" i="81"/>
  <c r="U164" i="81"/>
  <c r="V164" i="81"/>
  <c r="W164" i="81"/>
  <c r="X164" i="81"/>
  <c r="Y164" i="81"/>
  <c r="Z164" i="81"/>
  <c r="AA164" i="81"/>
  <c r="AB164" i="81"/>
  <c r="AC164" i="81"/>
  <c r="AD164" i="81"/>
  <c r="AE164" i="81"/>
  <c r="AF164" i="81"/>
  <c r="AG164" i="81"/>
  <c r="AH164" i="81"/>
  <c r="AI164" i="81"/>
  <c r="AJ164" i="81"/>
  <c r="AK164" i="81"/>
  <c r="AL164" i="81"/>
  <c r="AM164" i="81"/>
  <c r="AN164" i="81"/>
  <c r="AO164" i="81"/>
  <c r="AP164" i="81"/>
  <c r="AQ164" i="81"/>
  <c r="B165" i="81"/>
  <c r="C165" i="81"/>
  <c r="D165" i="81"/>
  <c r="E165" i="81"/>
  <c r="F165" i="81"/>
  <c r="G165" i="81"/>
  <c r="H165" i="81"/>
  <c r="I165" i="81"/>
  <c r="J165" i="81"/>
  <c r="K165" i="81"/>
  <c r="L165" i="81"/>
  <c r="M165" i="81"/>
  <c r="N165" i="81"/>
  <c r="O165" i="81"/>
  <c r="P165" i="81"/>
  <c r="Q165" i="81"/>
  <c r="R165" i="81"/>
  <c r="S165" i="81"/>
  <c r="T165" i="81"/>
  <c r="U165" i="81"/>
  <c r="V165" i="81"/>
  <c r="W165" i="81"/>
  <c r="X165" i="81"/>
  <c r="Y165" i="81"/>
  <c r="Z165" i="81"/>
  <c r="AA165" i="81"/>
  <c r="AB165" i="81"/>
  <c r="AC165" i="81"/>
  <c r="AD165" i="81"/>
  <c r="AE165" i="81"/>
  <c r="AF165" i="81"/>
  <c r="AG165" i="81"/>
  <c r="AH165" i="81"/>
  <c r="AI165" i="81"/>
  <c r="AJ165" i="81"/>
  <c r="AK165" i="81"/>
  <c r="AL165" i="81"/>
  <c r="AM165" i="81"/>
  <c r="AN165" i="81"/>
  <c r="AO165" i="81"/>
  <c r="AP165" i="81"/>
  <c r="AQ165" i="81"/>
  <c r="B166" i="81"/>
  <c r="C166" i="81"/>
  <c r="D166" i="81"/>
  <c r="E166" i="81"/>
  <c r="F166" i="81"/>
  <c r="G166" i="81"/>
  <c r="H166" i="81"/>
  <c r="I166" i="81"/>
  <c r="J166" i="81"/>
  <c r="K166" i="81"/>
  <c r="L166" i="81"/>
  <c r="M166" i="81"/>
  <c r="N166" i="81"/>
  <c r="O166" i="81"/>
  <c r="P166" i="81"/>
  <c r="Q166" i="81"/>
  <c r="R166" i="81"/>
  <c r="S166" i="81"/>
  <c r="T166" i="81"/>
  <c r="U166" i="81"/>
  <c r="V166" i="81"/>
  <c r="W166" i="81"/>
  <c r="X166" i="81"/>
  <c r="Y166" i="81"/>
  <c r="Z166" i="81"/>
  <c r="AA166" i="81"/>
  <c r="AB166" i="81"/>
  <c r="AC166" i="81"/>
  <c r="AD166" i="81"/>
  <c r="AE166" i="81"/>
  <c r="AF166" i="81"/>
  <c r="AG166" i="81"/>
  <c r="AH166" i="81"/>
  <c r="AI166" i="81"/>
  <c r="AJ166" i="81"/>
  <c r="AK166" i="81"/>
  <c r="AL166" i="81"/>
  <c r="AM166" i="81"/>
  <c r="AN166" i="81"/>
  <c r="AO166" i="81"/>
  <c r="AP166" i="81"/>
  <c r="AQ166" i="81"/>
  <c r="B167" i="81"/>
  <c r="C167" i="81"/>
  <c r="D167" i="81"/>
  <c r="E167" i="81"/>
  <c r="F167" i="81"/>
  <c r="G167" i="81"/>
  <c r="H167" i="81"/>
  <c r="I167" i="81"/>
  <c r="J167" i="81"/>
  <c r="K167" i="81"/>
  <c r="L167" i="81"/>
  <c r="M167" i="81"/>
  <c r="N167" i="81"/>
  <c r="O167" i="81"/>
  <c r="P167" i="81"/>
  <c r="Q167" i="81"/>
  <c r="R167" i="81"/>
  <c r="S167" i="81"/>
  <c r="T167" i="81"/>
  <c r="U167" i="81"/>
  <c r="V167" i="81"/>
  <c r="W167" i="81"/>
  <c r="X167" i="81"/>
  <c r="Y167" i="81"/>
  <c r="Z167" i="81"/>
  <c r="AA167" i="81"/>
  <c r="AB167" i="81"/>
  <c r="AC167" i="81"/>
  <c r="AD167" i="81"/>
  <c r="AE167" i="81"/>
  <c r="AF167" i="81"/>
  <c r="AG167" i="81"/>
  <c r="AH167" i="81"/>
  <c r="AI167" i="81"/>
  <c r="AJ167" i="81"/>
  <c r="AK167" i="81"/>
  <c r="AL167" i="81"/>
  <c r="AM167" i="81"/>
  <c r="AN167" i="81"/>
  <c r="AO167" i="81"/>
  <c r="AP167" i="81"/>
  <c r="AQ167" i="81"/>
  <c r="B168" i="81"/>
  <c r="C168" i="81"/>
  <c r="D168" i="81"/>
  <c r="E168" i="81"/>
  <c r="F168" i="81"/>
  <c r="G168" i="81"/>
  <c r="H168" i="81"/>
  <c r="I168" i="81"/>
  <c r="J168" i="81"/>
  <c r="K168" i="81"/>
  <c r="L168" i="81"/>
  <c r="M168" i="81"/>
  <c r="N168" i="81"/>
  <c r="O168" i="81"/>
  <c r="P168" i="81"/>
  <c r="Q168" i="81"/>
  <c r="R168" i="81"/>
  <c r="S168" i="81"/>
  <c r="T168" i="81"/>
  <c r="U168" i="81"/>
  <c r="V168" i="81"/>
  <c r="W168" i="81"/>
  <c r="X168" i="81"/>
  <c r="Y168" i="81"/>
  <c r="Z168" i="81"/>
  <c r="AA168" i="81"/>
  <c r="AB168" i="81"/>
  <c r="AC168" i="81"/>
  <c r="AD168" i="81"/>
  <c r="AE168" i="81"/>
  <c r="AF168" i="81"/>
  <c r="AG168" i="81"/>
  <c r="AH168" i="81"/>
  <c r="AI168" i="81"/>
  <c r="AJ168" i="81"/>
  <c r="AK168" i="81"/>
  <c r="AL168" i="81"/>
  <c r="AM168" i="81"/>
  <c r="AN168" i="81"/>
  <c r="AO168" i="81"/>
  <c r="AP168" i="81"/>
  <c r="AQ168" i="81"/>
  <c r="B169" i="81"/>
  <c r="C169" i="81"/>
  <c r="D169" i="81"/>
  <c r="E169" i="81"/>
  <c r="F169" i="81"/>
  <c r="G169" i="81"/>
  <c r="H169" i="81"/>
  <c r="I169" i="81"/>
  <c r="J169" i="81"/>
  <c r="K169" i="81"/>
  <c r="L169" i="81"/>
  <c r="M169" i="81"/>
  <c r="N169" i="81"/>
  <c r="O169" i="81"/>
  <c r="P169" i="81"/>
  <c r="Q169" i="81"/>
  <c r="R169" i="81"/>
  <c r="S169" i="81"/>
  <c r="T169" i="81"/>
  <c r="U169" i="81"/>
  <c r="V169" i="81"/>
  <c r="W169" i="81"/>
  <c r="X169" i="81"/>
  <c r="Y169" i="81"/>
  <c r="Z169" i="81"/>
  <c r="AA169" i="81"/>
  <c r="AB169" i="81"/>
  <c r="AC169" i="81"/>
  <c r="AD169" i="81"/>
  <c r="AE169" i="81"/>
  <c r="AF169" i="81"/>
  <c r="AG169" i="81"/>
  <c r="AH169" i="81"/>
  <c r="AI169" i="81"/>
  <c r="AJ169" i="81"/>
  <c r="AK169" i="81"/>
  <c r="AL169" i="81"/>
  <c r="AM169" i="81"/>
  <c r="AN169" i="81"/>
  <c r="AO169" i="81"/>
  <c r="AP169" i="81"/>
  <c r="AQ169" i="81"/>
  <c r="B170" i="81"/>
  <c r="C170" i="81"/>
  <c r="D170" i="81"/>
  <c r="E170" i="81"/>
  <c r="F170" i="81"/>
  <c r="G170" i="81"/>
  <c r="H170" i="81"/>
  <c r="I170" i="81"/>
  <c r="J170" i="81"/>
  <c r="K170" i="81"/>
  <c r="L170" i="81"/>
  <c r="M170" i="81"/>
  <c r="N170" i="81"/>
  <c r="O170" i="81"/>
  <c r="P170" i="81"/>
  <c r="Q170" i="81"/>
  <c r="R170" i="81"/>
  <c r="S170" i="81"/>
  <c r="T170" i="81"/>
  <c r="U170" i="81"/>
  <c r="V170" i="81"/>
  <c r="W170" i="81"/>
  <c r="X170" i="81"/>
  <c r="Y170" i="81"/>
  <c r="Z170" i="81"/>
  <c r="AA170" i="81"/>
  <c r="AB170" i="81"/>
  <c r="AC170" i="81"/>
  <c r="AD170" i="81"/>
  <c r="AE170" i="81"/>
  <c r="AF170" i="81"/>
  <c r="AG170" i="81"/>
  <c r="AH170" i="81"/>
  <c r="AI170" i="81"/>
  <c r="AJ170" i="81"/>
  <c r="AK170" i="81"/>
  <c r="AL170" i="81"/>
  <c r="AM170" i="81"/>
  <c r="AN170" i="81"/>
  <c r="AO170" i="81"/>
  <c r="AP170" i="81"/>
  <c r="AQ170" i="81"/>
  <c r="B171" i="81"/>
  <c r="C171" i="81"/>
  <c r="D171" i="81"/>
  <c r="E171" i="81"/>
  <c r="F171" i="81"/>
  <c r="G171" i="81"/>
  <c r="H171" i="81"/>
  <c r="I171" i="81"/>
  <c r="J171" i="81"/>
  <c r="K171" i="81"/>
  <c r="L171" i="81"/>
  <c r="M171" i="81"/>
  <c r="N171" i="81"/>
  <c r="O171" i="81"/>
  <c r="P171" i="81"/>
  <c r="Q171" i="81"/>
  <c r="R171" i="81"/>
  <c r="S171" i="81"/>
  <c r="T171" i="81"/>
  <c r="U171" i="81"/>
  <c r="V171" i="81"/>
  <c r="W171" i="81"/>
  <c r="X171" i="81"/>
  <c r="Y171" i="81"/>
  <c r="Z171" i="81"/>
  <c r="AA171" i="81"/>
  <c r="AB171" i="81"/>
  <c r="AC171" i="81"/>
  <c r="AD171" i="81"/>
  <c r="AE171" i="81"/>
  <c r="AF171" i="81"/>
  <c r="AG171" i="81"/>
  <c r="AH171" i="81"/>
  <c r="AI171" i="81"/>
  <c r="AJ171" i="81"/>
  <c r="AK171" i="81"/>
  <c r="AL171" i="81"/>
  <c r="AM171" i="81"/>
  <c r="AN171" i="81"/>
  <c r="AO171" i="81"/>
  <c r="AP171" i="81"/>
  <c r="AQ171" i="81"/>
  <c r="B172" i="81"/>
  <c r="C172" i="81"/>
  <c r="D172" i="81"/>
  <c r="E172" i="81"/>
  <c r="F172" i="81"/>
  <c r="G172" i="81"/>
  <c r="H172" i="81"/>
  <c r="I172" i="81"/>
  <c r="J172" i="81"/>
  <c r="K172" i="81"/>
  <c r="L172" i="81"/>
  <c r="M172" i="81"/>
  <c r="N172" i="81"/>
  <c r="O172" i="81"/>
  <c r="P172" i="81"/>
  <c r="Q172" i="81"/>
  <c r="R172" i="81"/>
  <c r="S172" i="81"/>
  <c r="T172" i="81"/>
  <c r="U172" i="81"/>
  <c r="V172" i="81"/>
  <c r="W172" i="81"/>
  <c r="X172" i="81"/>
  <c r="Y172" i="81"/>
  <c r="Z172" i="81"/>
  <c r="AA172" i="81"/>
  <c r="AB172" i="81"/>
  <c r="AC172" i="81"/>
  <c r="AD172" i="81"/>
  <c r="AE172" i="81"/>
  <c r="AF172" i="81"/>
  <c r="AG172" i="81"/>
  <c r="AH172" i="81"/>
  <c r="AI172" i="81"/>
  <c r="AJ172" i="81"/>
  <c r="AK172" i="81"/>
  <c r="AL172" i="81"/>
  <c r="AM172" i="81"/>
  <c r="AN172" i="81"/>
  <c r="AO172" i="81"/>
  <c r="AP172" i="81"/>
  <c r="AQ172" i="81"/>
  <c r="B173" i="81"/>
  <c r="C173" i="81"/>
  <c r="D173" i="81"/>
  <c r="E173" i="81"/>
  <c r="F173" i="81"/>
  <c r="G173" i="81"/>
  <c r="H173" i="81"/>
  <c r="I173" i="81"/>
  <c r="J173" i="81"/>
  <c r="K173" i="81"/>
  <c r="L173" i="81"/>
  <c r="M173" i="81"/>
  <c r="N173" i="81"/>
  <c r="O173" i="81"/>
  <c r="P173" i="81"/>
  <c r="Q173" i="81"/>
  <c r="R173" i="81"/>
  <c r="S173" i="81"/>
  <c r="T173" i="81"/>
  <c r="U173" i="81"/>
  <c r="V173" i="81"/>
  <c r="W173" i="81"/>
  <c r="X173" i="81"/>
  <c r="Y173" i="81"/>
  <c r="Z173" i="81"/>
  <c r="AA173" i="81"/>
  <c r="AB173" i="81"/>
  <c r="AC173" i="81"/>
  <c r="AD173" i="81"/>
  <c r="AE173" i="81"/>
  <c r="AF173" i="81"/>
  <c r="AG173" i="81"/>
  <c r="AH173" i="81"/>
  <c r="AI173" i="81"/>
  <c r="AJ173" i="81"/>
  <c r="AK173" i="81"/>
  <c r="AL173" i="81"/>
  <c r="AM173" i="81"/>
  <c r="AN173" i="81"/>
  <c r="AO173" i="81"/>
  <c r="AP173" i="81"/>
  <c r="AQ173" i="81"/>
  <c r="B174" i="81"/>
  <c r="C174" i="81"/>
  <c r="D174" i="81"/>
  <c r="E174" i="81"/>
  <c r="F174" i="81"/>
  <c r="G174" i="81"/>
  <c r="H174" i="81"/>
  <c r="I174" i="81"/>
  <c r="J174" i="81"/>
  <c r="K174" i="81"/>
  <c r="L174" i="81"/>
  <c r="M174" i="81"/>
  <c r="N174" i="81"/>
  <c r="O174" i="81"/>
  <c r="P174" i="81"/>
  <c r="Q174" i="81"/>
  <c r="R174" i="81"/>
  <c r="S174" i="81"/>
  <c r="T174" i="81"/>
  <c r="U174" i="81"/>
  <c r="V174" i="81"/>
  <c r="W174" i="81"/>
  <c r="X174" i="81"/>
  <c r="Y174" i="81"/>
  <c r="Z174" i="81"/>
  <c r="AA174" i="81"/>
  <c r="AB174" i="81"/>
  <c r="AC174" i="81"/>
  <c r="AD174" i="81"/>
  <c r="AE174" i="81"/>
  <c r="AF174" i="81"/>
  <c r="AG174" i="81"/>
  <c r="AH174" i="81"/>
  <c r="AI174" i="81"/>
  <c r="AJ174" i="81"/>
  <c r="AK174" i="81"/>
  <c r="AL174" i="81"/>
  <c r="AM174" i="81"/>
  <c r="AN174" i="81"/>
  <c r="AO174" i="81"/>
  <c r="AP174" i="81"/>
  <c r="AQ174" i="81"/>
  <c r="B175" i="81"/>
  <c r="C175" i="81"/>
  <c r="D175" i="81"/>
  <c r="E175" i="81"/>
  <c r="F175" i="81"/>
  <c r="G175" i="81"/>
  <c r="H175" i="81"/>
  <c r="I175" i="81"/>
  <c r="J175" i="81"/>
  <c r="K175" i="81"/>
  <c r="L175" i="81"/>
  <c r="M175" i="81"/>
  <c r="N175" i="81"/>
  <c r="O175" i="81"/>
  <c r="P175" i="81"/>
  <c r="Q175" i="81"/>
  <c r="R175" i="81"/>
  <c r="S175" i="81"/>
  <c r="T175" i="81"/>
  <c r="U175" i="81"/>
  <c r="V175" i="81"/>
  <c r="W175" i="81"/>
  <c r="X175" i="81"/>
  <c r="Y175" i="81"/>
  <c r="Z175" i="81"/>
  <c r="AA175" i="81"/>
  <c r="AB175" i="81"/>
  <c r="AC175" i="81"/>
  <c r="AD175" i="81"/>
  <c r="AE175" i="81"/>
  <c r="AF175" i="81"/>
  <c r="AG175" i="81"/>
  <c r="AH175" i="81"/>
  <c r="AI175" i="81"/>
  <c r="AJ175" i="81"/>
  <c r="AK175" i="81"/>
  <c r="AL175" i="81"/>
  <c r="AM175" i="81"/>
  <c r="AN175" i="81"/>
  <c r="AO175" i="81"/>
  <c r="AP175" i="81"/>
  <c r="AQ175" i="81"/>
  <c r="B176" i="81"/>
  <c r="C176" i="81"/>
  <c r="D176" i="81"/>
  <c r="E176" i="81"/>
  <c r="F176" i="81"/>
  <c r="G176" i="81"/>
  <c r="H176" i="81"/>
  <c r="I176" i="81"/>
  <c r="J176" i="81"/>
  <c r="K176" i="81"/>
  <c r="L176" i="81"/>
  <c r="M176" i="81"/>
  <c r="N176" i="81"/>
  <c r="O176" i="81"/>
  <c r="P176" i="81"/>
  <c r="Q176" i="81"/>
  <c r="R176" i="81"/>
  <c r="S176" i="81"/>
  <c r="T176" i="81"/>
  <c r="U176" i="81"/>
  <c r="V176" i="81"/>
  <c r="W176" i="81"/>
  <c r="X176" i="81"/>
  <c r="Y176" i="81"/>
  <c r="Z176" i="81"/>
  <c r="AA176" i="81"/>
  <c r="AB176" i="81"/>
  <c r="AC176" i="81"/>
  <c r="AD176" i="81"/>
  <c r="AE176" i="81"/>
  <c r="AF176" i="81"/>
  <c r="AG176" i="81"/>
  <c r="AH176" i="81"/>
  <c r="AI176" i="81"/>
  <c r="AJ176" i="81"/>
  <c r="AK176" i="81"/>
  <c r="AL176" i="81"/>
  <c r="AM176" i="81"/>
  <c r="AN176" i="81"/>
  <c r="AO176" i="81"/>
  <c r="AP176" i="81"/>
  <c r="AQ176" i="81"/>
  <c r="B177" i="81"/>
  <c r="C177" i="81"/>
  <c r="D177" i="81"/>
  <c r="E177" i="81"/>
  <c r="F177" i="81"/>
  <c r="G177" i="81"/>
  <c r="H177" i="81"/>
  <c r="I177" i="81"/>
  <c r="J177" i="81"/>
  <c r="K177" i="81"/>
  <c r="L177" i="81"/>
  <c r="M177" i="81"/>
  <c r="N177" i="81"/>
  <c r="O177" i="81"/>
  <c r="P177" i="81"/>
  <c r="Q177" i="81"/>
  <c r="R177" i="81"/>
  <c r="S177" i="81"/>
  <c r="T177" i="81"/>
  <c r="U177" i="81"/>
  <c r="V177" i="81"/>
  <c r="W177" i="81"/>
  <c r="X177" i="81"/>
  <c r="Y177" i="81"/>
  <c r="Z177" i="81"/>
  <c r="AA177" i="81"/>
  <c r="AB177" i="81"/>
  <c r="AC177" i="81"/>
  <c r="AD177" i="81"/>
  <c r="AE177" i="81"/>
  <c r="AF177" i="81"/>
  <c r="AG177" i="81"/>
  <c r="AH177" i="81"/>
  <c r="AI177" i="81"/>
  <c r="AJ177" i="81"/>
  <c r="AK177" i="81"/>
  <c r="AL177" i="81"/>
  <c r="AM177" i="81"/>
  <c r="AN177" i="81"/>
  <c r="AO177" i="81"/>
  <c r="AP177" i="81"/>
  <c r="AQ177" i="81"/>
  <c r="B178" i="81"/>
  <c r="C178" i="81"/>
  <c r="D178" i="81"/>
  <c r="E178" i="81"/>
  <c r="F178" i="81"/>
  <c r="G178" i="81"/>
  <c r="H178" i="81"/>
  <c r="I178" i="81"/>
  <c r="J178" i="81"/>
  <c r="K178" i="81"/>
  <c r="L178" i="81"/>
  <c r="M178" i="81"/>
  <c r="N178" i="81"/>
  <c r="O178" i="81"/>
  <c r="P178" i="81"/>
  <c r="Q178" i="81"/>
  <c r="R178" i="81"/>
  <c r="S178" i="81"/>
  <c r="T178" i="81"/>
  <c r="U178" i="81"/>
  <c r="V178" i="81"/>
  <c r="W178" i="81"/>
  <c r="X178" i="81"/>
  <c r="Y178" i="81"/>
  <c r="Z178" i="81"/>
  <c r="AA178" i="81"/>
  <c r="AB178" i="81"/>
  <c r="AC178" i="81"/>
  <c r="AD178" i="81"/>
  <c r="AE178" i="81"/>
  <c r="AF178" i="81"/>
  <c r="AG178" i="81"/>
  <c r="AH178" i="81"/>
  <c r="AI178" i="81"/>
  <c r="AJ178" i="81"/>
  <c r="AK178" i="81"/>
  <c r="AL178" i="81"/>
  <c r="AM178" i="81"/>
  <c r="AN178" i="81"/>
  <c r="AO178" i="81"/>
  <c r="AP178" i="81"/>
  <c r="AQ178" i="81"/>
  <c r="B179" i="81"/>
  <c r="C179" i="81"/>
  <c r="D179" i="81"/>
  <c r="E179" i="81"/>
  <c r="F179" i="81"/>
  <c r="G179" i="81"/>
  <c r="H179" i="81"/>
  <c r="I179" i="81"/>
  <c r="J179" i="81"/>
  <c r="K179" i="81"/>
  <c r="L179" i="81"/>
  <c r="M179" i="81"/>
  <c r="N179" i="81"/>
  <c r="O179" i="81"/>
  <c r="P179" i="81"/>
  <c r="Q179" i="81"/>
  <c r="R179" i="81"/>
  <c r="S179" i="81"/>
  <c r="T179" i="81"/>
  <c r="U179" i="81"/>
  <c r="V179" i="81"/>
  <c r="W179" i="81"/>
  <c r="X179" i="81"/>
  <c r="Y179" i="81"/>
  <c r="Z179" i="81"/>
  <c r="AA179" i="81"/>
  <c r="AB179" i="81"/>
  <c r="AC179" i="81"/>
  <c r="AD179" i="81"/>
  <c r="AE179" i="81"/>
  <c r="AF179" i="81"/>
  <c r="AG179" i="81"/>
  <c r="AH179" i="81"/>
  <c r="AI179" i="81"/>
  <c r="AJ179" i="81"/>
  <c r="AK179" i="81"/>
  <c r="AL179" i="81"/>
  <c r="AM179" i="81"/>
  <c r="AN179" i="81"/>
  <c r="AO179" i="81"/>
  <c r="AP179" i="81"/>
  <c r="AQ179" i="81"/>
  <c r="B180" i="81"/>
  <c r="C180" i="81"/>
  <c r="D180" i="81"/>
  <c r="E180" i="81"/>
  <c r="F180" i="81"/>
  <c r="G180" i="81"/>
  <c r="H180" i="81"/>
  <c r="I180" i="81"/>
  <c r="J180" i="81"/>
  <c r="K180" i="81"/>
  <c r="L180" i="81"/>
  <c r="M180" i="81"/>
  <c r="N180" i="81"/>
  <c r="O180" i="81"/>
  <c r="P180" i="81"/>
  <c r="Q180" i="81"/>
  <c r="R180" i="81"/>
  <c r="S180" i="81"/>
  <c r="T180" i="81"/>
  <c r="U180" i="81"/>
  <c r="V180" i="81"/>
  <c r="W180" i="81"/>
  <c r="X180" i="81"/>
  <c r="Y180" i="81"/>
  <c r="Z180" i="81"/>
  <c r="AA180" i="81"/>
  <c r="AB180" i="81"/>
  <c r="AC180" i="81"/>
  <c r="AD180" i="81"/>
  <c r="AE180" i="81"/>
  <c r="AF180" i="81"/>
  <c r="AG180" i="81"/>
  <c r="AH180" i="81"/>
  <c r="AI180" i="81"/>
  <c r="AJ180" i="81"/>
  <c r="AK180" i="81"/>
  <c r="AL180" i="81"/>
  <c r="AM180" i="81"/>
  <c r="AN180" i="81"/>
  <c r="AO180" i="81"/>
  <c r="AP180" i="81"/>
  <c r="AQ180" i="81"/>
  <c r="B181" i="81"/>
  <c r="C181" i="81"/>
  <c r="D181" i="81"/>
  <c r="E181" i="81"/>
  <c r="F181" i="81"/>
  <c r="G181" i="81"/>
  <c r="H181" i="81"/>
  <c r="I181" i="81"/>
  <c r="J181" i="81"/>
  <c r="K181" i="81"/>
  <c r="L181" i="81"/>
  <c r="M181" i="81"/>
  <c r="N181" i="81"/>
  <c r="O181" i="81"/>
  <c r="P181" i="81"/>
  <c r="Q181" i="81"/>
  <c r="R181" i="81"/>
  <c r="S181" i="81"/>
  <c r="T181" i="81"/>
  <c r="U181" i="81"/>
  <c r="V181" i="81"/>
  <c r="W181" i="81"/>
  <c r="X181" i="81"/>
  <c r="Y181" i="81"/>
  <c r="Z181" i="81"/>
  <c r="AA181" i="81"/>
  <c r="AB181" i="81"/>
  <c r="AC181" i="81"/>
  <c r="AD181" i="81"/>
  <c r="AE181" i="81"/>
  <c r="AF181" i="81"/>
  <c r="AG181" i="81"/>
  <c r="AH181" i="81"/>
  <c r="AI181" i="81"/>
  <c r="AJ181" i="81"/>
  <c r="AK181" i="81"/>
  <c r="AL181" i="81"/>
  <c r="AM181" i="81"/>
  <c r="AN181" i="81"/>
  <c r="AO181" i="81"/>
  <c r="AP181" i="81"/>
  <c r="AQ181" i="81"/>
  <c r="B182" i="81"/>
  <c r="C182" i="81"/>
  <c r="D182" i="81"/>
  <c r="E182" i="81"/>
  <c r="F182" i="81"/>
  <c r="G182" i="81"/>
  <c r="H182" i="81"/>
  <c r="I182" i="81"/>
  <c r="J182" i="81"/>
  <c r="K182" i="81"/>
  <c r="L182" i="81"/>
  <c r="M182" i="81"/>
  <c r="N182" i="81"/>
  <c r="O182" i="81"/>
  <c r="P182" i="81"/>
  <c r="Q182" i="81"/>
  <c r="R182" i="81"/>
  <c r="S182" i="81"/>
  <c r="T182" i="81"/>
  <c r="U182" i="81"/>
  <c r="V182" i="81"/>
  <c r="W182" i="81"/>
  <c r="X182" i="81"/>
  <c r="Y182" i="81"/>
  <c r="Z182" i="81"/>
  <c r="AA182" i="81"/>
  <c r="AB182" i="81"/>
  <c r="AC182" i="81"/>
  <c r="AD182" i="81"/>
  <c r="AE182" i="81"/>
  <c r="AF182" i="81"/>
  <c r="AG182" i="81"/>
  <c r="AH182" i="81"/>
  <c r="AI182" i="81"/>
  <c r="AJ182" i="81"/>
  <c r="AK182" i="81"/>
  <c r="AL182" i="81"/>
  <c r="AM182" i="81"/>
  <c r="AN182" i="81"/>
  <c r="AO182" i="81"/>
  <c r="AP182" i="81"/>
  <c r="AQ182" i="81"/>
  <c r="B183" i="81"/>
  <c r="C183" i="81"/>
  <c r="D183" i="81"/>
  <c r="E183" i="81"/>
  <c r="F183" i="81"/>
  <c r="G183" i="81"/>
  <c r="H183" i="81"/>
  <c r="I183" i="81"/>
  <c r="J183" i="81"/>
  <c r="K183" i="81"/>
  <c r="L183" i="81"/>
  <c r="M183" i="81"/>
  <c r="N183" i="81"/>
  <c r="O183" i="81"/>
  <c r="P183" i="81"/>
  <c r="Q183" i="81"/>
  <c r="R183" i="81"/>
  <c r="S183" i="81"/>
  <c r="T183" i="81"/>
  <c r="U183" i="81"/>
  <c r="V183" i="81"/>
  <c r="W183" i="81"/>
  <c r="X183" i="81"/>
  <c r="Y183" i="81"/>
  <c r="Z183" i="81"/>
  <c r="AA183" i="81"/>
  <c r="AB183" i="81"/>
  <c r="AC183" i="81"/>
  <c r="AD183" i="81"/>
  <c r="AE183" i="81"/>
  <c r="AF183" i="81"/>
  <c r="AG183" i="81"/>
  <c r="AH183" i="81"/>
  <c r="AI183" i="81"/>
  <c r="AJ183" i="81"/>
  <c r="AK183" i="81"/>
  <c r="AL183" i="81"/>
  <c r="AM183" i="81"/>
  <c r="AN183" i="81"/>
  <c r="AO183" i="81"/>
  <c r="AP183" i="81"/>
  <c r="AQ183" i="81"/>
  <c r="B184" i="81"/>
  <c r="C184" i="81"/>
  <c r="D184" i="81"/>
  <c r="E184" i="81"/>
  <c r="F184" i="81"/>
  <c r="G184" i="81"/>
  <c r="H184" i="81"/>
  <c r="I184" i="81"/>
  <c r="J184" i="81"/>
  <c r="K184" i="81"/>
  <c r="L184" i="81"/>
  <c r="M184" i="81"/>
  <c r="N184" i="81"/>
  <c r="O184" i="81"/>
  <c r="P184" i="81"/>
  <c r="Q184" i="81"/>
  <c r="R184" i="81"/>
  <c r="S184" i="81"/>
  <c r="T184" i="81"/>
  <c r="U184" i="81"/>
  <c r="V184" i="81"/>
  <c r="W184" i="81"/>
  <c r="X184" i="81"/>
  <c r="Y184" i="81"/>
  <c r="Z184" i="81"/>
  <c r="AA184" i="81"/>
  <c r="AB184" i="81"/>
  <c r="AC184" i="81"/>
  <c r="AD184" i="81"/>
  <c r="AE184" i="81"/>
  <c r="AF184" i="81"/>
  <c r="AG184" i="81"/>
  <c r="AH184" i="81"/>
  <c r="AI184" i="81"/>
  <c r="AJ184" i="81"/>
  <c r="AK184" i="81"/>
  <c r="AL184" i="81"/>
  <c r="AM184" i="81"/>
  <c r="AN184" i="81"/>
  <c r="AO184" i="81"/>
  <c r="AP184" i="81"/>
  <c r="AQ184" i="81"/>
  <c r="B185" i="81"/>
  <c r="C185" i="81"/>
  <c r="D185" i="81"/>
  <c r="E185" i="81"/>
  <c r="F185" i="81"/>
  <c r="G185" i="81"/>
  <c r="H185" i="81"/>
  <c r="I185" i="81"/>
  <c r="J185" i="81"/>
  <c r="K185" i="81"/>
  <c r="L185" i="81"/>
  <c r="M185" i="81"/>
  <c r="N185" i="81"/>
  <c r="O185" i="81"/>
  <c r="P185" i="81"/>
  <c r="Q185" i="81"/>
  <c r="R185" i="81"/>
  <c r="S185" i="81"/>
  <c r="T185" i="81"/>
  <c r="U185" i="81"/>
  <c r="V185" i="81"/>
  <c r="W185" i="81"/>
  <c r="X185" i="81"/>
  <c r="Y185" i="81"/>
  <c r="Z185" i="81"/>
  <c r="AA185" i="81"/>
  <c r="AB185" i="81"/>
  <c r="AC185" i="81"/>
  <c r="AD185" i="81"/>
  <c r="AE185" i="81"/>
  <c r="AF185" i="81"/>
  <c r="AG185" i="81"/>
  <c r="AH185" i="81"/>
  <c r="AI185" i="81"/>
  <c r="AJ185" i="81"/>
  <c r="AK185" i="81"/>
  <c r="AL185" i="81"/>
  <c r="AM185" i="81"/>
  <c r="AN185" i="81"/>
  <c r="AO185" i="81"/>
  <c r="AP185" i="81"/>
  <c r="AQ185" i="81"/>
  <c r="B186" i="81"/>
  <c r="C186" i="81"/>
  <c r="D186" i="81"/>
  <c r="E186" i="81"/>
  <c r="F186" i="81"/>
  <c r="G186" i="81"/>
  <c r="H186" i="81"/>
  <c r="I186" i="81"/>
  <c r="J186" i="81"/>
  <c r="K186" i="81"/>
  <c r="L186" i="81"/>
  <c r="M186" i="81"/>
  <c r="N186" i="81"/>
  <c r="O186" i="81"/>
  <c r="P186" i="81"/>
  <c r="Q186" i="81"/>
  <c r="R186" i="81"/>
  <c r="S186" i="81"/>
  <c r="T186" i="81"/>
  <c r="U186" i="81"/>
  <c r="V186" i="81"/>
  <c r="W186" i="81"/>
  <c r="X186" i="81"/>
  <c r="Y186" i="81"/>
  <c r="Z186" i="81"/>
  <c r="AA186" i="81"/>
  <c r="AB186" i="81"/>
  <c r="AC186" i="81"/>
  <c r="AD186" i="81"/>
  <c r="AE186" i="81"/>
  <c r="AF186" i="81"/>
  <c r="AG186" i="81"/>
  <c r="AH186" i="81"/>
  <c r="AI186" i="81"/>
  <c r="AJ186" i="81"/>
  <c r="AK186" i="81"/>
  <c r="AL186" i="81"/>
  <c r="AM186" i="81"/>
  <c r="AN186" i="81"/>
  <c r="AO186" i="81"/>
  <c r="AP186" i="81"/>
  <c r="AQ186" i="81"/>
  <c r="B187" i="81"/>
  <c r="C187" i="81"/>
  <c r="D187" i="81"/>
  <c r="E187" i="81"/>
  <c r="F187" i="81"/>
  <c r="G187" i="81"/>
  <c r="H187" i="81"/>
  <c r="I187" i="81"/>
  <c r="J187" i="81"/>
  <c r="K187" i="81"/>
  <c r="L187" i="81"/>
  <c r="M187" i="81"/>
  <c r="N187" i="81"/>
  <c r="O187" i="81"/>
  <c r="P187" i="81"/>
  <c r="Q187" i="81"/>
  <c r="R187" i="81"/>
  <c r="S187" i="81"/>
  <c r="T187" i="81"/>
  <c r="U187" i="81"/>
  <c r="V187" i="81"/>
  <c r="W187" i="81"/>
  <c r="X187" i="81"/>
  <c r="Y187" i="81"/>
  <c r="Z187" i="81"/>
  <c r="AA187" i="81"/>
  <c r="AB187" i="81"/>
  <c r="AC187" i="81"/>
  <c r="AD187" i="81"/>
  <c r="AE187" i="81"/>
  <c r="AF187" i="81"/>
  <c r="AG187" i="81"/>
  <c r="AH187" i="81"/>
  <c r="AI187" i="81"/>
  <c r="AJ187" i="81"/>
  <c r="AK187" i="81"/>
  <c r="AL187" i="81"/>
  <c r="AM187" i="81"/>
  <c r="AN187" i="81"/>
  <c r="AO187" i="81"/>
  <c r="AP187" i="81"/>
  <c r="AQ187" i="81"/>
  <c r="B188" i="81"/>
  <c r="C188" i="81"/>
  <c r="D188" i="81"/>
  <c r="E188" i="81"/>
  <c r="F188" i="81"/>
  <c r="G188" i="81"/>
  <c r="H188" i="81"/>
  <c r="I188" i="81"/>
  <c r="J188" i="81"/>
  <c r="K188" i="81"/>
  <c r="L188" i="81"/>
  <c r="M188" i="81"/>
  <c r="N188" i="81"/>
  <c r="O188" i="81"/>
  <c r="P188" i="81"/>
  <c r="Q188" i="81"/>
  <c r="R188" i="81"/>
  <c r="S188" i="81"/>
  <c r="T188" i="81"/>
  <c r="U188" i="81"/>
  <c r="V188" i="81"/>
  <c r="W188" i="81"/>
  <c r="X188" i="81"/>
  <c r="Y188" i="81"/>
  <c r="Z188" i="81"/>
  <c r="AA188" i="81"/>
  <c r="AB188" i="81"/>
  <c r="AC188" i="81"/>
  <c r="AD188" i="81"/>
  <c r="AE188" i="81"/>
  <c r="AF188" i="81"/>
  <c r="AG188" i="81"/>
  <c r="AH188" i="81"/>
  <c r="AI188" i="81"/>
  <c r="AJ188" i="81"/>
  <c r="AK188" i="81"/>
  <c r="AL188" i="81"/>
  <c r="AM188" i="81"/>
  <c r="AN188" i="81"/>
  <c r="AO188" i="81"/>
  <c r="AP188" i="81"/>
  <c r="AQ188" i="81"/>
  <c r="B189" i="81"/>
  <c r="C189" i="81"/>
  <c r="D189" i="81"/>
  <c r="E189" i="81"/>
  <c r="F189" i="81"/>
  <c r="G189" i="81"/>
  <c r="H189" i="81"/>
  <c r="I189" i="81"/>
  <c r="J189" i="81"/>
  <c r="K189" i="81"/>
  <c r="L189" i="81"/>
  <c r="M189" i="81"/>
  <c r="N189" i="81"/>
  <c r="O189" i="81"/>
  <c r="P189" i="81"/>
  <c r="Q189" i="81"/>
  <c r="R189" i="81"/>
  <c r="S189" i="81"/>
  <c r="T189" i="81"/>
  <c r="U189" i="81"/>
  <c r="V189" i="81"/>
  <c r="W189" i="81"/>
  <c r="X189" i="81"/>
  <c r="Y189" i="81"/>
  <c r="Z189" i="81"/>
  <c r="AA189" i="81"/>
  <c r="AB189" i="81"/>
  <c r="AC189" i="81"/>
  <c r="AD189" i="81"/>
  <c r="AE189" i="81"/>
  <c r="AF189" i="81"/>
  <c r="AG189" i="81"/>
  <c r="AH189" i="81"/>
  <c r="AI189" i="81"/>
  <c r="AJ189" i="81"/>
  <c r="AK189" i="81"/>
  <c r="AL189" i="81"/>
  <c r="AM189" i="81"/>
  <c r="AN189" i="81"/>
  <c r="AO189" i="81"/>
  <c r="AP189" i="81"/>
  <c r="AQ189" i="81"/>
  <c r="B190" i="81"/>
  <c r="C190" i="81"/>
  <c r="D190" i="81"/>
  <c r="E190" i="81"/>
  <c r="F190" i="81"/>
  <c r="G190" i="81"/>
  <c r="H190" i="81"/>
  <c r="I190" i="81"/>
  <c r="J190" i="81"/>
  <c r="K190" i="81"/>
  <c r="L190" i="81"/>
  <c r="M190" i="81"/>
  <c r="N190" i="81"/>
  <c r="O190" i="81"/>
  <c r="P190" i="81"/>
  <c r="Q190" i="81"/>
  <c r="R190" i="81"/>
  <c r="S190" i="81"/>
  <c r="T190" i="81"/>
  <c r="U190" i="81"/>
  <c r="V190" i="81"/>
  <c r="W190" i="81"/>
  <c r="X190" i="81"/>
  <c r="Y190" i="81"/>
  <c r="Z190" i="81"/>
  <c r="AA190" i="81"/>
  <c r="AB190" i="81"/>
  <c r="AC190" i="81"/>
  <c r="AD190" i="81"/>
  <c r="AE190" i="81"/>
  <c r="AF190" i="81"/>
  <c r="AG190" i="81"/>
  <c r="AH190" i="81"/>
  <c r="AI190" i="81"/>
  <c r="AJ190" i="81"/>
  <c r="AK190" i="81"/>
  <c r="AL190" i="81"/>
  <c r="AM190" i="81"/>
  <c r="AN190" i="81"/>
  <c r="AO190" i="81"/>
  <c r="AP190" i="81"/>
  <c r="AQ190" i="81"/>
  <c r="B191" i="81"/>
  <c r="C191" i="81"/>
  <c r="D191" i="81"/>
  <c r="E191" i="81"/>
  <c r="F191" i="81"/>
  <c r="G191" i="81"/>
  <c r="H191" i="81"/>
  <c r="I191" i="81"/>
  <c r="J191" i="81"/>
  <c r="K191" i="81"/>
  <c r="L191" i="81"/>
  <c r="M191" i="81"/>
  <c r="N191" i="81"/>
  <c r="O191" i="81"/>
  <c r="P191" i="81"/>
  <c r="Q191" i="81"/>
  <c r="R191" i="81"/>
  <c r="S191" i="81"/>
  <c r="T191" i="81"/>
  <c r="U191" i="81"/>
  <c r="V191" i="81"/>
  <c r="W191" i="81"/>
  <c r="X191" i="81"/>
  <c r="Y191" i="81"/>
  <c r="Z191" i="81"/>
  <c r="AA191" i="81"/>
  <c r="AB191" i="81"/>
  <c r="AC191" i="81"/>
  <c r="AD191" i="81"/>
  <c r="AE191" i="81"/>
  <c r="AF191" i="81"/>
  <c r="AG191" i="81"/>
  <c r="AH191" i="81"/>
  <c r="AI191" i="81"/>
  <c r="AJ191" i="81"/>
  <c r="AK191" i="81"/>
  <c r="AL191" i="81"/>
  <c r="AM191" i="81"/>
  <c r="AN191" i="81"/>
  <c r="AO191" i="81"/>
  <c r="AP191" i="81"/>
  <c r="AQ191" i="81"/>
  <c r="B192" i="81"/>
  <c r="C192" i="81"/>
  <c r="D192" i="81"/>
  <c r="E192" i="81"/>
  <c r="F192" i="81"/>
  <c r="G192" i="81"/>
  <c r="H192" i="81"/>
  <c r="I192" i="81"/>
  <c r="J192" i="81"/>
  <c r="K192" i="81"/>
  <c r="L192" i="81"/>
  <c r="M192" i="81"/>
  <c r="N192" i="81"/>
  <c r="O192" i="81"/>
  <c r="P192" i="81"/>
  <c r="Q192" i="81"/>
  <c r="R192" i="81"/>
  <c r="S192" i="81"/>
  <c r="T192" i="81"/>
  <c r="U192" i="81"/>
  <c r="V192" i="81"/>
  <c r="W192" i="81"/>
  <c r="X192" i="81"/>
  <c r="Y192" i="81"/>
  <c r="Z192" i="81"/>
  <c r="AA192" i="81"/>
  <c r="AB192" i="81"/>
  <c r="AC192" i="81"/>
  <c r="AD192" i="81"/>
  <c r="AE192" i="81"/>
  <c r="AF192" i="81"/>
  <c r="AG192" i="81"/>
  <c r="AH192" i="81"/>
  <c r="AI192" i="81"/>
  <c r="AJ192" i="81"/>
  <c r="AK192" i="81"/>
  <c r="AL192" i="81"/>
  <c r="AM192" i="81"/>
  <c r="AN192" i="81"/>
  <c r="AO192" i="81"/>
  <c r="AP192" i="81"/>
  <c r="AQ192" i="81"/>
  <c r="B193" i="81"/>
  <c r="C193" i="81"/>
  <c r="D193" i="81"/>
  <c r="E193" i="81"/>
  <c r="F193" i="81"/>
  <c r="G193" i="81"/>
  <c r="H193" i="81"/>
  <c r="I193" i="81"/>
  <c r="J193" i="81"/>
  <c r="K193" i="81"/>
  <c r="L193" i="81"/>
  <c r="M193" i="81"/>
  <c r="N193" i="81"/>
  <c r="O193" i="81"/>
  <c r="P193" i="81"/>
  <c r="Q193" i="81"/>
  <c r="R193" i="81"/>
  <c r="S193" i="81"/>
  <c r="T193" i="81"/>
  <c r="U193" i="81"/>
  <c r="V193" i="81"/>
  <c r="W193" i="81"/>
  <c r="X193" i="81"/>
  <c r="Y193" i="81"/>
  <c r="Z193" i="81"/>
  <c r="AA193" i="81"/>
  <c r="AB193" i="81"/>
  <c r="AC193" i="81"/>
  <c r="AD193" i="81"/>
  <c r="AE193" i="81"/>
  <c r="AF193" i="81"/>
  <c r="AG193" i="81"/>
  <c r="AH193" i="81"/>
  <c r="AI193" i="81"/>
  <c r="AJ193" i="81"/>
  <c r="AK193" i="81"/>
  <c r="AL193" i="81"/>
  <c r="AM193" i="81"/>
  <c r="AN193" i="81"/>
  <c r="AO193" i="81"/>
  <c r="AP193" i="81"/>
  <c r="AQ193" i="81"/>
  <c r="B194" i="81"/>
  <c r="C194" i="81"/>
  <c r="D194" i="81"/>
  <c r="E194" i="81"/>
  <c r="F194" i="81"/>
  <c r="G194" i="81"/>
  <c r="H194" i="81"/>
  <c r="I194" i="81"/>
  <c r="J194" i="81"/>
  <c r="K194" i="81"/>
  <c r="L194" i="81"/>
  <c r="M194" i="81"/>
  <c r="N194" i="81"/>
  <c r="O194" i="81"/>
  <c r="P194" i="81"/>
  <c r="Q194" i="81"/>
  <c r="R194" i="81"/>
  <c r="S194" i="81"/>
  <c r="T194" i="81"/>
  <c r="U194" i="81"/>
  <c r="V194" i="81"/>
  <c r="W194" i="81"/>
  <c r="X194" i="81"/>
  <c r="Y194" i="81"/>
  <c r="Z194" i="81"/>
  <c r="AA194" i="81"/>
  <c r="AB194" i="81"/>
  <c r="AC194" i="81"/>
  <c r="AD194" i="81"/>
  <c r="AE194" i="81"/>
  <c r="AF194" i="81"/>
  <c r="AG194" i="81"/>
  <c r="AH194" i="81"/>
  <c r="AI194" i="81"/>
  <c r="AJ194" i="81"/>
  <c r="AK194" i="81"/>
  <c r="AL194" i="81"/>
  <c r="AM194" i="81"/>
  <c r="AN194" i="81"/>
  <c r="AO194" i="81"/>
  <c r="AP194" i="81"/>
  <c r="AQ194" i="81"/>
  <c r="B195" i="81"/>
  <c r="C195" i="81"/>
  <c r="D195" i="81"/>
  <c r="E195" i="81"/>
  <c r="F195" i="81"/>
  <c r="G195" i="81"/>
  <c r="H195" i="81"/>
  <c r="I195" i="81"/>
  <c r="J195" i="81"/>
  <c r="K195" i="81"/>
  <c r="L195" i="81"/>
  <c r="M195" i="81"/>
  <c r="N195" i="81"/>
  <c r="O195" i="81"/>
  <c r="P195" i="81"/>
  <c r="Q195" i="81"/>
  <c r="R195" i="81"/>
  <c r="S195" i="81"/>
  <c r="T195" i="81"/>
  <c r="U195" i="81"/>
  <c r="V195" i="81"/>
  <c r="W195" i="81"/>
  <c r="X195" i="81"/>
  <c r="Y195" i="81"/>
  <c r="Z195" i="81"/>
  <c r="AA195" i="81"/>
  <c r="AB195" i="81"/>
  <c r="AC195" i="81"/>
  <c r="AD195" i="81"/>
  <c r="AE195" i="81"/>
  <c r="AF195" i="81"/>
  <c r="AG195" i="81"/>
  <c r="AH195" i="81"/>
  <c r="AI195" i="81"/>
  <c r="AJ195" i="81"/>
  <c r="AK195" i="81"/>
  <c r="AL195" i="81"/>
  <c r="AM195" i="81"/>
  <c r="AN195" i="81"/>
  <c r="AO195" i="81"/>
  <c r="AP195" i="81"/>
  <c r="AQ195" i="81"/>
  <c r="B196" i="81"/>
  <c r="C196" i="81"/>
  <c r="D196" i="81"/>
  <c r="E196" i="81"/>
  <c r="F196" i="81"/>
  <c r="G196" i="81"/>
  <c r="H196" i="81"/>
  <c r="I196" i="81"/>
  <c r="J196" i="81"/>
  <c r="K196" i="81"/>
  <c r="L196" i="81"/>
  <c r="M196" i="81"/>
  <c r="N196" i="81"/>
  <c r="O196" i="81"/>
  <c r="P196" i="81"/>
  <c r="Q196" i="81"/>
  <c r="R196" i="81"/>
  <c r="S196" i="81"/>
  <c r="T196" i="81"/>
  <c r="U196" i="81"/>
  <c r="V196" i="81"/>
  <c r="W196" i="81"/>
  <c r="X196" i="81"/>
  <c r="Y196" i="81"/>
  <c r="Z196" i="81"/>
  <c r="AA196" i="81"/>
  <c r="AB196" i="81"/>
  <c r="AC196" i="81"/>
  <c r="AD196" i="81"/>
  <c r="AE196" i="81"/>
  <c r="AF196" i="81"/>
  <c r="AG196" i="81"/>
  <c r="AH196" i="81"/>
  <c r="AI196" i="81"/>
  <c r="AJ196" i="81"/>
  <c r="AK196" i="81"/>
  <c r="AL196" i="81"/>
  <c r="AM196" i="81"/>
  <c r="AN196" i="81"/>
  <c r="AO196" i="81"/>
  <c r="AP196" i="81"/>
  <c r="AQ196" i="81"/>
  <c r="B197" i="81"/>
  <c r="C197" i="81"/>
  <c r="D197" i="81"/>
  <c r="E197" i="81"/>
  <c r="F197" i="81"/>
  <c r="G197" i="81"/>
  <c r="H197" i="81"/>
  <c r="I197" i="81"/>
  <c r="J197" i="81"/>
  <c r="K197" i="81"/>
  <c r="L197" i="81"/>
  <c r="M197" i="81"/>
  <c r="N197" i="81"/>
  <c r="O197" i="81"/>
  <c r="P197" i="81"/>
  <c r="Q197" i="81"/>
  <c r="R197" i="81"/>
  <c r="S197" i="81"/>
  <c r="T197" i="81"/>
  <c r="U197" i="81"/>
  <c r="V197" i="81"/>
  <c r="W197" i="81"/>
  <c r="X197" i="81"/>
  <c r="Y197" i="81"/>
  <c r="Z197" i="81"/>
  <c r="AA197" i="81"/>
  <c r="AB197" i="81"/>
  <c r="AC197" i="81"/>
  <c r="AD197" i="81"/>
  <c r="AE197" i="81"/>
  <c r="AF197" i="81"/>
  <c r="AG197" i="81"/>
  <c r="AH197" i="81"/>
  <c r="AI197" i="81"/>
  <c r="AJ197" i="81"/>
  <c r="AK197" i="81"/>
  <c r="AL197" i="81"/>
  <c r="AM197" i="81"/>
  <c r="AN197" i="81"/>
  <c r="AO197" i="81"/>
  <c r="AP197" i="81"/>
  <c r="AQ197" i="81"/>
  <c r="B198" i="81"/>
  <c r="C198" i="81"/>
  <c r="D198" i="81"/>
  <c r="E198" i="81"/>
  <c r="F198" i="81"/>
  <c r="G198" i="81"/>
  <c r="H198" i="81"/>
  <c r="I198" i="81"/>
  <c r="J198" i="81"/>
  <c r="K198" i="81"/>
  <c r="L198" i="81"/>
  <c r="M198" i="81"/>
  <c r="N198" i="81"/>
  <c r="O198" i="81"/>
  <c r="P198" i="81"/>
  <c r="Q198" i="81"/>
  <c r="R198" i="81"/>
  <c r="S198" i="81"/>
  <c r="T198" i="81"/>
  <c r="U198" i="81"/>
  <c r="V198" i="81"/>
  <c r="W198" i="81"/>
  <c r="X198" i="81"/>
  <c r="Y198" i="81"/>
  <c r="Z198" i="81"/>
  <c r="AA198" i="81"/>
  <c r="AB198" i="81"/>
  <c r="AC198" i="81"/>
  <c r="AD198" i="81"/>
  <c r="AE198" i="81"/>
  <c r="AF198" i="81"/>
  <c r="AG198" i="81"/>
  <c r="AH198" i="81"/>
  <c r="AI198" i="81"/>
  <c r="AJ198" i="81"/>
  <c r="AK198" i="81"/>
  <c r="AL198" i="81"/>
  <c r="AM198" i="81"/>
  <c r="AN198" i="81"/>
  <c r="AO198" i="81"/>
  <c r="AP198" i="81"/>
  <c r="AQ198" i="81"/>
  <c r="B199" i="81"/>
  <c r="C199" i="81"/>
  <c r="D199" i="81"/>
  <c r="E199" i="81"/>
  <c r="F199" i="81"/>
  <c r="G199" i="81"/>
  <c r="H199" i="81"/>
  <c r="I199" i="81"/>
  <c r="J199" i="81"/>
  <c r="K199" i="81"/>
  <c r="L199" i="81"/>
  <c r="M199" i="81"/>
  <c r="N199" i="81"/>
  <c r="O199" i="81"/>
  <c r="P199" i="81"/>
  <c r="Q199" i="81"/>
  <c r="R199" i="81"/>
  <c r="S199" i="81"/>
  <c r="T199" i="81"/>
  <c r="U199" i="81"/>
  <c r="V199" i="81"/>
  <c r="W199" i="81"/>
  <c r="X199" i="81"/>
  <c r="Y199" i="81"/>
  <c r="Z199" i="81"/>
  <c r="AA199" i="81"/>
  <c r="AB199" i="81"/>
  <c r="AC199" i="81"/>
  <c r="AD199" i="81"/>
  <c r="AE199" i="81"/>
  <c r="AF199" i="81"/>
  <c r="AG199" i="81"/>
  <c r="AH199" i="81"/>
  <c r="AI199" i="81"/>
  <c r="AJ199" i="81"/>
  <c r="AK199" i="81"/>
  <c r="AL199" i="81"/>
  <c r="AM199" i="81"/>
  <c r="AN199" i="81"/>
  <c r="AO199" i="81"/>
  <c r="AP199" i="81"/>
  <c r="AQ199" i="81"/>
  <c r="B200" i="81"/>
  <c r="C200" i="81"/>
  <c r="D200" i="81"/>
  <c r="E200" i="81"/>
  <c r="F200" i="81"/>
  <c r="G200" i="81"/>
  <c r="H200" i="81"/>
  <c r="I200" i="81"/>
  <c r="J200" i="81"/>
  <c r="K200" i="81"/>
  <c r="L200" i="81"/>
  <c r="M200" i="81"/>
  <c r="N200" i="81"/>
  <c r="O200" i="81"/>
  <c r="P200" i="81"/>
  <c r="Q200" i="81"/>
  <c r="R200" i="81"/>
  <c r="S200" i="81"/>
  <c r="T200" i="81"/>
  <c r="U200" i="81"/>
  <c r="V200" i="81"/>
  <c r="W200" i="81"/>
  <c r="X200" i="81"/>
  <c r="Y200" i="81"/>
  <c r="Z200" i="81"/>
  <c r="AA200" i="81"/>
  <c r="AB200" i="81"/>
  <c r="AC200" i="81"/>
  <c r="AD200" i="81"/>
  <c r="AE200" i="81"/>
  <c r="AF200" i="81"/>
  <c r="AG200" i="81"/>
  <c r="AH200" i="81"/>
  <c r="AI200" i="81"/>
  <c r="AJ200" i="81"/>
  <c r="AK200" i="81"/>
  <c r="AL200" i="81"/>
  <c r="AM200" i="81"/>
  <c r="AN200" i="81"/>
  <c r="AO200" i="81"/>
  <c r="AP200" i="81"/>
  <c r="AQ200" i="81"/>
  <c r="B201" i="81"/>
  <c r="C201" i="81"/>
  <c r="D201" i="81"/>
  <c r="E201" i="81"/>
  <c r="F201" i="81"/>
  <c r="G201" i="81"/>
  <c r="H201" i="81"/>
  <c r="I201" i="81"/>
  <c r="J201" i="81"/>
  <c r="K201" i="81"/>
  <c r="L201" i="81"/>
  <c r="M201" i="81"/>
  <c r="N201" i="81"/>
  <c r="O201" i="81"/>
  <c r="P201" i="81"/>
  <c r="Q201" i="81"/>
  <c r="R201" i="81"/>
  <c r="S201" i="81"/>
  <c r="T201" i="81"/>
  <c r="U201" i="81"/>
  <c r="V201" i="81"/>
  <c r="W201" i="81"/>
  <c r="X201" i="81"/>
  <c r="Y201" i="81"/>
  <c r="Z201" i="81"/>
  <c r="AA201" i="81"/>
  <c r="AB201" i="81"/>
  <c r="AC201" i="81"/>
  <c r="AD201" i="81"/>
  <c r="AE201" i="81"/>
  <c r="AF201" i="81"/>
  <c r="AG201" i="81"/>
  <c r="AH201" i="81"/>
  <c r="AI201" i="81"/>
  <c r="AJ201" i="81"/>
  <c r="AK201" i="81"/>
  <c r="AL201" i="81"/>
  <c r="AM201" i="81"/>
  <c r="AN201" i="81"/>
  <c r="AO201" i="81"/>
  <c r="AP201" i="81"/>
  <c r="AQ201" i="81"/>
  <c r="B202" i="81"/>
  <c r="C202" i="81"/>
  <c r="D202" i="81"/>
  <c r="E202" i="81"/>
  <c r="F202" i="81"/>
  <c r="G202" i="81"/>
  <c r="H202" i="81"/>
  <c r="I202" i="81"/>
  <c r="J202" i="81"/>
  <c r="K202" i="81"/>
  <c r="L202" i="81"/>
  <c r="M202" i="81"/>
  <c r="N202" i="81"/>
  <c r="O202" i="81"/>
  <c r="P202" i="81"/>
  <c r="Q202" i="81"/>
  <c r="R202" i="81"/>
  <c r="S202" i="81"/>
  <c r="T202" i="81"/>
  <c r="U202" i="81"/>
  <c r="V202" i="81"/>
  <c r="W202" i="81"/>
  <c r="X202" i="81"/>
  <c r="Y202" i="81"/>
  <c r="Z202" i="81"/>
  <c r="AA202" i="81"/>
  <c r="AB202" i="81"/>
  <c r="AC202" i="81"/>
  <c r="AD202" i="81"/>
  <c r="AE202" i="81"/>
  <c r="AF202" i="81"/>
  <c r="AG202" i="81"/>
  <c r="AH202" i="81"/>
  <c r="AI202" i="81"/>
  <c r="AJ202" i="81"/>
  <c r="AK202" i="81"/>
  <c r="AL202" i="81"/>
  <c r="AM202" i="81"/>
  <c r="AN202" i="81"/>
  <c r="AO202" i="81"/>
  <c r="AP202" i="81"/>
  <c r="AQ202" i="81"/>
  <c r="B203" i="81"/>
  <c r="C203" i="81"/>
  <c r="D203" i="81"/>
  <c r="E203" i="81"/>
  <c r="F203" i="81"/>
  <c r="G203" i="81"/>
  <c r="H203" i="81"/>
  <c r="I203" i="81"/>
  <c r="J203" i="81"/>
  <c r="K203" i="81"/>
  <c r="L203" i="81"/>
  <c r="M203" i="81"/>
  <c r="N203" i="81"/>
  <c r="O203" i="81"/>
  <c r="P203" i="81"/>
  <c r="Q203" i="81"/>
  <c r="R203" i="81"/>
  <c r="S203" i="81"/>
  <c r="T203" i="81"/>
  <c r="U203" i="81"/>
  <c r="V203" i="81"/>
  <c r="W203" i="81"/>
  <c r="X203" i="81"/>
  <c r="Y203" i="81"/>
  <c r="Z203" i="81"/>
  <c r="AA203" i="81"/>
  <c r="AB203" i="81"/>
  <c r="AC203" i="81"/>
  <c r="AD203" i="81"/>
  <c r="AE203" i="81"/>
  <c r="AF203" i="81"/>
  <c r="AG203" i="81"/>
  <c r="AH203" i="81"/>
  <c r="AI203" i="81"/>
  <c r="AJ203" i="81"/>
  <c r="AK203" i="81"/>
  <c r="AL203" i="81"/>
  <c r="AM203" i="81"/>
  <c r="AN203" i="81"/>
  <c r="AO203" i="81"/>
  <c r="AP203" i="81"/>
  <c r="AQ203" i="81"/>
  <c r="B204" i="81"/>
  <c r="C204" i="81"/>
  <c r="D204" i="81"/>
  <c r="E204" i="81"/>
  <c r="F204" i="81"/>
  <c r="G204" i="81"/>
  <c r="H204" i="81"/>
  <c r="I204" i="81"/>
  <c r="J204" i="81"/>
  <c r="K204" i="81"/>
  <c r="L204" i="81"/>
  <c r="M204" i="81"/>
  <c r="N204" i="81"/>
  <c r="O204" i="81"/>
  <c r="P204" i="81"/>
  <c r="Q204" i="81"/>
  <c r="R204" i="81"/>
  <c r="S204" i="81"/>
  <c r="T204" i="81"/>
  <c r="U204" i="81"/>
  <c r="V204" i="81"/>
  <c r="W204" i="81"/>
  <c r="X204" i="81"/>
  <c r="Y204" i="81"/>
  <c r="Z204" i="81"/>
  <c r="AA204" i="81"/>
  <c r="AB204" i="81"/>
  <c r="AC204" i="81"/>
  <c r="AD204" i="81"/>
  <c r="AE204" i="81"/>
  <c r="AF204" i="81"/>
  <c r="AG204" i="81"/>
  <c r="AH204" i="81"/>
  <c r="AI204" i="81"/>
  <c r="AJ204" i="81"/>
  <c r="AK204" i="81"/>
  <c r="AL204" i="81"/>
  <c r="AM204" i="81"/>
  <c r="AN204" i="81"/>
  <c r="AO204" i="81"/>
  <c r="AP204" i="81"/>
  <c r="AQ204" i="81"/>
  <c r="B205" i="81"/>
  <c r="C205" i="81"/>
  <c r="D205" i="81"/>
  <c r="E205" i="81"/>
  <c r="F205" i="81"/>
  <c r="G205" i="81"/>
  <c r="H205" i="81"/>
  <c r="I205" i="81"/>
  <c r="J205" i="81"/>
  <c r="K205" i="81"/>
  <c r="L205" i="81"/>
  <c r="M205" i="81"/>
  <c r="N205" i="81"/>
  <c r="O205" i="81"/>
  <c r="P205" i="81"/>
  <c r="Q205" i="81"/>
  <c r="R205" i="81"/>
  <c r="S205" i="81"/>
  <c r="T205" i="81"/>
  <c r="U205" i="81"/>
  <c r="V205" i="81"/>
  <c r="W205" i="81"/>
  <c r="X205" i="81"/>
  <c r="Y205" i="81"/>
  <c r="Z205" i="81"/>
  <c r="AA205" i="81"/>
  <c r="AB205" i="81"/>
  <c r="AC205" i="81"/>
  <c r="AD205" i="81"/>
  <c r="AE205" i="81"/>
  <c r="AF205" i="81"/>
  <c r="AG205" i="81"/>
  <c r="AH205" i="81"/>
  <c r="AI205" i="81"/>
  <c r="AJ205" i="81"/>
  <c r="AK205" i="81"/>
  <c r="AL205" i="81"/>
  <c r="AM205" i="81"/>
  <c r="AN205" i="81"/>
  <c r="AO205" i="81"/>
  <c r="AP205" i="81"/>
  <c r="AQ205" i="81"/>
  <c r="B206" i="81"/>
  <c r="C206" i="81"/>
  <c r="D206" i="81"/>
  <c r="E206" i="81"/>
  <c r="F206" i="81"/>
  <c r="G206" i="81"/>
  <c r="H206" i="81"/>
  <c r="I206" i="81"/>
  <c r="J206" i="81"/>
  <c r="K206" i="81"/>
  <c r="L206" i="81"/>
  <c r="M206" i="81"/>
  <c r="N206" i="81"/>
  <c r="O206" i="81"/>
  <c r="P206" i="81"/>
  <c r="Q206" i="81"/>
  <c r="R206" i="81"/>
  <c r="S206" i="81"/>
  <c r="T206" i="81"/>
  <c r="U206" i="81"/>
  <c r="V206" i="81"/>
  <c r="W206" i="81"/>
  <c r="X206" i="81"/>
  <c r="Y206" i="81"/>
  <c r="Z206" i="81"/>
  <c r="AA206" i="81"/>
  <c r="AB206" i="81"/>
  <c r="AC206" i="81"/>
  <c r="AD206" i="81"/>
  <c r="AE206" i="81"/>
  <c r="AF206" i="81"/>
  <c r="AG206" i="81"/>
  <c r="AH206" i="81"/>
  <c r="AI206" i="81"/>
  <c r="AJ206" i="81"/>
  <c r="AK206" i="81"/>
  <c r="AL206" i="81"/>
  <c r="AM206" i="81"/>
  <c r="AN206" i="81"/>
  <c r="AO206" i="81"/>
  <c r="AP206" i="81"/>
  <c r="AQ206" i="81"/>
  <c r="AG78" i="85"/>
  <c r="AF78" i="85"/>
  <c r="AF77" i="85"/>
  <c r="AF76" i="85"/>
  <c r="AG75" i="85"/>
  <c r="AF75" i="85"/>
  <c r="AF74" i="85"/>
  <c r="AG67" i="85"/>
  <c r="AF67" i="85"/>
  <c r="AF66" i="85"/>
  <c r="AF65" i="85"/>
  <c r="AG64" i="85"/>
  <c r="AF64" i="85"/>
  <c r="AF63" i="85"/>
  <c r="AG56" i="85"/>
  <c r="AF56" i="85"/>
  <c r="AF55" i="85"/>
  <c r="AF54" i="85"/>
  <c r="AG53" i="85"/>
  <c r="AF53" i="85"/>
  <c r="AF52" i="85"/>
  <c r="AG45" i="85"/>
  <c r="AF45" i="85"/>
  <c r="AF44" i="85"/>
  <c r="AF43" i="85"/>
  <c r="AG42" i="85"/>
  <c r="AF42" i="85"/>
  <c r="AF41" i="85"/>
  <c r="AG34" i="85"/>
  <c r="AF34" i="85"/>
  <c r="AF33" i="85"/>
  <c r="AF32" i="85"/>
  <c r="AG31" i="85"/>
  <c r="AF31" i="85"/>
  <c r="AF30" i="85"/>
  <c r="AG23" i="85"/>
  <c r="AF23" i="85"/>
  <c r="AF22" i="85"/>
  <c r="AF21" i="85"/>
  <c r="AG20" i="85"/>
  <c r="AF20" i="85"/>
  <c r="AF19" i="85"/>
  <c r="AG12" i="85"/>
  <c r="AF12" i="85"/>
  <c r="AF11" i="85"/>
  <c r="AF10" i="85"/>
  <c r="AG9" i="85"/>
  <c r="AF9" i="85"/>
  <c r="AF8" i="85"/>
  <c r="C9" i="83" l="1" a="1"/>
  <c r="C9" i="83" s="1"/>
  <c r="D9" i="83" s="1" a="1"/>
  <c r="D9" i="83" s="1"/>
  <c r="AI1048576" i="88" l="1"/>
  <c r="AG1048576" i="85" l="1"/>
  <c r="C207" i="81" l="1"/>
  <c r="M9" i="83" l="1"/>
  <c r="M3" i="83" l="1"/>
  <c r="O3" i="83" l="1"/>
  <c r="AP9" i="83" l="1"/>
  <c r="Z9" i="83"/>
  <c r="AO9" i="83"/>
  <c r="AI9" i="83"/>
  <c r="AJ9" i="83" s="1"/>
  <c r="AD9" i="83"/>
  <c r="W9" i="83"/>
  <c r="P9" i="83"/>
  <c r="AR5" i="53" l="1"/>
  <c r="AR6" i="53"/>
  <c r="AR7" i="53"/>
  <c r="AR8" i="53"/>
  <c r="AR9" i="53"/>
  <c r="AR10" i="53"/>
  <c r="AR11" i="53"/>
  <c r="AR12" i="53"/>
  <c r="AR13" i="53"/>
  <c r="AR14" i="53"/>
  <c r="AR15" i="53"/>
  <c r="AR16" i="53"/>
  <c r="AR17" i="53"/>
  <c r="AR18" i="53"/>
  <c r="AR19" i="53"/>
  <c r="AR20" i="53"/>
  <c r="AR21" i="53"/>
  <c r="AR22" i="53"/>
  <c r="AR23" i="53"/>
  <c r="AR24" i="53"/>
  <c r="AR25" i="53"/>
  <c r="AR26" i="53"/>
  <c r="AR27" i="53"/>
  <c r="AR28" i="53"/>
  <c r="AR29" i="53"/>
  <c r="AR30" i="53"/>
  <c r="AR31" i="53"/>
  <c r="AR32" i="53"/>
  <c r="AR33" i="53"/>
  <c r="AR34" i="53"/>
  <c r="AR35" i="53"/>
  <c r="AR36" i="53"/>
  <c r="AR37" i="53"/>
  <c r="AR38" i="53"/>
  <c r="AR39" i="53"/>
  <c r="AR40" i="53"/>
  <c r="AR41" i="53"/>
  <c r="AR42" i="53"/>
  <c r="AR43" i="53"/>
  <c r="AR44" i="53"/>
  <c r="AQ5" i="53"/>
  <c r="AQ6" i="53"/>
  <c r="AQ7" i="53"/>
  <c r="AQ8" i="53"/>
  <c r="AQ9" i="53"/>
  <c r="AQ10" i="53"/>
  <c r="AQ11" i="53"/>
  <c r="AQ12" i="53"/>
  <c r="AQ13" i="53"/>
  <c r="AQ14" i="53"/>
  <c r="AQ15" i="53"/>
  <c r="AQ16" i="53"/>
  <c r="AQ17" i="53"/>
  <c r="AQ18" i="53"/>
  <c r="AQ19" i="53"/>
  <c r="AQ20" i="53"/>
  <c r="AQ21" i="53"/>
  <c r="AQ22" i="53"/>
  <c r="AQ23" i="53"/>
  <c r="AQ24" i="53"/>
  <c r="AQ25" i="53"/>
  <c r="AQ26" i="53"/>
  <c r="AQ27" i="53"/>
  <c r="AQ28" i="53"/>
  <c r="AQ29" i="53"/>
  <c r="AQ30" i="53"/>
  <c r="AQ31" i="53"/>
  <c r="AQ32" i="53"/>
  <c r="AQ33" i="53"/>
  <c r="AQ34" i="53"/>
  <c r="AQ35" i="53"/>
  <c r="AQ36" i="53"/>
  <c r="AQ37" i="53"/>
  <c r="AQ38" i="53"/>
  <c r="AQ39" i="53"/>
  <c r="AQ40" i="53"/>
  <c r="AQ41" i="53"/>
  <c r="AQ42" i="53"/>
  <c r="AQ43" i="53"/>
  <c r="AQ44" i="53"/>
  <c r="R43" i="54" l="1"/>
  <c r="R42" i="54" s="1"/>
  <c r="R41" i="54" s="1"/>
  <c r="R40" i="54" s="1"/>
  <c r="R39" i="54" s="1"/>
  <c r="R38" i="54" s="1"/>
  <c r="R36" i="54" s="1"/>
  <c r="R35" i="54" s="1"/>
  <c r="R34" i="54" s="1"/>
  <c r="R33" i="54" s="1"/>
  <c r="R32" i="54" s="1"/>
  <c r="R31" i="54" s="1"/>
  <c r="R30" i="54" s="1"/>
  <c r="R28" i="54" s="1"/>
  <c r="R27" i="54" s="1"/>
  <c r="R26" i="54" s="1"/>
  <c r="R25" i="54" s="1"/>
  <c r="R24" i="54" s="1"/>
  <c r="R23" i="54" s="1"/>
  <c r="R22" i="54" s="1"/>
  <c r="R21" i="54" s="1"/>
  <c r="R20" i="54" s="1"/>
  <c r="R19" i="54" s="1"/>
  <c r="R18" i="54" s="1"/>
  <c r="R17" i="54" s="1"/>
  <c r="R16" i="54" s="1"/>
  <c r="R15" i="54" s="1"/>
  <c r="R14" i="54" s="1"/>
  <c r="R13" i="54" s="1"/>
  <c r="R12" i="54" s="1"/>
  <c r="R11" i="54" s="1"/>
  <c r="R10" i="54" s="1"/>
  <c r="R9" i="54" s="1"/>
  <c r="R8" i="54" s="1"/>
  <c r="R7" i="54" s="1"/>
  <c r="R6" i="54" s="1"/>
  <c r="R5" i="54" s="1"/>
  <c r="O52" i="54" l="1"/>
  <c r="N52" i="54"/>
  <c r="M52" i="54"/>
  <c r="L52" i="54"/>
  <c r="K52" i="54"/>
  <c r="J52" i="54"/>
  <c r="I52" i="54"/>
  <c r="H52" i="54"/>
  <c r="G52" i="54"/>
  <c r="F52" i="54"/>
  <c r="E52" i="54"/>
  <c r="D52" i="54"/>
  <c r="C52" i="54"/>
  <c r="O50" i="54"/>
  <c r="N50" i="54"/>
  <c r="M50" i="54"/>
  <c r="L50" i="54"/>
  <c r="K50" i="54"/>
  <c r="J50" i="54"/>
  <c r="I50" i="54"/>
  <c r="H50" i="54"/>
  <c r="G50" i="54"/>
  <c r="F50" i="54"/>
  <c r="E50" i="54"/>
  <c r="D50" i="54"/>
  <c r="C50" i="54"/>
  <c r="O49" i="54"/>
  <c r="N49" i="54"/>
  <c r="M49" i="54"/>
  <c r="L49" i="54"/>
  <c r="K49" i="54"/>
  <c r="J49" i="54"/>
  <c r="I49" i="54"/>
  <c r="H49" i="54"/>
  <c r="G49" i="54"/>
  <c r="F49" i="54"/>
  <c r="E49" i="54"/>
  <c r="D49" i="54"/>
  <c r="C49" i="54"/>
  <c r="Q46" i="54"/>
  <c r="P46" i="54"/>
  <c r="Q45" i="54"/>
  <c r="A45" i="54"/>
  <c r="P45" i="54" s="1"/>
  <c r="Q44" i="54"/>
  <c r="Q43" i="54"/>
  <c r="Q42" i="54"/>
  <c r="Q41" i="54"/>
  <c r="Q40" i="54"/>
  <c r="Q39" i="54"/>
  <c r="Q38" i="54"/>
  <c r="Q37" i="54"/>
  <c r="Q36" i="54"/>
  <c r="Q35" i="54"/>
  <c r="Q34" i="54"/>
  <c r="P34" i="54"/>
  <c r="Q33" i="54"/>
  <c r="A33" i="54"/>
  <c r="A32" i="54" s="1"/>
  <c r="Q32" i="54"/>
  <c r="Q31" i="54"/>
  <c r="Q30" i="54"/>
  <c r="Q29" i="54"/>
  <c r="Q28" i="54"/>
  <c r="Q27" i="54"/>
  <c r="Q26" i="54"/>
  <c r="Q25" i="54"/>
  <c r="Q24" i="54"/>
  <c r="Q23" i="54"/>
  <c r="Q22" i="54"/>
  <c r="Q21" i="54"/>
  <c r="Q20" i="54"/>
  <c r="Q19" i="54"/>
  <c r="Q18" i="54"/>
  <c r="Q17" i="54"/>
  <c r="Q16" i="54"/>
  <c r="Q15" i="54"/>
  <c r="Q14" i="54"/>
  <c r="Q13" i="54"/>
  <c r="Q12" i="54"/>
  <c r="Q11" i="54"/>
  <c r="Q10" i="54"/>
  <c r="Q9" i="54"/>
  <c r="Q8" i="54"/>
  <c r="Q7" i="54"/>
  <c r="Q6" i="54"/>
  <c r="Q5" i="54"/>
  <c r="AO128" i="53"/>
  <c r="AO130" i="53"/>
  <c r="AO131" i="53"/>
  <c r="P33" i="54" l="1"/>
  <c r="Q51" i="54"/>
  <c r="Q50" i="54"/>
  <c r="Q49" i="54"/>
  <c r="A31" i="54"/>
  <c r="P32" i="54"/>
  <c r="A44" i="54"/>
  <c r="AP5" i="53"/>
  <c r="AP6" i="53"/>
  <c r="AP7" i="53"/>
  <c r="AP8" i="53"/>
  <c r="AP9" i="53"/>
  <c r="AP10" i="53"/>
  <c r="AP11" i="53"/>
  <c r="AP12" i="53"/>
  <c r="AP13" i="53"/>
  <c r="AP14" i="53"/>
  <c r="AP15" i="53"/>
  <c r="AP16" i="53"/>
  <c r="AP17" i="53"/>
  <c r="AP18" i="53"/>
  <c r="AP19" i="53"/>
  <c r="AP20" i="53"/>
  <c r="AP21" i="53"/>
  <c r="AP22" i="53"/>
  <c r="AP23" i="53"/>
  <c r="AP24" i="53"/>
  <c r="AP25" i="53"/>
  <c r="AP26" i="53"/>
  <c r="AP27" i="53"/>
  <c r="AP28" i="53"/>
  <c r="AP29" i="53"/>
  <c r="AP30" i="53"/>
  <c r="AP31" i="53"/>
  <c r="AP32" i="53"/>
  <c r="A33" i="53"/>
  <c r="AO33" i="53" s="1"/>
  <c r="AP33" i="53"/>
  <c r="AO34" i="53"/>
  <c r="AP34" i="53"/>
  <c r="AP35" i="53"/>
  <c r="AP36" i="53"/>
  <c r="AP37" i="53"/>
  <c r="AP38" i="53"/>
  <c r="AP39" i="53"/>
  <c r="AP40" i="53"/>
  <c r="AP41" i="53"/>
  <c r="AP42" i="53"/>
  <c r="AP43" i="53"/>
  <c r="AP44" i="53"/>
  <c r="A45" i="53"/>
  <c r="AO45" i="53" s="1"/>
  <c r="AP45" i="53"/>
  <c r="AO46" i="53"/>
  <c r="AP46" i="53"/>
  <c r="C49" i="53"/>
  <c r="D49" i="53"/>
  <c r="E49" i="53"/>
  <c r="F49" i="53"/>
  <c r="G49" i="53"/>
  <c r="H49" i="53"/>
  <c r="I49" i="53"/>
  <c r="J49" i="53"/>
  <c r="K49" i="53"/>
  <c r="L49" i="53"/>
  <c r="M49" i="53"/>
  <c r="N49" i="53"/>
  <c r="O49" i="53"/>
  <c r="P49" i="53"/>
  <c r="Q49" i="53"/>
  <c r="Q131" i="53" s="1"/>
  <c r="R49" i="53"/>
  <c r="R131" i="53" s="1"/>
  <c r="S49" i="53"/>
  <c r="T49" i="53"/>
  <c r="U49" i="53"/>
  <c r="U128" i="53" s="1"/>
  <c r="V49" i="53"/>
  <c r="V128" i="53" s="1"/>
  <c r="W49" i="53"/>
  <c r="W131" i="53" s="1"/>
  <c r="X49" i="53"/>
  <c r="X131" i="53" s="1"/>
  <c r="Y49" i="53"/>
  <c r="Z49" i="53"/>
  <c r="AA49" i="53"/>
  <c r="AB49" i="53"/>
  <c r="AC49" i="53"/>
  <c r="AD49" i="53"/>
  <c r="AE49" i="53"/>
  <c r="AF49" i="53"/>
  <c r="AG49" i="53"/>
  <c r="AG128" i="53" s="1"/>
  <c r="AH49" i="53"/>
  <c r="AH128" i="53" s="1"/>
  <c r="AI49" i="53"/>
  <c r="AJ49" i="53"/>
  <c r="AK49" i="53"/>
  <c r="AK131" i="53" s="1"/>
  <c r="AL49" i="53"/>
  <c r="AM49" i="53"/>
  <c r="AN49" i="53"/>
  <c r="C50" i="53"/>
  <c r="E50" i="53"/>
  <c r="G50" i="53"/>
  <c r="I50" i="53"/>
  <c r="K50" i="53"/>
  <c r="M50" i="53"/>
  <c r="O50" i="53"/>
  <c r="Q50" i="53"/>
  <c r="S50" i="53"/>
  <c r="U50" i="53"/>
  <c r="W50" i="53"/>
  <c r="Y50" i="53"/>
  <c r="AA50" i="53"/>
  <c r="AC50" i="53"/>
  <c r="AE50" i="53"/>
  <c r="AG50" i="53"/>
  <c r="AI50" i="53"/>
  <c r="AK50" i="53"/>
  <c r="AM50" i="53"/>
  <c r="D51" i="53"/>
  <c r="F51" i="53"/>
  <c r="H51" i="53"/>
  <c r="J51" i="53"/>
  <c r="L51" i="53"/>
  <c r="N51" i="53"/>
  <c r="P51" i="53"/>
  <c r="R51" i="53"/>
  <c r="T51" i="53"/>
  <c r="V51" i="53"/>
  <c r="X51" i="53"/>
  <c r="Z51" i="53"/>
  <c r="AB51" i="53"/>
  <c r="AD51" i="53"/>
  <c r="AF51" i="53"/>
  <c r="AH51" i="53"/>
  <c r="AJ51" i="53"/>
  <c r="AL51" i="53"/>
  <c r="AN51" i="53"/>
  <c r="C52" i="53"/>
  <c r="E52" i="53"/>
  <c r="G52" i="53"/>
  <c r="I52" i="53"/>
  <c r="K52" i="53"/>
  <c r="M52" i="53"/>
  <c r="O52" i="53"/>
  <c r="Q52" i="53"/>
  <c r="S52" i="53"/>
  <c r="U52" i="53"/>
  <c r="W52" i="53"/>
  <c r="Y52" i="53"/>
  <c r="AA52" i="53"/>
  <c r="AC52" i="53"/>
  <c r="AE52" i="53"/>
  <c r="AG52" i="53"/>
  <c r="AI52" i="53"/>
  <c r="AK52" i="53"/>
  <c r="AM52" i="53"/>
  <c r="AO64" i="53"/>
  <c r="AO65" i="53"/>
  <c r="AO66" i="53"/>
  <c r="AO67" i="53"/>
  <c r="AO68" i="53"/>
  <c r="AO69" i="53"/>
  <c r="AO70" i="53"/>
  <c r="AO71" i="53"/>
  <c r="AO72" i="53"/>
  <c r="AO73" i="53"/>
  <c r="AO74" i="53"/>
  <c r="AO75" i="53"/>
  <c r="AO76" i="53"/>
  <c r="AO77" i="53"/>
  <c r="AO78" i="53"/>
  <c r="AO79" i="53"/>
  <c r="AO80" i="53"/>
  <c r="AO81" i="53"/>
  <c r="AO82" i="53"/>
  <c r="AO83" i="53"/>
  <c r="AO84" i="53"/>
  <c r="AO85" i="53"/>
  <c r="AO86" i="53"/>
  <c r="AO87" i="53"/>
  <c r="AO88" i="53"/>
  <c r="AO89" i="53"/>
  <c r="AO90" i="53"/>
  <c r="AO91" i="53"/>
  <c r="AO92" i="53"/>
  <c r="AO93" i="53"/>
  <c r="AO94" i="53"/>
  <c r="AO95" i="53"/>
  <c r="AO96" i="53"/>
  <c r="AO97" i="53"/>
  <c r="AO98" i="53"/>
  <c r="AO99" i="53"/>
  <c r="AO100" i="53"/>
  <c r="AO101" i="53"/>
  <c r="AO106" i="53"/>
  <c r="AO107" i="53"/>
  <c r="AO108" i="53"/>
  <c r="AO109" i="53"/>
  <c r="AO110" i="53"/>
  <c r="AO111" i="53"/>
  <c r="AO112" i="53"/>
  <c r="AO117" i="53"/>
  <c r="AO118" i="53"/>
  <c r="AO119" i="53"/>
  <c r="AO120" i="53"/>
  <c r="AO121" i="53"/>
  <c r="AO122" i="53"/>
  <c r="E131" i="53" l="1"/>
  <c r="AP138" i="53"/>
  <c r="AP139" i="53"/>
  <c r="A43" i="54"/>
  <c r="P44" i="54"/>
  <c r="P31" i="54"/>
  <c r="A30" i="54"/>
  <c r="AN128" i="53"/>
  <c r="AN131" i="53"/>
  <c r="D130" i="53"/>
  <c r="D131" i="53"/>
  <c r="AM128" i="53"/>
  <c r="AM131" i="53"/>
  <c r="AA128" i="53"/>
  <c r="AA131" i="53"/>
  <c r="O128" i="53"/>
  <c r="O131" i="53"/>
  <c r="C130" i="53"/>
  <c r="C131" i="53"/>
  <c r="AC128" i="53"/>
  <c r="AC131" i="53"/>
  <c r="AB128" i="53"/>
  <c r="AB131" i="53"/>
  <c r="AL107" i="53"/>
  <c r="AL131" i="53"/>
  <c r="Z128" i="53"/>
  <c r="Z131" i="53"/>
  <c r="N128" i="53"/>
  <c r="N131" i="53"/>
  <c r="E128" i="53"/>
  <c r="E130" i="53"/>
  <c r="P128" i="53"/>
  <c r="P131" i="53"/>
  <c r="Y128" i="53"/>
  <c r="Y131" i="53"/>
  <c r="M131" i="53"/>
  <c r="M128" i="53"/>
  <c r="AJ128" i="53"/>
  <c r="AJ131" i="53"/>
  <c r="AH131" i="53"/>
  <c r="AH130" i="53"/>
  <c r="V131" i="53"/>
  <c r="J131" i="53"/>
  <c r="J130" i="53"/>
  <c r="K131" i="53"/>
  <c r="K128" i="53"/>
  <c r="K130" i="53"/>
  <c r="AG131" i="53"/>
  <c r="AG130" i="53"/>
  <c r="U131" i="53"/>
  <c r="I131" i="53"/>
  <c r="I130" i="53"/>
  <c r="AD128" i="53"/>
  <c r="AD131" i="53"/>
  <c r="L130" i="53"/>
  <c r="L131" i="53"/>
  <c r="L128" i="53"/>
  <c r="AF74" i="53"/>
  <c r="AP74" i="53" s="1"/>
  <c r="AF131" i="53"/>
  <c r="AF130" i="53"/>
  <c r="T131" i="53"/>
  <c r="T128" i="53"/>
  <c r="H110" i="53"/>
  <c r="H131" i="53"/>
  <c r="H128" i="53"/>
  <c r="F128" i="53"/>
  <c r="F130" i="53"/>
  <c r="F131" i="53"/>
  <c r="AI131" i="53"/>
  <c r="AI128" i="53"/>
  <c r="AE68" i="53"/>
  <c r="AP68" i="53" s="1"/>
  <c r="AE130" i="53"/>
  <c r="AE131" i="53"/>
  <c r="S109" i="53"/>
  <c r="S128" i="53"/>
  <c r="S131" i="53"/>
  <c r="G128" i="53"/>
  <c r="G131" i="53"/>
  <c r="Z96" i="53"/>
  <c r="AP96" i="53" s="1"/>
  <c r="T109" i="53"/>
  <c r="H90" i="53"/>
  <c r="AP90" i="53" s="1"/>
  <c r="G110" i="53"/>
  <c r="Q106" i="53"/>
  <c r="E120" i="53"/>
  <c r="Q66" i="53"/>
  <c r="AP66" i="53" s="1"/>
  <c r="AN112" i="53"/>
  <c r="AB111" i="53"/>
  <c r="P93" i="53"/>
  <c r="AP93" i="53" s="1"/>
  <c r="U109" i="53"/>
  <c r="AE119" i="53"/>
  <c r="AM88" i="53"/>
  <c r="AP88" i="53" s="1"/>
  <c r="O109" i="53"/>
  <c r="C64" i="53"/>
  <c r="AP64" i="53" s="1"/>
  <c r="N109" i="53"/>
  <c r="T94" i="53"/>
  <c r="AP94" i="53" s="1"/>
  <c r="AJ100" i="53"/>
  <c r="AP100" i="53" s="1"/>
  <c r="AF106" i="53"/>
  <c r="W106" i="53"/>
  <c r="K111" i="53"/>
  <c r="AE106" i="53"/>
  <c r="V95" i="53"/>
  <c r="AP95" i="53" s="1"/>
  <c r="L91" i="53"/>
  <c r="AP91" i="53" s="1"/>
  <c r="E109" i="53"/>
  <c r="O80" i="53"/>
  <c r="AP80" i="53" s="1"/>
  <c r="D106" i="53"/>
  <c r="K78" i="53"/>
  <c r="AP78" i="53" s="1"/>
  <c r="AL75" i="53"/>
  <c r="AP75" i="53" s="1"/>
  <c r="D70" i="53"/>
  <c r="AP70" i="53" s="1"/>
  <c r="P109" i="53"/>
  <c r="C117" i="53"/>
  <c r="X106" i="53"/>
  <c r="AB97" i="53"/>
  <c r="AP97" i="53" s="1"/>
  <c r="M109" i="53"/>
  <c r="AI87" i="53"/>
  <c r="AP87" i="53" s="1"/>
  <c r="L121" i="53"/>
  <c r="W67" i="53"/>
  <c r="AP67" i="53" s="1"/>
  <c r="L112" i="53"/>
  <c r="K112" i="53"/>
  <c r="A32" i="53"/>
  <c r="AG109" i="53"/>
  <c r="X73" i="53"/>
  <c r="AP73" i="53" s="1"/>
  <c r="AK69" i="53"/>
  <c r="AP69" i="53" s="1"/>
  <c r="K121" i="53"/>
  <c r="AI109" i="53"/>
  <c r="G77" i="53"/>
  <c r="AP77" i="53" s="1"/>
  <c r="I108" i="53"/>
  <c r="AJ109" i="53"/>
  <c r="Y109" i="53"/>
  <c r="L111" i="53"/>
  <c r="Y83" i="53"/>
  <c r="AP83" i="53" s="1"/>
  <c r="AF119" i="53"/>
  <c r="AK107" i="53"/>
  <c r="M79" i="53"/>
  <c r="AP79" i="53" s="1"/>
  <c r="F120" i="53"/>
  <c r="F89" i="53"/>
  <c r="AP89" i="53" s="1"/>
  <c r="AD98" i="53"/>
  <c r="AP98" i="53" s="1"/>
  <c r="AD109" i="53"/>
  <c r="AP50" i="53"/>
  <c r="AP51" i="53"/>
  <c r="F109" i="53"/>
  <c r="R72" i="53"/>
  <c r="AP72" i="53" s="1"/>
  <c r="R106" i="53"/>
  <c r="AP49" i="53"/>
  <c r="J107" i="53"/>
  <c r="AB112" i="53"/>
  <c r="AA111" i="53"/>
  <c r="AA112" i="53"/>
  <c r="AC109" i="53"/>
  <c r="AL108" i="53"/>
  <c r="Z109" i="53"/>
  <c r="AH99" i="53"/>
  <c r="AP99" i="53" s="1"/>
  <c r="J118" i="53"/>
  <c r="AM112" i="53"/>
  <c r="AM111" i="53"/>
  <c r="C106" i="53"/>
  <c r="J108" i="53"/>
  <c r="AC85" i="53"/>
  <c r="AP85" i="53" s="1"/>
  <c r="AH109" i="53"/>
  <c r="AH122" i="53"/>
  <c r="D117" i="53"/>
  <c r="V109" i="53"/>
  <c r="AN101" i="53"/>
  <c r="AP101" i="53" s="1"/>
  <c r="U82" i="53"/>
  <c r="AP82" i="53" s="1"/>
  <c r="E76" i="53"/>
  <c r="AP76" i="53" s="1"/>
  <c r="J71" i="53"/>
  <c r="AP71" i="53" s="1"/>
  <c r="AG122" i="53"/>
  <c r="AG86" i="53"/>
  <c r="AP86" i="53" s="1"/>
  <c r="I107" i="53"/>
  <c r="I65" i="53"/>
  <c r="AP65" i="53" s="1"/>
  <c r="I118" i="53"/>
  <c r="A44" i="53"/>
  <c r="AN111" i="53"/>
  <c r="N92" i="53"/>
  <c r="AP92" i="53" s="1"/>
  <c r="AA84" i="53"/>
  <c r="AP84" i="53" s="1"/>
  <c r="S81" i="53"/>
  <c r="AP81" i="53" s="1"/>
  <c r="AK108" i="53"/>
  <c r="P30" i="54" l="1"/>
  <c r="A29" i="54"/>
  <c r="A42" i="54"/>
  <c r="P43" i="54"/>
  <c r="AP128" i="53"/>
  <c r="AP130" i="53"/>
  <c r="AP131" i="53"/>
  <c r="AP110" i="53"/>
  <c r="AP120" i="53"/>
  <c r="AP119" i="53"/>
  <c r="AP106" i="53"/>
  <c r="AP121" i="53"/>
  <c r="AP107" i="53"/>
  <c r="AP117" i="53"/>
  <c r="AP111" i="53"/>
  <c r="AO32" i="53"/>
  <c r="A31" i="53"/>
  <c r="AP109" i="53"/>
  <c r="AP108" i="53"/>
  <c r="AP118" i="53"/>
  <c r="AP112" i="53"/>
  <c r="AP122" i="53"/>
  <c r="AO44" i="53"/>
  <c r="A43" i="53"/>
  <c r="AP102" i="53"/>
  <c r="P42" i="54" l="1"/>
  <c r="A41" i="54"/>
  <c r="P29" i="54"/>
  <c r="A28" i="54"/>
  <c r="AP132" i="53"/>
  <c r="AP113" i="53"/>
  <c r="A30" i="53"/>
  <c r="AO31" i="53"/>
  <c r="A42" i="53"/>
  <c r="AO43" i="53"/>
  <c r="AP123" i="53"/>
  <c r="P41" i="54" l="1"/>
  <c r="A40" i="54"/>
  <c r="A27" i="54"/>
  <c r="P28" i="54"/>
  <c r="A29" i="53"/>
  <c r="AO30" i="53"/>
  <c r="A41" i="53"/>
  <c r="AO42" i="53"/>
  <c r="A26" i="54" l="1"/>
  <c r="P27" i="54"/>
  <c r="A39" i="54"/>
  <c r="P40" i="54"/>
  <c r="AO29" i="53"/>
  <c r="A28" i="53"/>
  <c r="AO41" i="53"/>
  <c r="A40" i="53"/>
  <c r="P26" i="54" l="1"/>
  <c r="A25" i="54"/>
  <c r="A38" i="54"/>
  <c r="P39" i="54"/>
  <c r="AO28" i="53"/>
  <c r="A27" i="53"/>
  <c r="A39" i="53"/>
  <c r="AO40" i="53"/>
  <c r="P38" i="54" l="1"/>
  <c r="A37" i="54"/>
  <c r="P25" i="54"/>
  <c r="A24" i="54"/>
  <c r="A26" i="53"/>
  <c r="AO27" i="53"/>
  <c r="A38" i="53"/>
  <c r="AO39" i="53"/>
  <c r="P37" i="54" l="1"/>
  <c r="A36" i="54"/>
  <c r="A23" i="54"/>
  <c r="P24" i="54"/>
  <c r="A25" i="53"/>
  <c r="AO26" i="53"/>
  <c r="A37" i="53"/>
  <c r="AO38" i="53"/>
  <c r="A22" i="54" l="1"/>
  <c r="P23" i="54"/>
  <c r="A35" i="54"/>
  <c r="P35" i="54" s="1"/>
  <c r="P36" i="54"/>
  <c r="AO25" i="53"/>
  <c r="A24" i="53"/>
  <c r="AO37" i="53"/>
  <c r="A36" i="53"/>
  <c r="P22" i="54" l="1"/>
  <c r="A21" i="54"/>
  <c r="AO24" i="53"/>
  <c r="A23" i="53"/>
  <c r="A35" i="53"/>
  <c r="AO35" i="53" s="1"/>
  <c r="AO36" i="53"/>
  <c r="P21" i="54" l="1"/>
  <c r="A20" i="54"/>
  <c r="AO23" i="53"/>
  <c r="A22" i="53"/>
  <c r="A19" i="54" l="1"/>
  <c r="P20" i="54"/>
  <c r="A21" i="53"/>
  <c r="AO22" i="53"/>
  <c r="P19" i="54" l="1"/>
  <c r="A18" i="54"/>
  <c r="A20" i="53"/>
  <c r="AO21" i="53"/>
  <c r="P18" i="54" l="1"/>
  <c r="A17" i="54"/>
  <c r="A19" i="53"/>
  <c r="AO20" i="53"/>
  <c r="P17" i="54" l="1"/>
  <c r="A16" i="54"/>
  <c r="A18" i="53"/>
  <c r="AO19" i="53"/>
  <c r="P16" i="54" l="1"/>
  <c r="A15" i="54"/>
  <c r="A17" i="53"/>
  <c r="AO18" i="53"/>
  <c r="A14" i="54" l="1"/>
  <c r="P15" i="54"/>
  <c r="AO17" i="53"/>
  <c r="A16" i="53"/>
  <c r="P14" i="54" l="1"/>
  <c r="A13" i="54"/>
  <c r="A15" i="53"/>
  <c r="AO16" i="53"/>
  <c r="P13" i="54" l="1"/>
  <c r="A12" i="54"/>
  <c r="AO15" i="53"/>
  <c r="A14" i="53"/>
  <c r="A11" i="54" l="1"/>
  <c r="P12" i="54"/>
  <c r="A13" i="53"/>
  <c r="AO14" i="53"/>
  <c r="P11" i="54" l="1"/>
  <c r="A10" i="54"/>
  <c r="AO13" i="53"/>
  <c r="A12" i="53"/>
  <c r="P10" i="54" l="1"/>
  <c r="A9" i="54"/>
  <c r="A11" i="53"/>
  <c r="AO12" i="53"/>
  <c r="P9" i="54" l="1"/>
  <c r="A8" i="54"/>
  <c r="AO11" i="53"/>
  <c r="A10" i="53"/>
  <c r="A7" i="54" l="1"/>
  <c r="P8" i="54"/>
  <c r="A9" i="53"/>
  <c r="AO10" i="53"/>
  <c r="A6" i="54" l="1"/>
  <c r="P7" i="54"/>
  <c r="AO9" i="53"/>
  <c r="A8" i="53"/>
  <c r="P6" i="54" l="1"/>
  <c r="A5" i="54"/>
  <c r="P5" i="54" s="1"/>
  <c r="A7" i="53"/>
  <c r="AO8" i="53"/>
  <c r="AO7" i="53" l="1"/>
  <c r="A6" i="53"/>
  <c r="AO6" i="53" l="1"/>
  <c r="A5" i="53"/>
  <c r="AO5"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F16" authorId="0" shapeId="0" xr:uid="{F49A693C-505F-4CF4-AC5C-FEB26DB6B4D5}">
      <text>
        <r>
          <rPr>
            <b/>
            <sz val="9"/>
            <color indexed="81"/>
            <rFont val="Tahoma"/>
            <charset val="1"/>
          </rPr>
          <t>Author:</t>
        </r>
        <r>
          <rPr>
            <sz val="9"/>
            <color indexed="81"/>
            <rFont val="Tahoma"/>
            <charset val="1"/>
          </rPr>
          <t xml:space="preserve">
Counts areas in C75:AD84 whose container status = DEL (delivered). Status pulled via the (#) in each cell -&gt; helper AO6:AQ26. Change "DEL" if your delivered code differs.</t>
        </r>
      </text>
    </comment>
    <comment ref="AH16" authorId="0" shapeId="0" xr:uid="{32EEEC95-2C4F-4E10-A376-93A6C190A97A}">
      <text>
        <r>
          <rPr>
            <b/>
            <sz val="9"/>
            <color indexed="81"/>
            <rFont val="Tahoma"/>
            <charset val="1"/>
          </rPr>
          <t>Author:</t>
        </r>
        <r>
          <rPr>
            <sz val="9"/>
            <color indexed="81"/>
            <rFont val="Tahoma"/>
            <charset val="1"/>
          </rPr>
          <t xml:space="preserve">
Total areas in scope = count of non-blank cells in C75:AD84.</t>
        </r>
      </text>
    </comment>
    <comment ref="AF27" authorId="0" shapeId="0" xr:uid="{6AD53062-B4C3-42A4-AE2C-D2D409B0C8BA}">
      <text>
        <r>
          <rPr>
            <b/>
            <sz val="9"/>
            <color indexed="81"/>
            <rFont val="Tahoma"/>
            <charset val="1"/>
          </rPr>
          <t>Author:</t>
        </r>
        <r>
          <rPr>
            <sz val="9"/>
            <color indexed="81"/>
            <rFont val="Tahoma"/>
            <charset val="1"/>
          </rPr>
          <t xml:space="preserve">
Counts areas in C75:AD84 whose container status = DEL (delivered). Status pulled via the (#) in each cell -&gt; helper AO6:AQ26. Change "DEL" if your delivered code differs.</t>
        </r>
      </text>
    </comment>
    <comment ref="AH27" authorId="0" shapeId="0" xr:uid="{58E0EBB2-9BDE-4F21-8A50-EE0F85EE7BCF}">
      <text>
        <r>
          <rPr>
            <b/>
            <sz val="9"/>
            <color indexed="81"/>
            <rFont val="Tahoma"/>
            <charset val="1"/>
          </rPr>
          <t>Author:</t>
        </r>
        <r>
          <rPr>
            <sz val="9"/>
            <color indexed="81"/>
            <rFont val="Tahoma"/>
            <charset val="1"/>
          </rPr>
          <t xml:space="preserve">
Total areas in scope = count of non-blank cells in C75:AD84.</t>
        </r>
      </text>
    </comment>
    <comment ref="AF38" authorId="0" shapeId="0" xr:uid="{7A3F5B75-344D-427A-9567-7327D8AC4F6E}">
      <text>
        <r>
          <rPr>
            <b/>
            <sz val="9"/>
            <color indexed="81"/>
            <rFont val="Tahoma"/>
            <charset val="1"/>
          </rPr>
          <t>Author:</t>
        </r>
        <r>
          <rPr>
            <sz val="9"/>
            <color indexed="81"/>
            <rFont val="Tahoma"/>
            <charset val="1"/>
          </rPr>
          <t xml:space="preserve">
Counts areas in C75:AD84 whose container status = DEL (delivered). Status pulled via the (#) in each cell -&gt; helper AO6:AQ26. Change "DEL" if your delivered code differs.</t>
        </r>
      </text>
    </comment>
    <comment ref="AH38" authorId="0" shapeId="0" xr:uid="{FB4D35A7-28CC-4902-B097-C3FCC98CCEFF}">
      <text>
        <r>
          <rPr>
            <b/>
            <sz val="9"/>
            <color indexed="81"/>
            <rFont val="Tahoma"/>
            <charset val="1"/>
          </rPr>
          <t>Author:</t>
        </r>
        <r>
          <rPr>
            <sz val="9"/>
            <color indexed="81"/>
            <rFont val="Tahoma"/>
            <charset val="1"/>
          </rPr>
          <t xml:space="preserve">
Total areas in scope = count of non-blank cells in C75:AD84.</t>
        </r>
      </text>
    </comment>
    <comment ref="AF49" authorId="0" shapeId="0" xr:uid="{416C3ECD-EAC8-46D0-8842-775D1F242CB0}">
      <text>
        <r>
          <rPr>
            <b/>
            <sz val="9"/>
            <color indexed="81"/>
            <rFont val="Tahoma"/>
            <charset val="1"/>
          </rPr>
          <t>Author:</t>
        </r>
        <r>
          <rPr>
            <sz val="9"/>
            <color indexed="81"/>
            <rFont val="Tahoma"/>
            <charset val="1"/>
          </rPr>
          <t xml:space="preserve">
Counts areas in C75:AD84 whose container status = DEL (delivered). Status pulled via the (#) in each cell -&gt; helper AO6:AQ26. Change "DEL" if your delivered code differs.</t>
        </r>
      </text>
    </comment>
    <comment ref="AH49" authorId="0" shapeId="0" xr:uid="{A5B90FFF-4D51-4A2C-8164-2B1261C0369D}">
      <text>
        <r>
          <rPr>
            <b/>
            <sz val="9"/>
            <color indexed="81"/>
            <rFont val="Tahoma"/>
            <charset val="1"/>
          </rPr>
          <t>Author:</t>
        </r>
        <r>
          <rPr>
            <sz val="9"/>
            <color indexed="81"/>
            <rFont val="Tahoma"/>
            <charset val="1"/>
          </rPr>
          <t xml:space="preserve">
Total areas in scope = count of non-blank cells in C75:AD84.</t>
        </r>
      </text>
    </comment>
    <comment ref="AF60" authorId="0" shapeId="0" xr:uid="{E4A2B94D-116C-4751-87EE-CAF73D5EE9F8}">
      <text>
        <r>
          <rPr>
            <b/>
            <sz val="9"/>
            <color indexed="81"/>
            <rFont val="Tahoma"/>
            <charset val="1"/>
          </rPr>
          <t>Author:</t>
        </r>
        <r>
          <rPr>
            <sz val="9"/>
            <color indexed="81"/>
            <rFont val="Tahoma"/>
            <charset val="1"/>
          </rPr>
          <t xml:space="preserve">
Counts areas in C75:AD84 whose container status = DEL (delivered). Status pulled via the (#) in each cell -&gt; helper AO6:AQ26. Change "DEL" if your delivered code differs.</t>
        </r>
      </text>
    </comment>
    <comment ref="AH60" authorId="0" shapeId="0" xr:uid="{8DA9220E-C9BE-4746-9F67-E3DA30E0E8DE}">
      <text>
        <r>
          <rPr>
            <b/>
            <sz val="9"/>
            <color indexed="81"/>
            <rFont val="Tahoma"/>
            <charset val="1"/>
          </rPr>
          <t>Author:</t>
        </r>
        <r>
          <rPr>
            <sz val="9"/>
            <color indexed="81"/>
            <rFont val="Tahoma"/>
            <charset val="1"/>
          </rPr>
          <t xml:space="preserve">
Total areas in scope = count of non-blank cells in C75:AD84.</t>
        </r>
      </text>
    </comment>
    <comment ref="AF71" authorId="0" shapeId="0" xr:uid="{22E22033-F734-4045-ACDE-C91156B4261E}">
      <text>
        <r>
          <rPr>
            <b/>
            <sz val="9"/>
            <color indexed="81"/>
            <rFont val="Tahoma"/>
            <charset val="1"/>
          </rPr>
          <t>Author:</t>
        </r>
        <r>
          <rPr>
            <sz val="9"/>
            <color indexed="81"/>
            <rFont val="Tahoma"/>
            <charset val="1"/>
          </rPr>
          <t xml:space="preserve">
Counts areas in C75:AD84 whose container status = DEL (delivered). Status pulled via the (#) in each cell -&gt; helper AO6:AQ26. Change "DEL" if your delivered code differs.</t>
        </r>
      </text>
    </comment>
    <comment ref="AH71" authorId="0" shapeId="0" xr:uid="{E24D0F6C-F283-4264-A62F-9A1F094303FC}">
      <text>
        <r>
          <rPr>
            <b/>
            <sz val="9"/>
            <color indexed="81"/>
            <rFont val="Tahoma"/>
            <charset val="1"/>
          </rPr>
          <t>Author:</t>
        </r>
        <r>
          <rPr>
            <sz val="9"/>
            <color indexed="81"/>
            <rFont val="Tahoma"/>
            <charset val="1"/>
          </rPr>
          <t xml:space="preserve">
Total areas in scope = count of non-blank cells in C75:AD84.</t>
        </r>
      </text>
    </comment>
    <comment ref="AF82" authorId="0" shapeId="0" xr:uid="{5222EBA5-6603-4F3C-838F-353FC9ECB0D1}">
      <text>
        <r>
          <rPr>
            <b/>
            <sz val="9"/>
            <color indexed="81"/>
            <rFont val="Tahoma"/>
            <charset val="1"/>
          </rPr>
          <t>Author:</t>
        </r>
        <r>
          <rPr>
            <sz val="9"/>
            <color indexed="81"/>
            <rFont val="Tahoma"/>
            <charset val="1"/>
          </rPr>
          <t xml:space="preserve">
Counts areas in C75:AD84 whose container status = DEL (delivered). Status pulled via the (#) in each cell -&gt; helper AO6:AQ26. Change "DEL" if your delivered code differs.</t>
        </r>
      </text>
    </comment>
    <comment ref="AH82" authorId="0" shapeId="0" xr:uid="{3CF430CD-4578-481C-9448-CCA1228E4CEF}">
      <text>
        <r>
          <rPr>
            <b/>
            <sz val="9"/>
            <color indexed="81"/>
            <rFont val="Tahoma"/>
            <charset val="1"/>
          </rPr>
          <t>Author:</t>
        </r>
        <r>
          <rPr>
            <sz val="9"/>
            <color indexed="81"/>
            <rFont val="Tahoma"/>
            <charset val="1"/>
          </rPr>
          <t xml:space="preserve">
Total areas in scope = count of non-blank cells in C75:AD84.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<sst xmlns="http://schemas.openxmlformats.org/spreadsheetml/2006/main" count="1300" uniqueCount="899">
  <si>
    <t>400 LSD, CHICAGO, IL - 02/28/25</t>
  </si>
  <si>
    <t>Floor</t>
  </si>
  <si>
    <t>UNIT TYPE / TIER</t>
  </si>
  <si>
    <t>T01 - AFFORDABLE</t>
  </si>
  <si>
    <t>T01 - MARKET RATE</t>
  </si>
  <si>
    <t>T02 - MARKET RATE</t>
  </si>
  <si>
    <t>T03 - AFFORDABLE</t>
  </si>
  <si>
    <t>T03 - MARKET RATE</t>
  </si>
  <si>
    <t>T04 - MARKET RATE</t>
  </si>
  <si>
    <t>T05 - MARKET RATE</t>
  </si>
  <si>
    <t>T06 - AFFORDABLE</t>
  </si>
  <si>
    <t>T06 - MARKET RATE</t>
  </si>
  <si>
    <t>T07 - MARKET RATE</t>
  </si>
  <si>
    <t>T08 - AFFORDABLE</t>
  </si>
  <si>
    <t>T08 - MARKET RATE</t>
  </si>
  <si>
    <t>T09 - MARKET RATE</t>
  </si>
  <si>
    <t>T10 - MARKET RATE</t>
  </si>
  <si>
    <t>T11 - AFFORDABLE</t>
  </si>
  <si>
    <t>T11 - MARKET RATE</t>
  </si>
  <si>
    <t>T12 - MARKET RATE</t>
  </si>
  <si>
    <t>T14 - AFFORDABLE</t>
  </si>
  <si>
    <t>T14 - MARKET RATE</t>
  </si>
  <si>
    <t>Quantities</t>
  </si>
  <si>
    <t>Kitchen Handles/Floor</t>
  </si>
  <si>
    <t>Vanity Knobs/Floor</t>
  </si>
  <si>
    <t>STUDIO</t>
  </si>
  <si>
    <t>1 BEDROOM</t>
  </si>
  <si>
    <t>2 BEDROOM</t>
  </si>
  <si>
    <t>FLOOR</t>
  </si>
  <si>
    <t>APARTMENT TOWER</t>
  </si>
  <si>
    <t>AMENITY</t>
  </si>
  <si>
    <t>LOBBY</t>
  </si>
  <si>
    <t># Of Units</t>
  </si>
  <si>
    <t>TOTAL # UNITS</t>
  </si>
  <si>
    <t># Of Type B</t>
  </si>
  <si>
    <t>TOTAL TYPE B UNITS</t>
  </si>
  <si>
    <t># Of Type A</t>
  </si>
  <si>
    <t>TOTAL TYPE A UNITS</t>
  </si>
  <si>
    <t>UNIT TYPE</t>
  </si>
  <si>
    <t>KITCHEN TYPE</t>
  </si>
  <si>
    <t>K01.TI - AFF</t>
  </si>
  <si>
    <t>K01.T1(A) - AFF</t>
  </si>
  <si>
    <t>K01.T1-MR</t>
  </si>
  <si>
    <t>K01.T1(A)-MR</t>
  </si>
  <si>
    <t>K02.T1-MR</t>
  </si>
  <si>
    <t>K02.T1(A)-MR</t>
  </si>
  <si>
    <t>K03.T1-AFF</t>
  </si>
  <si>
    <t>K03.T1(A)-AFF</t>
  </si>
  <si>
    <t>K03.T1-MR</t>
  </si>
  <si>
    <t>K03.T1(A)-MR</t>
  </si>
  <si>
    <t>K04.T1-MR</t>
  </si>
  <si>
    <t>K04.T1(A)-MR</t>
  </si>
  <si>
    <t>K05.T1-MR</t>
  </si>
  <si>
    <t>K05.T1(A)-MR</t>
  </si>
  <si>
    <t>K06.T1-AFF</t>
  </si>
  <si>
    <t>K06.T1(A)-AFF</t>
  </si>
  <si>
    <t>K06.T1-MR</t>
  </si>
  <si>
    <t>K06.T1(A)-MR</t>
  </si>
  <si>
    <t>K07.T1-MR</t>
  </si>
  <si>
    <t>K07.T1(A)-MR</t>
  </si>
  <si>
    <t>K08.T1-AFF</t>
  </si>
  <si>
    <t>K08.T1(A)-AFF</t>
  </si>
  <si>
    <t>K08.T1-MR</t>
  </si>
  <si>
    <t>K08.T1(A)-MR</t>
  </si>
  <si>
    <t>K09.T1-MR</t>
  </si>
  <si>
    <t>K09.T1(A)-MR</t>
  </si>
  <si>
    <t>K10.T1-MR</t>
  </si>
  <si>
    <t>K10.T1(A)-MR</t>
  </si>
  <si>
    <t>K11.T1-AFF</t>
  </si>
  <si>
    <t>K11.T1(A)-AFF</t>
  </si>
  <si>
    <t>K11.T1-MR</t>
  </si>
  <si>
    <t>K11.T1(A)-MR</t>
  </si>
  <si>
    <t>K12.T1-MR</t>
  </si>
  <si>
    <t>K12.T1(A)-MR</t>
  </si>
  <si>
    <t>K14.T1-AFF</t>
  </si>
  <si>
    <t>K14.T1(A)-AFF</t>
  </si>
  <si>
    <t>K14.T1-MR</t>
  </si>
  <si>
    <t>K14.T1(A)-MR</t>
  </si>
  <si>
    <t>PRIMARY BATH TYPE</t>
  </si>
  <si>
    <t>T1(AFF)_36-PRIM</t>
  </si>
  <si>
    <t>T1(MR)_36-PRIM</t>
  </si>
  <si>
    <t>T1(MR)_48-PRIM</t>
  </si>
  <si>
    <t>T1(AFF)_60-PRIM</t>
  </si>
  <si>
    <t>T1(MR)_60-PRIM</t>
  </si>
  <si>
    <t>SECONDARY BATH TYPE</t>
  </si>
  <si>
    <t>T1(AFF)_36-SEC</t>
  </si>
  <si>
    <t>T1(MR)_36-SEC</t>
  </si>
  <si>
    <t>WARDROBE TYPE</t>
  </si>
  <si>
    <t>WAR01.T1-AFF</t>
  </si>
  <si>
    <t>WAR01.T1-MR</t>
  </si>
  <si>
    <t>WAR03.T1-AFF</t>
  </si>
  <si>
    <t>WAR03.T1-MR</t>
  </si>
  <si>
    <t>WAR11.T1-AFF</t>
  </si>
  <si>
    <t>WAR11.T1-MR</t>
  </si>
  <si>
    <t>HANDLES QUANTITIES</t>
  </si>
  <si>
    <t>KITCHEN HANDLE QTY</t>
  </si>
  <si>
    <t>VANITY KNOB QTY</t>
  </si>
  <si>
    <t>KITCHEN QUANTITIES</t>
  </si>
  <si>
    <t>KITCHENS</t>
  </si>
  <si>
    <t>K01.T1-AFF</t>
  </si>
  <si>
    <t>K01.T1(A)-AFF</t>
  </si>
  <si>
    <t>TOTAL KITCHENS</t>
  </si>
  <si>
    <t>VANITY QUANTITIES</t>
  </si>
  <si>
    <t>VANITIES</t>
  </si>
  <si>
    <t>TOTAL VANITIES</t>
  </si>
  <si>
    <t>WARDROBE QUANTITIES</t>
  </si>
  <si>
    <t>WARDROBES</t>
  </si>
  <si>
    <t>TOTAL WARDROBES</t>
  </si>
  <si>
    <t>HANDLES</t>
  </si>
  <si>
    <t>T1-K18-HANDLE</t>
  </si>
  <si>
    <t>T1-W18-HANDLE</t>
  </si>
  <si>
    <t>T1-V-HANDLE</t>
  </si>
  <si>
    <t>TOTAL HANDLES</t>
  </si>
  <si>
    <t>MR UNITS</t>
  </si>
  <si>
    <t>AFF UNITS</t>
  </si>
  <si>
    <t xml:space="preserve">400 LSD TIER 1 Compressed Unit Matrix, </t>
  </si>
  <si>
    <t>T01</t>
  </si>
  <si>
    <t>T02</t>
  </si>
  <si>
    <t xml:space="preserve">T03 </t>
  </si>
  <si>
    <t>T04</t>
  </si>
  <si>
    <t xml:space="preserve">T05 </t>
  </si>
  <si>
    <t xml:space="preserve">T06 </t>
  </si>
  <si>
    <t xml:space="preserve">T07 </t>
  </si>
  <si>
    <t xml:space="preserve">T08 </t>
  </si>
  <si>
    <t xml:space="preserve">T09 </t>
  </si>
  <si>
    <t xml:space="preserve">T10 </t>
  </si>
  <si>
    <t>T11</t>
  </si>
  <si>
    <t xml:space="preserve">T12 </t>
  </si>
  <si>
    <t xml:space="preserve">T14 </t>
  </si>
  <si>
    <t xml:space="preserve">Install Start </t>
  </si>
  <si>
    <t>DATE</t>
  </si>
  <si>
    <t>TIER 1 - APARTMENT TOWER</t>
  </si>
  <si>
    <t>4301-MR</t>
  </si>
  <si>
    <t>4302-MR</t>
  </si>
  <si>
    <t>4304-MR(A)</t>
  </si>
  <si>
    <t>4305-MR</t>
  </si>
  <si>
    <t>4306-MR</t>
  </si>
  <si>
    <t>4307-MR(A)</t>
  </si>
  <si>
    <t>4308-MR</t>
  </si>
  <si>
    <t>4309-MR</t>
  </si>
  <si>
    <t>4310-MR</t>
  </si>
  <si>
    <t>4311-MR</t>
  </si>
  <si>
    <t>4312-MR</t>
  </si>
  <si>
    <t>4314-MR</t>
  </si>
  <si>
    <t>4201-MR(A)</t>
  </si>
  <si>
    <t>4202-MR</t>
  </si>
  <si>
    <t>4203-MR</t>
  </si>
  <si>
    <t>4204-MR</t>
  </si>
  <si>
    <t>4205-MR</t>
  </si>
  <si>
    <t>4206-MR(A)</t>
  </si>
  <si>
    <t>4207-MR</t>
  </si>
  <si>
    <t>4208-MR</t>
  </si>
  <si>
    <t>4209-MR</t>
  </si>
  <si>
    <t>4210-MR</t>
  </si>
  <si>
    <t>4211-MR</t>
  </si>
  <si>
    <t>4212-MR</t>
  </si>
  <si>
    <t>4214-MR</t>
  </si>
  <si>
    <t>4101-MR</t>
  </si>
  <si>
    <t>4102-MR(A)</t>
  </si>
  <si>
    <t>4103-MR</t>
  </si>
  <si>
    <t>4104-MR</t>
  </si>
  <si>
    <t>4105-MR</t>
  </si>
  <si>
    <t>4106-MR</t>
  </si>
  <si>
    <t>4107-MR</t>
  </si>
  <si>
    <t>4108-MR(A)</t>
  </si>
  <si>
    <t>4109-MR(A)</t>
  </si>
  <si>
    <t>4110-MR</t>
  </si>
  <si>
    <t>4111-MR(A)</t>
  </si>
  <si>
    <t>4112-MR</t>
  </si>
  <si>
    <t>4114-MR</t>
  </si>
  <si>
    <t>4001-MR</t>
  </si>
  <si>
    <t>4002-MR</t>
  </si>
  <si>
    <t>4003-MR</t>
  </si>
  <si>
    <t>4004-MR</t>
  </si>
  <si>
    <t>4005-MR</t>
  </si>
  <si>
    <t>4006-MR</t>
  </si>
  <si>
    <t>4007-MR</t>
  </si>
  <si>
    <t>4008-MR</t>
  </si>
  <si>
    <t>4009-MR</t>
  </si>
  <si>
    <t>4010-MR</t>
  </si>
  <si>
    <t>4011-MR</t>
  </si>
  <si>
    <t>4012-MR</t>
  </si>
  <si>
    <t>4014-MR</t>
  </si>
  <si>
    <t>3901-MR</t>
  </si>
  <si>
    <t>3902-MR(A)</t>
  </si>
  <si>
    <t>3903-MR(A)</t>
  </si>
  <si>
    <t>3904-MR</t>
  </si>
  <si>
    <t>3905-MR(A)</t>
  </si>
  <si>
    <t>3906-MR</t>
  </si>
  <si>
    <t>3907-MR</t>
  </si>
  <si>
    <t>3908-MR</t>
  </si>
  <si>
    <t>3909-MR</t>
  </si>
  <si>
    <t>3910-MR</t>
  </si>
  <si>
    <t>3911-MR</t>
  </si>
  <si>
    <t>3912-MR(A)</t>
  </si>
  <si>
    <t>3914-MR</t>
  </si>
  <si>
    <t>3801-MR</t>
  </si>
  <si>
    <t>3802-MR</t>
  </si>
  <si>
    <t>3803-MR</t>
  </si>
  <si>
    <t>3804-MR(A)</t>
  </si>
  <si>
    <t>3805-MR</t>
  </si>
  <si>
    <t>3806-MR(A)</t>
  </si>
  <si>
    <t>3807-MR</t>
  </si>
  <si>
    <t>3808-MR</t>
  </si>
  <si>
    <t>3809-MR(A)</t>
  </si>
  <si>
    <t>3810-MR</t>
  </si>
  <si>
    <t>3811-MR</t>
  </si>
  <si>
    <t>3812-MR</t>
  </si>
  <si>
    <t>3814-MR</t>
  </si>
  <si>
    <t>3701-MR</t>
  </si>
  <si>
    <t>3702-MR</t>
  </si>
  <si>
    <t>3703-MR</t>
  </si>
  <si>
    <t>3704-MR</t>
  </si>
  <si>
    <t>3705-MR</t>
  </si>
  <si>
    <t>3706-MR</t>
  </si>
  <si>
    <t>3707-MR</t>
  </si>
  <si>
    <t>3709-MR</t>
  </si>
  <si>
    <t>3710-MR</t>
  </si>
  <si>
    <t>3711-MR(A)</t>
  </si>
  <si>
    <t>3712-MR</t>
  </si>
  <si>
    <t>3714-MR(A)</t>
  </si>
  <si>
    <t>3601-MR</t>
  </si>
  <si>
    <t>3602-MR</t>
  </si>
  <si>
    <t>3603-MR(A)</t>
  </si>
  <si>
    <t>3604-MR</t>
  </si>
  <si>
    <t>3605-MR</t>
  </si>
  <si>
    <t>3606-MR</t>
  </si>
  <si>
    <t>3607-MR</t>
  </si>
  <si>
    <t>3608-MR(A)</t>
  </si>
  <si>
    <t>3609-MR</t>
  </si>
  <si>
    <t>3610-MR(A)</t>
  </si>
  <si>
    <t>3611-MR</t>
  </si>
  <si>
    <t>3612-MR</t>
  </si>
  <si>
    <t>3614-MR</t>
  </si>
  <si>
    <t>3501-MR</t>
  </si>
  <si>
    <t>3502-MR(A)</t>
  </si>
  <si>
    <t>3503-MR</t>
  </si>
  <si>
    <t>3504-MR</t>
  </si>
  <si>
    <t>3505-MR</t>
  </si>
  <si>
    <t>3506-MR</t>
  </si>
  <si>
    <t>3507-MR(A)</t>
  </si>
  <si>
    <t>3508-MR</t>
  </si>
  <si>
    <t>3509-MR</t>
  </si>
  <si>
    <t>3510-MR</t>
  </si>
  <si>
    <t>3511-MR</t>
  </si>
  <si>
    <t>3512-MR</t>
  </si>
  <si>
    <t>3514-MR</t>
  </si>
  <si>
    <t>3401-MR</t>
  </si>
  <si>
    <t>3402-MR</t>
  </si>
  <si>
    <t>3403-MR</t>
  </si>
  <si>
    <t>3404-MR</t>
  </si>
  <si>
    <t>3405-MR</t>
  </si>
  <si>
    <t>3406-MR</t>
  </si>
  <si>
    <t>3407-MR</t>
  </si>
  <si>
    <t>3408-MR</t>
  </si>
  <si>
    <t>3409-MR</t>
  </si>
  <si>
    <t>3410-MR</t>
  </si>
  <si>
    <t>3411-MR</t>
  </si>
  <si>
    <t>3412-MR(A)</t>
  </si>
  <si>
    <t>3414-MR(A)</t>
  </si>
  <si>
    <t>3301-MR</t>
  </si>
  <si>
    <t>3302-MR</t>
  </si>
  <si>
    <t>3303-MR</t>
  </si>
  <si>
    <t>3304-MR(A)</t>
  </si>
  <si>
    <t>3305-MR</t>
  </si>
  <si>
    <t>3306-MR</t>
  </si>
  <si>
    <t>3307-MR</t>
  </si>
  <si>
    <t>3308-MR</t>
  </si>
  <si>
    <t>3309-MR(A)</t>
  </si>
  <si>
    <t>3310-MR(A)</t>
  </si>
  <si>
    <t>3311-MR</t>
  </si>
  <si>
    <t>3312-MR</t>
  </si>
  <si>
    <t>3314-MR</t>
  </si>
  <si>
    <t>3201-MR</t>
  </si>
  <si>
    <t>3202-MR</t>
  </si>
  <si>
    <t>3203-MR(A)</t>
  </si>
  <si>
    <t>3204-MR</t>
  </si>
  <si>
    <t>3205-MR(A)</t>
  </si>
  <si>
    <t>3206-AFF(B)</t>
  </si>
  <si>
    <t>3207-MR</t>
  </si>
  <si>
    <t>3208-MR</t>
  </si>
  <si>
    <t>3209-MR</t>
  </si>
  <si>
    <t>3210-MR</t>
  </si>
  <si>
    <t>3211-AFF(A)</t>
  </si>
  <si>
    <t>3212-MR</t>
  </si>
  <si>
    <t>3214-MR</t>
  </si>
  <si>
    <t>3101-MR</t>
  </si>
  <si>
    <t>3102-MR</t>
  </si>
  <si>
    <t>3103-MR</t>
  </si>
  <si>
    <t>3104-MR</t>
  </si>
  <si>
    <t>3105-MR</t>
  </si>
  <si>
    <t>3106-AFF(B)</t>
  </si>
  <si>
    <t>3107-MR(A)</t>
  </si>
  <si>
    <t>3108-MR(A)</t>
  </si>
  <si>
    <t>3109-MR</t>
  </si>
  <si>
    <t>3110-MR</t>
  </si>
  <si>
    <t>3111-AFF(B)</t>
  </si>
  <si>
    <t>3112-MR</t>
  </si>
  <si>
    <t>3114-MR</t>
  </si>
  <si>
    <t>3001-MR</t>
  </si>
  <si>
    <t>3002-MR</t>
  </si>
  <si>
    <t>3003-MR</t>
  </si>
  <si>
    <t>3004-MR</t>
  </si>
  <si>
    <t>3005-MR</t>
  </si>
  <si>
    <t>3006-AFF(A)</t>
  </si>
  <si>
    <t>3007-MR</t>
  </si>
  <si>
    <t>3008-MR</t>
  </si>
  <si>
    <t>3009-MR</t>
  </si>
  <si>
    <t>3010-MR</t>
  </si>
  <si>
    <t>3011-AFF(B)</t>
  </si>
  <si>
    <t>3012-MR</t>
  </si>
  <si>
    <t>3014-MR</t>
  </si>
  <si>
    <t>2901-MR</t>
  </si>
  <si>
    <t>2902-MR</t>
  </si>
  <si>
    <t>2903-MR</t>
  </si>
  <si>
    <t>2904-MR</t>
  </si>
  <si>
    <t>2905-MR(A)</t>
  </si>
  <si>
    <t>2906-AFF(B)</t>
  </si>
  <si>
    <t>2907-MR</t>
  </si>
  <si>
    <t>2908-MR</t>
  </si>
  <si>
    <t>2909-MR(A)</t>
  </si>
  <si>
    <t>2910-MR</t>
  </si>
  <si>
    <t>2911-AFF(B)</t>
  </si>
  <si>
    <t>2912-MR</t>
  </si>
  <si>
    <t>2914-MR</t>
  </si>
  <si>
    <t>2801-MR</t>
  </si>
  <si>
    <t>2802-MR</t>
  </si>
  <si>
    <t>2803-MR</t>
  </si>
  <si>
    <t>2804-MR(A)</t>
  </si>
  <si>
    <t>2805-MR</t>
  </si>
  <si>
    <t>2806-AFF(B)</t>
  </si>
  <si>
    <t>2807-MR</t>
  </si>
  <si>
    <t>2808-MR</t>
  </si>
  <si>
    <t>2809-MR</t>
  </si>
  <si>
    <t>2810-MR</t>
  </si>
  <si>
    <t>2811-AFF(A)</t>
  </si>
  <si>
    <t>2812-MR</t>
  </si>
  <si>
    <t>2814-MR(A)</t>
  </si>
  <si>
    <t>2701-MR(A)</t>
  </si>
  <si>
    <t>2702-MR</t>
  </si>
  <si>
    <t>2703-MR</t>
  </si>
  <si>
    <t>2704-MR</t>
  </si>
  <si>
    <t>2705-MR</t>
  </si>
  <si>
    <t>2706-AFF(B)</t>
  </si>
  <si>
    <t>2707-MR</t>
  </si>
  <si>
    <t>2708-MR</t>
  </si>
  <si>
    <t>2709-MR</t>
  </si>
  <si>
    <t>2710-MR(A)</t>
  </si>
  <si>
    <t>2711-AFF(B)</t>
  </si>
  <si>
    <t>2712-MR(A)</t>
  </si>
  <si>
    <t>2714-MR</t>
  </si>
  <si>
    <t>2601-MR</t>
  </si>
  <si>
    <t>2602-MR</t>
  </si>
  <si>
    <t>2603-MR</t>
  </si>
  <si>
    <t>2604-MR</t>
  </si>
  <si>
    <t>2605-MR</t>
  </si>
  <si>
    <t>2606-AFF(A)</t>
  </si>
  <si>
    <t>2607-MR</t>
  </si>
  <si>
    <t>2608-MR(A)</t>
  </si>
  <si>
    <t>2609-MR</t>
  </si>
  <si>
    <t>2610-MR</t>
  </si>
  <si>
    <t>2611-AFF(B)</t>
  </si>
  <si>
    <t>2612-MR</t>
  </si>
  <si>
    <t>2614-MR</t>
  </si>
  <si>
    <t>2501-MR(A)</t>
  </si>
  <si>
    <t>2502-MR</t>
  </si>
  <si>
    <t>2503-MR</t>
  </si>
  <si>
    <t>2504-MR</t>
  </si>
  <si>
    <t>2505-MR</t>
  </si>
  <si>
    <t>2506-AFF(B)</t>
  </si>
  <si>
    <t>2507-MR(A)</t>
  </si>
  <si>
    <t>2508-MR</t>
  </si>
  <si>
    <t>2509-MR(A)</t>
  </si>
  <si>
    <t>2510-MR</t>
  </si>
  <si>
    <t>2511-AFF(B)</t>
  </si>
  <si>
    <t>2512-MR</t>
  </si>
  <si>
    <t>2514-MR</t>
  </si>
  <si>
    <t>2401-AFF(B)</t>
  </si>
  <si>
    <t>2402-MR(A)</t>
  </si>
  <si>
    <t>2403-MR</t>
  </si>
  <si>
    <t>2404-MR(A)</t>
  </si>
  <si>
    <t>2405-MR</t>
  </si>
  <si>
    <t>2406-AFF(B)</t>
  </si>
  <si>
    <t>2407-MR</t>
  </si>
  <si>
    <t>2408-MR</t>
  </si>
  <si>
    <t>2409-MR</t>
  </si>
  <si>
    <t>2410-MR</t>
  </si>
  <si>
    <t>2411-AFF(A)</t>
  </si>
  <si>
    <t>2412-MR</t>
  </si>
  <si>
    <t>2414-MR(A)</t>
  </si>
  <si>
    <t>2301-AFF(B)</t>
  </si>
  <si>
    <t>2302-MR</t>
  </si>
  <si>
    <t>2303-MR</t>
  </si>
  <si>
    <t>2304-MR</t>
  </si>
  <si>
    <t>2305-MR</t>
  </si>
  <si>
    <t>2306-AFF(B)</t>
  </si>
  <si>
    <t>2307-MR</t>
  </si>
  <si>
    <t>2308-AFF(B)</t>
  </si>
  <si>
    <t>2309-MR</t>
  </si>
  <si>
    <t>2310-MR(A)</t>
  </si>
  <si>
    <t>2311-AFF(B)</t>
  </si>
  <si>
    <t>2312-MR</t>
  </si>
  <si>
    <t>2314-MR</t>
  </si>
  <si>
    <t>2201-AFF(B)</t>
  </si>
  <si>
    <t>2202-MR</t>
  </si>
  <si>
    <t>2203-MR(A)</t>
  </si>
  <si>
    <t>2204-MR</t>
  </si>
  <si>
    <t>2205-MR</t>
  </si>
  <si>
    <t>2206-AFF(B)</t>
  </si>
  <si>
    <t>2207-MR</t>
  </si>
  <si>
    <t>2208-AFF(A)</t>
  </si>
  <si>
    <t>2209-MR</t>
  </si>
  <si>
    <t>2210-MR</t>
  </si>
  <si>
    <t>2211-AFF(B)</t>
  </si>
  <si>
    <t>2212-MR(A)</t>
  </si>
  <si>
    <t>2214-AFF(B)</t>
  </si>
  <si>
    <t>2101-AFF(A)</t>
  </si>
  <si>
    <t>2102-MR</t>
  </si>
  <si>
    <t>2103-MR</t>
  </si>
  <si>
    <t>2104-MR</t>
  </si>
  <si>
    <t>2105-MR</t>
  </si>
  <si>
    <t>2106-AFF(A)</t>
  </si>
  <si>
    <t>2107-MR</t>
  </si>
  <si>
    <t>2108-AFF(B)</t>
  </si>
  <si>
    <t>2109-MR(A)</t>
  </si>
  <si>
    <t>2110-MR</t>
  </si>
  <si>
    <t>2111-AFF(B)</t>
  </si>
  <si>
    <t>2112-MR</t>
  </si>
  <si>
    <t>2114-AFF(B)</t>
  </si>
  <si>
    <t>2001-AFF(B)</t>
  </si>
  <si>
    <t>2002-MR</t>
  </si>
  <si>
    <t>2003-MR</t>
  </si>
  <si>
    <t>2004-MR</t>
  </si>
  <si>
    <t>2005-MR(A)</t>
  </si>
  <si>
    <t>2006-AFF(B)</t>
  </si>
  <si>
    <t>2007-MR</t>
  </si>
  <si>
    <t>2008-AFF(A)</t>
  </si>
  <si>
    <t>2009-MR</t>
  </si>
  <si>
    <t>2010-MR</t>
  </si>
  <si>
    <t>2011-AFF(A)</t>
  </si>
  <si>
    <t>2012-MR</t>
  </si>
  <si>
    <t>2014-AFF(B)</t>
  </si>
  <si>
    <t>1901-AFF(B)</t>
  </si>
  <si>
    <t>1902-MR</t>
  </si>
  <si>
    <t>1903-MR</t>
  </si>
  <si>
    <t>1904-MR</t>
  </si>
  <si>
    <t>1905-MR</t>
  </si>
  <si>
    <t>1906-AFF(B)</t>
  </si>
  <si>
    <t>1907-MR(A)</t>
  </si>
  <si>
    <t>1908-AFF(B)</t>
  </si>
  <si>
    <t>1909-MR</t>
  </si>
  <si>
    <t>1910-MR(A)</t>
  </si>
  <si>
    <t>1911-AFF(B)</t>
  </si>
  <si>
    <t>1912-MR(A)</t>
  </si>
  <si>
    <t>1914-AFF(A)</t>
  </si>
  <si>
    <t>HEAT TEMP FLOOR</t>
  </si>
  <si>
    <t>1801-AFF(B)</t>
  </si>
  <si>
    <t>1802-MR</t>
  </si>
  <si>
    <t>1803-MR(A)</t>
  </si>
  <si>
    <t>1804-MR</t>
  </si>
  <si>
    <t>1805-MR(A)</t>
  </si>
  <si>
    <t>1806-AFF(A)</t>
  </si>
  <si>
    <t>1807-MR</t>
  </si>
  <si>
    <t>1808-AFF(B)</t>
  </si>
  <si>
    <t>1809-MR</t>
  </si>
  <si>
    <t>1810-MR</t>
  </si>
  <si>
    <t>1811-AFF(B)</t>
  </si>
  <si>
    <t>1812-MR</t>
  </si>
  <si>
    <t>1814-AFF(B)</t>
  </si>
  <si>
    <t>1701-AFF(B)</t>
  </si>
  <si>
    <t>1702-MR(A)</t>
  </si>
  <si>
    <t>1703-MR</t>
  </si>
  <si>
    <t>1704-MR(A)</t>
  </si>
  <si>
    <t>1705-MR</t>
  </si>
  <si>
    <t>1706-AFF(B)</t>
  </si>
  <si>
    <t>1707-MR</t>
  </si>
  <si>
    <t>1708-AFF(B)</t>
  </si>
  <si>
    <t>1709-MR</t>
  </si>
  <si>
    <t>1710-MR</t>
  </si>
  <si>
    <t>1711-AFF(B)</t>
  </si>
  <si>
    <t>1712-MR</t>
  </si>
  <si>
    <t>1714-AFF(B)</t>
  </si>
  <si>
    <t>1601-AFF(A)</t>
  </si>
  <si>
    <t>1602-MR</t>
  </si>
  <si>
    <t>1603-MR</t>
  </si>
  <si>
    <t>1604-MR</t>
  </si>
  <si>
    <t>1605-MR</t>
  </si>
  <si>
    <t>1606-AFF(B)</t>
  </si>
  <si>
    <t>1607-MR</t>
  </si>
  <si>
    <t>1608-AFF(B)</t>
  </si>
  <si>
    <t>1609-MR</t>
  </si>
  <si>
    <t>1610-MR(A)</t>
  </si>
  <si>
    <t>1611-AFF(B)</t>
  </si>
  <si>
    <t>1612-MR</t>
  </si>
  <si>
    <t>1614-AFF(B)</t>
  </si>
  <si>
    <t>1501-AFF(B)</t>
  </si>
  <si>
    <t>1502-MR(A)</t>
  </si>
  <si>
    <t>1503-MR</t>
  </si>
  <si>
    <t>1504-MR</t>
  </si>
  <si>
    <t>1505-MR</t>
  </si>
  <si>
    <t>1506-AFF(B)</t>
  </si>
  <si>
    <t>1507-MR</t>
  </si>
  <si>
    <t>1508-AFF(B)</t>
  </si>
  <si>
    <t>1509-MR</t>
  </si>
  <si>
    <t>1510-MR</t>
  </si>
  <si>
    <t>1511-AFF(B)</t>
  </si>
  <si>
    <t>1512-MR</t>
  </si>
  <si>
    <t>1514-AFF(B)</t>
  </si>
  <si>
    <t>1401-AFF(B)</t>
  </si>
  <si>
    <t>1402-MR</t>
  </si>
  <si>
    <t>1403-MR</t>
  </si>
  <si>
    <t>1404-MR</t>
  </si>
  <si>
    <t>1405-MR</t>
  </si>
  <si>
    <t>1406-AFF(B)</t>
  </si>
  <si>
    <t>1407-MR</t>
  </si>
  <si>
    <t>1408-AFF(A)</t>
  </si>
  <si>
    <t>1409-MR</t>
  </si>
  <si>
    <t>1410-MR</t>
  </si>
  <si>
    <t>1411-AFF(B)</t>
  </si>
  <si>
    <t>1412-MR(A)</t>
  </si>
  <si>
    <t>1414-AFF(B)</t>
  </si>
  <si>
    <t>1201-AFF(A)</t>
  </si>
  <si>
    <t>1202-MR</t>
  </si>
  <si>
    <t>1203-MR</t>
  </si>
  <si>
    <t>1204-MR</t>
  </si>
  <si>
    <t>1205-MR</t>
  </si>
  <si>
    <t>1206-AFF(B)</t>
  </si>
  <si>
    <t>1207-MR(A)</t>
  </si>
  <si>
    <t>1208-AFF(B)</t>
  </si>
  <si>
    <t>1209-MR</t>
  </si>
  <si>
    <t>1210-MR</t>
  </si>
  <si>
    <t>1211-AFF(B)</t>
  </si>
  <si>
    <t>1212-MR</t>
  </si>
  <si>
    <t>1214-AFF(B)</t>
  </si>
  <si>
    <t>1101-AFF(B)</t>
  </si>
  <si>
    <t>1102-MR</t>
  </si>
  <si>
    <t>1103-AFF(B)</t>
  </si>
  <si>
    <t>1104-MR</t>
  </si>
  <si>
    <t>1105-MR</t>
  </si>
  <si>
    <t>1106-AFF(A)</t>
  </si>
  <si>
    <t>1107-MR</t>
  </si>
  <si>
    <t>1108-AFF(B)</t>
  </si>
  <si>
    <t>1109-MR</t>
  </si>
  <si>
    <t>1110-MR</t>
  </si>
  <si>
    <t>1111-AFF(B)</t>
  </si>
  <si>
    <t>1112-MR</t>
  </si>
  <si>
    <t>1114-AFF(A)</t>
  </si>
  <si>
    <t>1001-AFF(B)</t>
  </si>
  <si>
    <t>1002-MR</t>
  </si>
  <si>
    <t>1003-AFF(A)</t>
  </si>
  <si>
    <t>1004-MR(A)</t>
  </si>
  <si>
    <t>1005-MR(A)</t>
  </si>
  <si>
    <t>1006-AFF(B)</t>
  </si>
  <si>
    <t>1007-MR</t>
  </si>
  <si>
    <t>1008-AFF(B)</t>
  </si>
  <si>
    <t>1009-MR</t>
  </si>
  <si>
    <t>1010-MR(A)</t>
  </si>
  <si>
    <t>1011-AFF(B)</t>
  </si>
  <si>
    <t>1012-MR</t>
  </si>
  <si>
    <t>1014-AFF(B)</t>
  </si>
  <si>
    <t>901-AFF(A)</t>
  </si>
  <si>
    <t>902-MR</t>
  </si>
  <si>
    <t>903-AFF(B)</t>
  </si>
  <si>
    <t>904-MR</t>
  </si>
  <si>
    <t>905-MR</t>
  </si>
  <si>
    <t>906-AFF(B)</t>
  </si>
  <si>
    <t>907-MR(A)</t>
  </si>
  <si>
    <t>908-AFF(B)</t>
  </si>
  <si>
    <t>909-MR</t>
  </si>
  <si>
    <t>910-MR</t>
  </si>
  <si>
    <t>911-AFF(B)</t>
  </si>
  <si>
    <t>912-MR(A)</t>
  </si>
  <si>
    <t>914-AFF(B)</t>
  </si>
  <si>
    <t>`</t>
  </si>
  <si>
    <t>801-AFF(B)</t>
  </si>
  <si>
    <t>802-MR</t>
  </si>
  <si>
    <t>803-AFF(B)</t>
  </si>
  <si>
    <t>804-MR</t>
  </si>
  <si>
    <t>805-MR</t>
  </si>
  <si>
    <t>806-AFF(B)</t>
  </si>
  <si>
    <t>807-MR</t>
  </si>
  <si>
    <t>808-AFF(B)</t>
  </si>
  <si>
    <t>809-MR(A)</t>
  </si>
  <si>
    <t>810-MR(A)</t>
  </si>
  <si>
    <t>811-AFF(B)</t>
  </si>
  <si>
    <t>812-MR</t>
  </si>
  <si>
    <t>814-AFF(B)</t>
  </si>
  <si>
    <t>701-AFF(A)</t>
  </si>
  <si>
    <t>702-MR</t>
  </si>
  <si>
    <t>703-AFF(B)</t>
  </si>
  <si>
    <t>704-MR</t>
  </si>
  <si>
    <t>705-MR</t>
  </si>
  <si>
    <t>706-AFF(B)</t>
  </si>
  <si>
    <t>707-MR</t>
  </si>
  <si>
    <t>708-AFF(B)</t>
  </si>
  <si>
    <t>709-MR</t>
  </si>
  <si>
    <t>710-MR</t>
  </si>
  <si>
    <t>711-AFF(A)</t>
  </si>
  <si>
    <t>712-MR</t>
  </si>
  <si>
    <t>714-AFF(B)</t>
  </si>
  <si>
    <t>601-AFF(B)</t>
  </si>
  <si>
    <t>602-MR</t>
  </si>
  <si>
    <t>603-AFF(B)</t>
  </si>
  <si>
    <t>604-MR(A)</t>
  </si>
  <si>
    <t>605-MR</t>
  </si>
  <si>
    <t>606-AFF(B)</t>
  </si>
  <si>
    <t>607-MR(A)</t>
  </si>
  <si>
    <t>608-AFF(B)</t>
  </si>
  <si>
    <t>609-MR</t>
  </si>
  <si>
    <t>610-MR</t>
  </si>
  <si>
    <t>611-AFF(B)</t>
  </si>
  <si>
    <t>612-MR</t>
  </si>
  <si>
    <t>614-AFF(A)</t>
  </si>
  <si>
    <t>501-AFF(B)</t>
  </si>
  <si>
    <t>502-MR</t>
  </si>
  <si>
    <t>503-AFF(A)</t>
  </si>
  <si>
    <t>504-MR</t>
  </si>
  <si>
    <t>505-MR(A)</t>
  </si>
  <si>
    <t>506-AFF(A)</t>
  </si>
  <si>
    <t>507-MR</t>
  </si>
  <si>
    <t>508-AFF(B)</t>
  </si>
  <si>
    <t>509-MR(A)</t>
  </si>
  <si>
    <t>510-MR</t>
  </si>
  <si>
    <t>511-AFF(B)</t>
  </si>
  <si>
    <t>512-MR(A)</t>
  </si>
  <si>
    <t>514-AFF(B)</t>
  </si>
  <si>
    <t>401-AFF(B)</t>
  </si>
  <si>
    <t>402-MR(A)</t>
  </si>
  <si>
    <t>403-AFF(B)</t>
  </si>
  <si>
    <t>404-MR</t>
  </si>
  <si>
    <t>405-MR</t>
  </si>
  <si>
    <t>406-AFF(B)</t>
  </si>
  <si>
    <t>407-MR</t>
  </si>
  <si>
    <t>408-AFF(A)</t>
  </si>
  <si>
    <t>409-MR</t>
  </si>
  <si>
    <t>410-MR</t>
  </si>
  <si>
    <t>411-AFF(B)</t>
  </si>
  <si>
    <t>412-MR</t>
  </si>
  <si>
    <t>414-AFF(B)</t>
  </si>
  <si>
    <t>301-AFF(B)</t>
  </si>
  <si>
    <t>302-MR</t>
  </si>
  <si>
    <t>303-AFF(B)</t>
  </si>
  <si>
    <t>304-MR</t>
  </si>
  <si>
    <t>305-MR(A)</t>
  </si>
  <si>
    <t>306-AFF(B)</t>
  </si>
  <si>
    <t>307-MR</t>
  </si>
  <si>
    <t>308-AFF(B)</t>
  </si>
  <si>
    <t>309-MR</t>
  </si>
  <si>
    <t>310-MR</t>
  </si>
  <si>
    <t>311-AFF(A)</t>
  </si>
  <si>
    <t>312-MR</t>
  </si>
  <si>
    <t>314-AFF(A)</t>
  </si>
  <si>
    <t>Example: Alpi slip</t>
  </si>
  <si>
    <t>OPTIMA-CONTAINER SCHEDULE</t>
  </si>
  <si>
    <t>FULL SHIPPING LOGOISTICS</t>
  </si>
  <si>
    <t>Date:</t>
  </si>
  <si>
    <t>FRM</t>
  </si>
  <si>
    <t>TASK</t>
  </si>
  <si>
    <t>FROMULA</t>
  </si>
  <si>
    <t>CONT. STATUS</t>
  </si>
  <si>
    <t>LOADING SEQUENCE FR. FI (CTN. INFO)</t>
  </si>
  <si>
    <t>LOADED</t>
  </si>
  <si>
    <t>SEA FREIGHT SHIPPED (1ST LEG)</t>
  </si>
  <si>
    <t>SEA (2ND LEG)</t>
  </si>
  <si>
    <t>TRAIN (3RD LEG)</t>
  </si>
  <si>
    <t>TRUCKING (4TH LEG)</t>
  </si>
  <si>
    <t>PROJECT STATUS</t>
  </si>
  <si>
    <t>MISC NOTES</t>
  </si>
  <si>
    <r>
      <rPr>
        <b/>
        <i/>
        <sz val="11"/>
        <color rgb="FFFF0000"/>
        <rFont val="Arial"/>
        <family val="2"/>
      </rPr>
      <t xml:space="preserve">Horizontal:                </t>
    </r>
    <r>
      <rPr>
        <i/>
        <sz val="11"/>
        <color rgb="FFFF0000"/>
        <rFont val="Arial"/>
        <family val="2"/>
      </rPr>
      <t xml:space="preserve"> fill in data                                     </t>
    </r>
    <r>
      <rPr>
        <b/>
        <i/>
        <sz val="11"/>
        <color rgb="FFFF0000"/>
        <rFont val="Arial"/>
        <family val="2"/>
      </rPr>
      <t>Vertical:</t>
    </r>
    <r>
      <rPr>
        <i/>
        <sz val="11"/>
        <color rgb="FFFF0000"/>
        <rFont val="Arial"/>
        <family val="2"/>
      </rPr>
      <t xml:space="preserve"> formulas</t>
    </r>
  </si>
  <si>
    <t>TOTAL TASKS</t>
  </si>
  <si>
    <t>CONT. #</t>
  </si>
  <si>
    <t>CONFIRMED LOADING ?</t>
  </si>
  <si>
    <t>PICKUP (WEEK IN THE YEAR)</t>
  </si>
  <si>
    <t>FLOOR/ S</t>
  </si>
  <si>
    <t>UNITS LOADED</t>
  </si>
  <si>
    <t>UNIT OTY</t>
  </si>
  <si>
    <t>CONT. CODE</t>
  </si>
  <si>
    <t>CONT. SEAL</t>
  </si>
  <si>
    <t>ESTIMATED LOADING WEEK</t>
  </si>
  <si>
    <t>LOAD DATE</t>
  </si>
  <si>
    <t>PACKING SLIPS ?</t>
  </si>
  <si>
    <t># DAYS SITTING AT PORT B4 SHIPPED</t>
  </si>
  <si>
    <t>SHIP DATE</t>
  </si>
  <si>
    <t>1ST VESSEL                                              (TO COLOMBIA THEN CALIFORNIA)</t>
  </si>
  <si>
    <t>2ND LEG VESSEL ?</t>
  </si>
  <si>
    <t>2ND VESSEL                                              (IF ROLLING OVER TO ANOTHER SHIP)</t>
  </si>
  <si>
    <t>ETA TO LAX PORT?</t>
  </si>
  <si>
    <t>ETA / DATE TO CALI. PORT.</t>
  </si>
  <si>
    <t># DAYS IN SEA</t>
  </si>
  <si>
    <t>CONFIRMED IN PORT?</t>
  </si>
  <si>
    <t xml:space="preserve"> ETA TO PHOENIX RR?</t>
  </si>
  <si>
    <t>DAYS SITTING IN CALI PORT</t>
  </si>
  <si>
    <t>LOADED ON THE TRAIN</t>
  </si>
  <si>
    <t>ETA / DATE TO PHOENIX RAILROAD YARD.</t>
  </si>
  <si>
    <t>IS IT AVIABLE ? (PULLED)</t>
  </si>
  <si>
    <t># DAYS FROM PORT TO RAIL YARD</t>
  </si>
  <si>
    <t>DELIVERY TO JOBSITE? INFO?</t>
  </si>
  <si>
    <t>DELIVERY DATE</t>
  </si>
  <si>
    <t>TIME</t>
  </si>
  <si>
    <t>LOADING AREA</t>
  </si>
  <si>
    <t xml:space="preserve"># DAYS SITTING IN THE YARD </t>
  </si>
  <si>
    <t># OF YARD DAYS (3 FREE DAYS)</t>
  </si>
  <si>
    <t>DELIVERY INFO CONFIRMED ?</t>
  </si>
  <si>
    <t>SENT INSTALL DRAWINGS ?</t>
  </si>
  <si>
    <t>ARRIVED ON SITE ?</t>
  </si>
  <si>
    <t xml:space="preserve">JOBSITE INSTALL DATES </t>
  </si>
  <si>
    <t>PROJECT STATUS (DELIVERED VS JOBSITE NEEDS)</t>
  </si>
  <si>
    <t>TOTAL COMMUTE  (ITALY TO CHICAGO)</t>
  </si>
  <si>
    <t>Example</t>
  </si>
  <si>
    <t>WEEK 5</t>
  </si>
  <si>
    <t>---</t>
  </si>
  <si>
    <t>FCIU7098162</t>
  </si>
  <si>
    <t>HLD2682176</t>
  </si>
  <si>
    <t>GEHARD SCHULTE</t>
  </si>
  <si>
    <t>MAERSK MEMPHIS</t>
  </si>
  <si>
    <t>SOUTH DOCK</t>
  </si>
  <si>
    <t>Container was stuck at NY Port, Trump cuts left no one to work for DHS and sub departments that check it in</t>
  </si>
  <si>
    <t>CTN STS KEY</t>
  </si>
  <si>
    <t>Delivered</t>
  </si>
  <si>
    <t>Rail Yard</t>
  </si>
  <si>
    <t>Train</t>
  </si>
  <si>
    <t>In Port</t>
  </si>
  <si>
    <t>En Route</t>
  </si>
  <si>
    <t>Loaded</t>
  </si>
  <si>
    <t>Loading</t>
  </si>
  <si>
    <t>Projected</t>
  </si>
  <si>
    <t>OPTIMA- BUILDING MATRIX PER UNIT</t>
  </si>
  <si>
    <t>LIST/ LOOK FULL BREAKDOWN</t>
  </si>
  <si>
    <t>BUILDING LOGISTICS</t>
  </si>
  <si>
    <t>SHIPPING LOGISTICS</t>
  </si>
  <si>
    <t>MISALIANIAOUS ROOMS COMPONENTS</t>
  </si>
  <si>
    <t>KITCHEN COMPONENETS</t>
  </si>
  <si>
    <t>BATHROOM COMPONENTS</t>
  </si>
  <si>
    <t>BEDROOM COMPONENTS</t>
  </si>
  <si>
    <t>FOYER</t>
  </si>
  <si>
    <t>DEN</t>
  </si>
  <si>
    <t>HALL</t>
  </si>
  <si>
    <t>UTILITY ROOM</t>
  </si>
  <si>
    <t>CLOSET</t>
  </si>
  <si>
    <t>BEV CENTER</t>
  </si>
  <si>
    <t>LAUNDRY CLOSET</t>
  </si>
  <si>
    <t>KITCHEN</t>
  </si>
  <si>
    <t>DINING</t>
  </si>
  <si>
    <t>GREAT ROOM</t>
  </si>
  <si>
    <t>PRIM BATH</t>
  </si>
  <si>
    <t>BATH 2</t>
  </si>
  <si>
    <t>BATH 3</t>
  </si>
  <si>
    <t>BATH 4</t>
  </si>
  <si>
    <t>PRIM BED</t>
  </si>
  <si>
    <t>BED 2</t>
  </si>
  <si>
    <t>BED 3</t>
  </si>
  <si>
    <t>BED 4</t>
  </si>
  <si>
    <t>UNIT #</t>
  </si>
  <si>
    <t>UNIT</t>
  </si>
  <si>
    <t>COMBO?</t>
  </si>
  <si>
    <t>UNIT TYP.</t>
  </si>
  <si>
    <t>STATUS</t>
  </si>
  <si>
    <t>STS</t>
  </si>
  <si>
    <t>CTN</t>
  </si>
  <si>
    <t>UNIT TYP</t>
  </si>
  <si>
    <t>STATUS?</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</si>
  <si>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</si>
  <si>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</si>
  <si>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</si>
  <si>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</si>
  <si>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</si>
  <si>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</si>
  <si>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</si>
  <si>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</si>
  <si>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</si>
  <si>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</si>
  <si>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</si>
  <si>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</si>
  <si>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</si>
  <si>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</si>
  <si>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</si>
  <si>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</si>
  <si>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</si>
  <si>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</si>
  <si>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</si>
  <si>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</si>
  <si>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</si>
  <si>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</si>
  <si>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</si>
  <si>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</si>
  <si>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</si>
  <si>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</si>
  <si>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</si>
  <si>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</si>
  <si>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</si>
  <si>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</si>
  <si>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</si>
  <si>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</si>
  <si>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</si>
  <si>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</si>
  <si>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</si>
  <si>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</si>
  <si>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Total</t>
  </si>
  <si>
    <t>OPTIMA- JOBSITE BUILDOUT SCHEDULE</t>
  </si>
  <si>
    <t xml:space="preserve">DATES PROVIDED BY </t>
  </si>
  <si>
    <t>TARGET</t>
  </si>
  <si>
    <t>FLOOR BUILD-OUT SCHEDULE</t>
  </si>
  <si>
    <t>OMM SCHEDULE DATES</t>
  </si>
  <si>
    <t>GROUP #</t>
  </si>
  <si>
    <t>TOTAL UNITS</t>
  </si>
  <si>
    <t>FLOOR START DATE</t>
  </si>
  <si>
    <t>CABINET DELIVERY</t>
  </si>
  <si>
    <t>SET CABINETS</t>
  </si>
  <si>
    <t>TOE-KICK INSTALL</t>
  </si>
  <si>
    <t>FLOOR END DATE</t>
  </si>
  <si>
    <t>OPTIMA- ORDER PLACED MATRIX</t>
  </si>
  <si>
    <t>CONDENSED BUILDING / SCOPE OF WORK</t>
  </si>
  <si>
    <t>UNITS</t>
  </si>
  <si>
    <t>01</t>
  </si>
  <si>
    <t>02</t>
  </si>
  <si>
    <t>03</t>
  </si>
  <si>
    <t>04</t>
  </si>
  <si>
    <t>05</t>
  </si>
  <si>
    <t>06</t>
  </si>
  <si>
    <t>07</t>
  </si>
  <si>
    <t>08</t>
  </si>
  <si>
    <t>09</t>
  </si>
  <si>
    <t>10</t>
  </si>
  <si>
    <t>11</t>
  </si>
  <si>
    <t>12</t>
  </si>
  <si>
    <t>OPTIMA- BUILDING MATRIX</t>
  </si>
  <si>
    <t>: COMBO UNIT</t>
  </si>
  <si>
    <t>: PROJECTED</t>
  </si>
  <si>
    <t>: LOADING</t>
  </si>
  <si>
    <t>: LOADED</t>
  </si>
  <si>
    <t>: EN ROUTE</t>
  </si>
  <si>
    <t>: IN PORT</t>
  </si>
  <si>
    <t>: RAILYARD</t>
  </si>
  <si>
    <t>: DELIVERED</t>
  </si>
  <si>
    <t>: NOT IN SCOPE</t>
  </si>
  <si>
    <t>CONTAINER STATUS - PER UNIT</t>
  </si>
  <si>
    <t>PLEASE  NOTE: CONTAINERS ARE LISTED PER AREA      -     (CONTAINER #) ROOM AREA NAME      -    SEE LEGEND FOR CONTAINER  STATUS</t>
  </si>
  <si>
    <t>3B-01</t>
  </si>
  <si>
    <t>1B-01</t>
  </si>
  <si>
    <t>2B-01</t>
  </si>
  <si>
    <t>3B-02</t>
  </si>
  <si>
    <t>1B-02</t>
  </si>
  <si>
    <t>2B-02</t>
  </si>
  <si>
    <t>1B-03</t>
  </si>
  <si>
    <t>2B-03</t>
  </si>
  <si>
    <t>1B-04</t>
  </si>
  <si>
    <t>2B-04</t>
  </si>
  <si>
    <t>3B-03</t>
  </si>
  <si>
    <t>3B-04</t>
  </si>
  <si>
    <t>2B-05</t>
  </si>
  <si>
    <t>1B-05</t>
  </si>
  <si>
    <t>3B-05</t>
  </si>
  <si>
    <t>3B-06</t>
  </si>
  <si>
    <t>1B-06</t>
  </si>
  <si>
    <t>2B-06</t>
  </si>
  <si>
    <t>3B-07</t>
  </si>
  <si>
    <t>2B-07</t>
  </si>
  <si>
    <t>2B-08</t>
  </si>
  <si>
    <t>2B-09</t>
  </si>
  <si>
    <t>2B-10</t>
  </si>
  <si>
    <t>2B-11</t>
  </si>
  <si>
    <t>1B-07</t>
  </si>
  <si>
    <t>FLOOR-BY-FLOOR LOGISTICS</t>
  </si>
  <si>
    <t>13</t>
  </si>
  <si>
    <t>14</t>
  </si>
  <si>
    <t>15</t>
  </si>
  <si>
    <t>16</t>
  </si>
  <si>
    <t>17</t>
  </si>
  <si>
    <t>18</t>
  </si>
  <si>
    <t>19</t>
  </si>
  <si>
    <t>20</t>
  </si>
  <si>
    <t>21</t>
  </si>
  <si>
    <t>22</t>
  </si>
  <si>
    <t>23</t>
  </si>
  <si>
    <t>24</t>
  </si>
  <si>
    <t>25</t>
  </si>
  <si>
    <t>26</t>
  </si>
  <si>
    <t>27</t>
  </si>
  <si>
    <t>28</t>
  </si>
  <si>
    <t>FLOORS</t>
  </si>
  <si>
    <t>8th FLOOR</t>
  </si>
  <si>
    <t>SCOPE OF WORK (UNITS)</t>
  </si>
  <si>
    <t>UNITs:</t>
  </si>
  <si>
    <t/>
  </si>
  <si>
    <t>COMBOs:</t>
  </si>
  <si>
    <t>AREAs:</t>
  </si>
  <si>
    <t>DELIVERY TARGET:</t>
  </si>
  <si>
    <t>SCOPE OF WORK (DELIVERY STATUS)</t>
  </si>
  <si>
    <t>OUT OF</t>
  </si>
  <si>
    <t>7th FLOOR</t>
  </si>
  <si>
    <t>6th FLOOR</t>
  </si>
  <si>
    <t>5th FLOOR</t>
  </si>
  <si>
    <t>4th FLOOR</t>
  </si>
  <si>
    <t>3th FLOOR</t>
  </si>
  <si>
    <t>2th FLOOR</t>
  </si>
  <si>
    <t>: ORDER SUMBMITTED</t>
  </si>
  <si>
    <t>: PENDING ORDER</t>
  </si>
  <si>
    <t>: TARGET DATE</t>
  </si>
  <si>
    <t>ORDER STATUS -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</si>
</sst>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7" formatCode="&quot;$&quot;#,##0.00_);\(&quot;$&quot;#,##0.00\)"/>
    <numFmt numFmtId="164" formatCode="[&lt;=9999999]###\-####;\(###\)\ ###\-####"/>
    <numFmt numFmtId="165" formatCode="m/d/yy;@"/>
    <numFmt numFmtId="166" formatCode="_-&quot;€&quot;\ * #,##0.00_-;\-&quot;€&quot;\ * #,##0.00_-;_-&quot;€&quot;\ * &quot;-&quot;??_-;_-@_-"/>
    <numFmt numFmtId="167" formatCode="00"/>
    <numFmt numFmtId="168" formatCode="[$-409]h:mm\ AM/PM;@"/>
    <numFmt numFmtId="169" formatCode="[$-F800]dddd\,\ mmmm\ dd\,\ yyyy"/>
    <numFmt numFmtId="170" formatCode="0.0%"/>
    <numFmt numFmtId="171" formatCode="0&quot; AREAS&quot;"/>
    <numFmt numFmtId="172" formatCode="0&quot; UNITS&quot;"/>
    <numFmt numFmtId="173" formatCode="0&quot; COMBOS&quot;"/>
    <numFmt numFmtId="174" formatCode="0&quot; CMBO&quot;"/>
  </numFmts>
  <fonts count="74">
    <font>
      <sz val="11"/>
      <color theme="3"/>
      <name val="Cambria"/>
      <family val="2"/>
      <scheme val="minor"/>
    </font>
    <font>
      <sz val="11"/>
      <color theme="1"/>
      <name val="Cambria"/>
      <family val="2"/>
      <scheme val="minor"/>
    </font>
    <font>
      <sz val="11"/>
      <color theme="1"/>
      <name val="Cambria"/>
      <family val="2"/>
      <scheme val="minor"/>
    </font>
    <font>
      <sz val="11"/>
      <color theme="1"/>
      <name val="Cambria"/>
      <family val="2"/>
      <scheme val="minor"/>
    </font>
    <font>
      <sz val="11"/>
      <color theme="1"/>
      <name val="Cambria"/>
      <family val="2"/>
      <scheme val="minor"/>
    </font>
    <font>
      <sz val="16"/>
      <color theme="1" tint="0.24994659260841701"/>
      <name val="Tahoma"/>
      <family val="2"/>
      <scheme val="major"/>
    </font>
    <font>
      <sz val="11"/>
      <color rgb="FF3F3F3F"/>
      <name val="Cambria"/>
      <family val="2"/>
      <scheme val="minor"/>
    </font>
    <font>
      <sz val="28"/>
      <color theme="1" tint="0.499984740745262"/>
      <name val="Tahoma"/>
      <family val="2"/>
      <scheme val="major"/>
    </font>
    <font>
      <sz val="11"/>
      <color theme="3"/>
      <name val="Tahoma"/>
      <family val="2"/>
      <scheme val="major"/>
    </font>
    <font>
      <sz val="11"/>
      <color theme="1" tint="0.14996795556505021"/>
      <name val="Cambria"/>
      <family val="2"/>
      <scheme val="minor"/>
    </font>
    <font>
      <b/>
      <sz val="11"/>
      <color theme="1"/>
      <name val="Cambria"/>
      <family val="2"/>
      <scheme val="minor"/>
    </font>
    <font>
      <b/>
      <i/>
      <sz val="11"/>
      <color theme="1" tint="0.14993743705557422"/>
      <name val="Cambria"/>
      <family val="2"/>
      <scheme val="minor"/>
    </font>
    <font>
      <sz val="11"/>
      <name val="Cambria"/>
      <family val="2"/>
      <scheme val="minor"/>
    </font>
    <font>
      <sz val="11"/>
      <color theme="1" tint="0.24994659260841701"/>
      <name val="Cambria"/>
      <family val="1"/>
      <scheme val="minor"/>
    </font>
    <font>
      <sz val="48"/>
      <color theme="1"/>
      <name val="Cambria"/>
      <family val="2"/>
      <scheme val="minor"/>
    </font>
    <font>
      <sz val="14"/>
      <color theme="1"/>
      <name val="Cambria"/>
      <family val="2"/>
      <scheme val="minor"/>
    </font>
    <font>
      <sz val="12"/>
      <color theme="1"/>
      <name val="Cambria"/>
      <family val="2"/>
      <scheme val="minor"/>
    </font>
    <font>
      <sz val="12"/>
      <color theme="1" tint="0.14999847407452621"/>
      <name val="Cambria"/>
      <family val="2"/>
      <scheme val="minor"/>
    </font>
    <font>
      <sz val="10"/>
      <color theme="1" tint="0.14999847407452621"/>
      <name val="Cambria"/>
      <family val="2"/>
      <scheme val="minor"/>
    </font>
    <font>
      <sz val="10"/>
      <name val="Arial"/>
      <family val="2"/>
    </font>
    <font>
      <sz val="24"/>
      <color theme="1"/>
      <name val="Cambria"/>
      <family val="2"/>
      <scheme val="minor"/>
    </font>
    <font>
      <sz val="12"/>
      <name val="Cambria"/>
      <family val="2"/>
      <scheme val="minor"/>
    </font>
    <font>
      <sz val="12"/>
      <color rgb="FFFF0000"/>
      <name val="Cambria"/>
      <family val="2"/>
      <scheme val="minor"/>
    </font>
    <font>
      <sz val="16"/>
      <color theme="1"/>
      <name val="Cambria"/>
      <family val="2"/>
      <scheme val="minor"/>
    </font>
    <font>
      <b/>
      <sz val="12"/>
      <color theme="1"/>
      <name val="Cambria"/>
      <family val="2"/>
      <scheme val="minor"/>
    </font>
    <font>
      <sz val="26"/>
      <color theme="1"/>
      <name val="Cambria"/>
      <family val="2"/>
      <scheme val="minor"/>
    </font>
    <font>
      <sz val="18"/>
      <color theme="1" tint="0.14999847407452621"/>
      <name val="Cambria"/>
      <family val="2"/>
      <scheme val="minor"/>
    </font>
    <font>
      <sz val="10"/>
      <color rgb="FF000000"/>
      <name val="Arial"/>
      <family val="2"/>
    </font>
    <font>
      <sz val="11"/>
      <color rgb="FF000000"/>
      <name val="Arial"/>
      <family val="2"/>
    </font>
    <font>
      <sz val="11"/>
      <color indexed="8"/>
      <name val="Arial"/>
      <family val="2"/>
    </font>
    <font>
      <u/>
      <sz val="11"/>
      <color theme="10"/>
      <name val="Cambria"/>
      <family val="2"/>
      <scheme val="minor"/>
    </font>
    <font>
      <sz val="11"/>
      <color theme="3"/>
      <name val="Cambria"/>
      <family val="2"/>
      <scheme val="minor"/>
    </font>
    <font>
      <sz val="11"/>
      <name val="Arial"/>
      <family val="2"/>
    </font>
    <font>
      <b/>
      <sz val="16"/>
      <name val="Bahnschrift"/>
      <family val="2"/>
    </font>
    <font>
      <sz val="11"/>
      <color theme="1"/>
      <name val="Bahnschrift"/>
      <family val="2"/>
    </font>
    <font>
      <b/>
      <sz val="11"/>
      <color theme="1"/>
      <name val="Bahnschrift"/>
      <family val="2"/>
    </font>
    <font>
      <i/>
      <sz val="11"/>
      <color rgb="FFFF0000"/>
      <name val="Arial"/>
      <family val="2"/>
    </font>
    <font>
      <sz val="9"/>
      <color theme="1"/>
      <name val="Bahnschrift"/>
      <family val="2"/>
    </font>
    <font>
      <b/>
      <i/>
      <sz val="11"/>
      <color theme="1"/>
      <name val="Arial"/>
      <family val="2"/>
    </font>
    <font>
      <b/>
      <i/>
      <sz val="11"/>
      <color rgb="FFFF0000"/>
      <name val="Arial"/>
      <family val="2"/>
    </font>
    <font>
      <i/>
      <sz val="10"/>
      <color rgb="FFFF0000"/>
      <name val="Arial"/>
      <family val="2"/>
    </font>
    <font>
      <i/>
      <sz val="9"/>
      <color rgb="FFFF0000"/>
      <name val="Arial"/>
      <family val="2"/>
    </font>
    <font>
      <i/>
      <sz val="10"/>
      <color theme="1"/>
      <name val="Arial"/>
      <family val="2"/>
    </font>
    <font>
      <sz val="8"/>
      <color theme="1"/>
      <name val="Bahnschrift"/>
      <family val="2"/>
    </font>
    <font>
      <b/>
      <sz val="16"/>
      <color theme="1"/>
      <name val="Bahnschrift"/>
      <family val="2"/>
    </font>
    <font>
      <b/>
      <sz val="11"/>
      <color theme="3"/>
      <name val="Cambria"/>
      <family val="2"/>
      <scheme val="minor"/>
    </font>
    <font>
      <sz val="16"/>
      <color theme="3"/>
      <name val="Cambria"/>
      <family val="2"/>
      <scheme val="minor"/>
    </font>
    <font>
      <b/>
      <sz val="28"/>
      <name val="Bahnschrift"/>
      <family val="2"/>
    </font>
    <font>
      <sz val="8"/>
      <color theme="0"/>
      <name val="Bahnschrift"/>
      <family val="2"/>
    </font>
    <font>
      <sz val="11"/>
      <color theme="0"/>
      <name val="Bahnschrift"/>
      <family val="2"/>
    </font>
    <font>
      <b/>
      <sz val="11"/>
      <color theme="0"/>
      <name val="Bahnschrift"/>
      <family val="2"/>
    </font>
    <font>
      <sz val="11"/>
      <color theme="3"/>
      <name val="Bahnschrift"/>
      <family val="2"/>
    </font>
    <font>
      <sz val="10"/>
      <name val="Bahnschrift"/>
      <family val="2"/>
    </font>
    <font>
      <b/>
      <sz val="10"/>
      <name val="Bahnschrift"/>
      <family val="2"/>
    </font>
    <font>
      <b/>
      <sz val="26"/>
      <name val="Bahnschrift"/>
      <family val="2"/>
    </font>
    <font>
      <b/>
      <sz val="11"/>
      <name val="Bahnschrift"/>
      <family val="2"/>
    </font>
    <font>
      <b/>
      <sz val="14"/>
      <name val="Bahnschrift"/>
      <family val="2"/>
    </font>
    <font>
      <sz val="11"/>
      <name val="Bahnschrift"/>
      <family val="2"/>
    </font>
    <font>
      <sz val="14"/>
      <name val="Bahnschrift"/>
      <family val="2"/>
    </font>
    <font>
      <b/>
      <sz val="14"/>
      <name val="Bahnschrift SemiCondensed"/>
      <family val="2"/>
    </font>
    <font>
      <b/>
      <i/>
      <sz val="10"/>
      <color rgb="FFFF0000"/>
      <name val="Arial"/>
      <family val="2"/>
    </font>
    <font>
      <i/>
      <sz val="11"/>
      <color theme="4"/>
      <name val="Cambria"/>
      <family val="1"/>
      <scheme val="minor"/>
    </font>
    <font>
      <sz val="11"/>
      <color rgb="FFFF0000"/>
      <name val="Bahnschrift"/>
      <family val="2"/>
    </font>
    <font>
      <i/>
      <sz val="11"/>
      <color theme="8"/>
      <name val="Bahnschrift"/>
      <family val="2"/>
    </font>
    <font>
      <i/>
      <sz val="11"/>
      <color rgb="FFFF0000"/>
      <name val="Bahnschrift"/>
      <family val="2"/>
    </font>
    <font>
      <b/>
      <sz val="8"/>
      <name val="Bahnschrift"/>
      <family val="2"/>
    </font>
    <font>
      <b/>
      <i/>
      <sz val="16"/>
      <color theme="1"/>
      <name val="Bahnschrift"/>
      <family val="2"/>
    </font>
    <font>
      <b/>
      <sz val="14"/>
      <color rgb="FFFF0000"/>
      <name val="Bahnschrift"/>
      <family val="2"/>
    </font>
    <font>
      <b/>
      <sz val="14"/>
      <color rgb="FFFF0000"/>
      <name val="Cambria"/>
      <family val="2"/>
      <scheme val="minor"/>
    </font>
    <font>
      <sz val="9"/>
      <color indexed="81"/>
      <name val="Tahoma"/>
      <charset val="1"/>
    </font>
    <font>
      <b/>
      <sz val="9"/>
      <color indexed="81"/>
      <name val="Tahoma"/>
      <charset val="1"/>
    </font>
    <font>
      <b/>
      <i/>
      <sz val="16"/>
      <color theme="1"/>
      <name val="Bahnschrift"/>
    </font>
    <font>
      <b/>
      <sz val="10"/>
      <name val="Bahnschrift"/>
    </font>
    <font>
      <b/>
      <sz val="11"/>
      <name val="Bahnschrift"/>
    </font>
  </fonts>
  <fills count="26">
    <fill>
      <patternFill patternType="none"/>
    </fill>
    <fill>
      <patternFill patternType="gray125"/>
    </fill>
    <fill>
      <patternFill patternType="solid">
        <fgColor theme="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indexed="9"/>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7" tint="0.39997558519241921"/>
        <bgColor indexed="64"/>
      </patternFill>
    </fill>
    <fill>
      <patternFill patternType="lightUp"/>
    </fill>
    <fill>
      <patternFill patternType="solid">
        <fgColor theme="2" tint="-9.9978637043366805E-2"/>
        <bgColor indexed="64"/>
      </patternFill>
    </fill>
    <fill>
      <patternFill patternType="solid">
        <fgColor rgb="FFFFFF00"/>
        <bgColor indexed="64"/>
      </patternFill>
    </fill>
    <fill>
      <patternFill patternType="solid">
        <fgColor rgb="FFCCCCFF"/>
        <bgColor indexed="64"/>
      </patternFill>
    </fill>
    <fill>
      <patternFill patternType="solid">
        <fgColor rgb="FFFFC000"/>
        <bgColor indexed="64"/>
      </patternFill>
    </fill>
    <fill>
      <patternFill patternType="solid">
        <fgColor theme="7" tint="0.59999389629810485"/>
        <bgColor indexed="64"/>
      </patternFill>
    </fill>
    <fill>
      <patternFill patternType="solid">
        <fgColor theme="7"/>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1"/>
        <bgColor indexed="64"/>
      </patternFill>
    </fill>
    <fill>
      <patternFill patternType="lightUp">
        <bgColor theme="7"/>
      </patternFill>
    </fill>
    <fill>
      <patternFill patternType="solid">
        <fgColor theme="1" tint="0.499984740745262"/>
        <bgColor indexed="64"/>
      </patternFill>
    </fill>
    <fill>
      <patternFill patternType="solid">
        <fgColor theme="4" tint="0.79998168889431442"/>
        <bgColor indexed="64"/>
      </patternFill>
    </fill>
    <fill>
      <patternFill patternType="solid">
        <fgColor theme="2" tint="-0.249977111117893"/>
        <bgColor indexed="64"/>
      </patternFill>
    </fill>
  </fills>
  <borders count="68">
    <border>
      <left/>
      <right/>
      <top/>
      <bottom/>
      <diagonal/>
    </border>
    <border>
      <left/>
      <right/>
      <top/>
      <bottom style="thin">
        <color theme="1"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indexed="64"/>
      </right>
      <top/>
      <bottom/>
      <diagonal/>
    </border>
    <border>
      <left/>
      <right style="thin">
        <color theme="0" tint="-0.34998626667073579"/>
      </right>
      <top/>
      <bottom/>
      <diagonal/>
    </border>
    <border>
      <left/>
      <right style="thin">
        <color indexed="64"/>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theme="0" tint="-0.34998626667073579"/>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rgb="FFFF0000"/>
      </left>
      <right style="medium">
        <color rgb="FFFF0000"/>
      </right>
      <top style="medium">
        <color rgb="FFFF0000"/>
      </top>
      <bottom style="medium">
        <color rgb="FFFF0000"/>
      </bottom>
      <diagonal/>
    </border>
    <border>
      <left style="medium">
        <color rgb="FFFF0000"/>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thin">
        <color indexed="64"/>
      </bottom>
      <diagonal/>
    </border>
    <border>
      <left style="thin">
        <color indexed="64"/>
      </left>
      <right style="medium">
        <color rgb="FFFF0000"/>
      </right>
      <top style="thin">
        <color indexed="64"/>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left style="thin">
        <color indexed="64"/>
      </left>
      <right style="medium">
        <color rgb="FFFF0000"/>
      </right>
      <top style="thin">
        <color indexed="64"/>
      </top>
      <bottom/>
      <diagonal/>
    </border>
    <border>
      <left style="thin">
        <color indexed="64"/>
      </left>
      <right style="thin">
        <color indexed="64"/>
      </right>
      <top style="medium">
        <color rgb="FFFF0000"/>
      </top>
      <bottom style="thin">
        <color indexed="64"/>
      </bottom>
      <diagonal/>
    </border>
    <border>
      <left style="thin">
        <color indexed="64"/>
      </left>
      <right style="thin">
        <color indexed="64"/>
      </right>
      <top style="thin">
        <color indexed="64"/>
      </top>
      <bottom style="medium">
        <color rgb="FFFF0000"/>
      </bottom>
      <diagonal/>
    </border>
    <border>
      <left style="medium">
        <color rgb="FFFF0000"/>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s>
  <cellStyleXfs count="28">
    <xf numFmtId="0" fontId="0" fillId="0" borderId="0">
      <alignment vertical="center" wrapText="1"/>
    </xf>
    <xf numFmtId="0" fontId="5" fillId="0" borderId="0" applyNumberFormat="0" applyFill="0" applyBorder="0" applyProtection="0"/>
    <xf numFmtId="0" fontId="8" fillId="0" borderId="0" applyNumberFormat="0" applyFill="0" applyBorder="0" applyProtection="0">
      <alignment wrapText="1"/>
    </xf>
    <xf numFmtId="0" fontId="8" fillId="0" borderId="0" applyNumberFormat="0" applyFill="0" applyBorder="0" applyProtection="0">
      <alignment vertical="top" wrapText="1"/>
    </xf>
    <xf numFmtId="0" fontId="6" fillId="0" borderId="1" applyNumberFormat="0" applyProtection="0">
      <alignment vertical="center"/>
    </xf>
    <xf numFmtId="0" fontId="13" fillId="0" borderId="1" applyNumberFormat="0" applyFill="0" applyProtection="0">
      <alignment vertical="center"/>
    </xf>
    <xf numFmtId="37" fontId="9" fillId="0" borderId="0" applyFont="0" applyFill="0" applyBorder="0" applyProtection="0">
      <alignment horizontal="left" vertical="top"/>
    </xf>
    <xf numFmtId="7" fontId="12" fillId="0" borderId="0" applyFont="0" applyFill="0" applyBorder="0" applyAlignment="0" applyProtection="0"/>
    <xf numFmtId="10" fontId="9" fillId="0" borderId="0" applyFont="0" applyFill="0" applyBorder="0" applyAlignment="0" applyProtection="0"/>
    <xf numFmtId="0" fontId="7" fillId="0" borderId="0" applyNumberFormat="0" applyFill="0" applyProtection="0">
      <alignment horizontal="right" vertical="center"/>
    </xf>
    <xf numFmtId="0" fontId="11" fillId="0" borderId="0" applyNumberFormat="0" applyProtection="0">
      <alignment vertical="center" wrapText="1"/>
    </xf>
    <xf numFmtId="0" fontId="8" fillId="0" borderId="0" applyNumberFormat="0" applyFill="0" applyBorder="0" applyProtection="0">
      <alignment vertical="top"/>
    </xf>
    <xf numFmtId="0" fontId="10" fillId="2" borderId="1" applyNumberFormat="0" applyAlignment="0" applyProtection="0"/>
    <xf numFmtId="14" fontId="8" fillId="0" borderId="0" applyFont="0" applyFill="0" applyBorder="0"/>
    <xf numFmtId="164" fontId="8" fillId="0" borderId="0" applyFill="0" applyBorder="0">
      <alignment horizontal="left" vertical="top" wrapText="1"/>
    </xf>
    <xf numFmtId="166" fontId="19" fillId="0" borderId="0" applyFont="0" applyFill="0" applyBorder="0" applyAlignment="0" applyProtection="0"/>
    <xf numFmtId="0" fontId="4" fillId="0" borderId="0"/>
    <xf numFmtId="0" fontId="27" fillId="0" borderId="0" applyNumberFormat="0" applyBorder="0" applyProtection="0"/>
    <xf numFmtId="0" fontId="28" fillId="0" borderId="0"/>
    <xf numFmtId="0" fontId="29" fillId="0" borderId="0"/>
    <xf numFmtId="0" fontId="19" fillId="0" borderId="0"/>
    <xf numFmtId="0" fontId="19" fillId="0" borderId="0"/>
    <xf numFmtId="0" fontId="31" fillId="0" borderId="0">
      <alignment vertical="center" wrapText="1"/>
    </xf>
    <xf numFmtId="0" fontId="3" fillId="0" borderId="0"/>
    <xf numFmtId="0" fontId="30" fillId="0" borderId="0" applyNumberFormat="0" applyFill="0" applyBorder="0" applyAlignment="0" applyProtection="0"/>
    <xf numFmtId="0" fontId="3" fillId="0" borderId="0"/>
    <xf numFmtId="0" fontId="2" fillId="0" borderId="0"/>
    <xf numFmtId="0" fontId="1" fillId="0" borderId="0"/>
  </cellStyleXfs>
  <cellXfs count="359">
    <xf numFmtId="0" fontId="0" fillId="0" borderId="0" xfId="0">
      <alignment vertical="center" wrapText="1"/>
    </xf>
    <xf numFmtId="0" fontId="14" fillId="0" borderId="0" xfId="0" applyFont="1" applyAlignment="1"/>
    <xf numFmtId="0" fontId="0" fillId="0" borderId="0" xfId="0" applyAlignment="1"/>
    <xf numFmtId="0" fontId="18" fillId="0" borderId="0" xfId="0" applyFont="1" applyAlignment="1"/>
    <xf numFmtId="0" fontId="0" fillId="0" borderId="0" xfId="0" applyAlignment="1">
      <alignment horizontal="center" vertical="center"/>
    </xf>
    <xf numFmtId="0" fontId="16" fillId="0" borderId="2" xfId="0" applyFont="1" applyBorder="1" applyAlignment="1"/>
    <xf numFmtId="0" fontId="21" fillId="0" borderId="2" xfId="0" applyFont="1" applyBorder="1" applyAlignment="1">
      <alignment horizontal="center" vertical="center"/>
    </xf>
    <xf numFmtId="0" fontId="16" fillId="0" borderId="2" xfId="0" applyFont="1" applyBorder="1" applyAlignment="1">
      <alignment horizontal="center"/>
    </xf>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6" fillId="3" borderId="11" xfId="0" applyFont="1" applyFill="1" applyBorder="1" applyAlignment="1"/>
    <xf numFmtId="0" fontId="16" fillId="3" borderId="12" xfId="0" applyFont="1" applyFill="1" applyBorder="1" applyAlignment="1"/>
    <xf numFmtId="0" fontId="16" fillId="3" borderId="12" xfId="0" applyFont="1" applyFill="1" applyBorder="1" applyAlignment="1">
      <alignment horizontal="center" vertical="center"/>
    </xf>
    <xf numFmtId="0" fontId="16" fillId="3" borderId="13" xfId="0" applyFont="1" applyFill="1" applyBorder="1" applyAlignment="1"/>
    <xf numFmtId="0" fontId="16" fillId="3" borderId="9" xfId="0" applyFont="1" applyFill="1" applyBorder="1" applyAlignment="1"/>
    <xf numFmtId="0" fontId="16" fillId="3" borderId="8" xfId="0" applyFont="1" applyFill="1" applyBorder="1" applyAlignment="1"/>
    <xf numFmtId="0" fontId="16" fillId="3" borderId="8" xfId="0" applyFont="1" applyFill="1" applyBorder="1" applyAlignment="1">
      <alignment horizontal="center" vertical="center"/>
    </xf>
    <xf numFmtId="0" fontId="16" fillId="3" borderId="7" xfId="0" applyFont="1" applyFill="1" applyBorder="1" applyAlignment="1"/>
    <xf numFmtId="0" fontId="24" fillId="0" borderId="2" xfId="0" applyFont="1" applyBorder="1" applyAlignment="1"/>
    <xf numFmtId="0" fontId="24" fillId="0" borderId="2" xfId="0" applyFont="1" applyBorder="1" applyAlignment="1">
      <alignment horizontal="left"/>
    </xf>
    <xf numFmtId="0" fontId="24" fillId="5" borderId="2" xfId="0" applyFont="1" applyFill="1" applyBorder="1" applyAlignment="1"/>
    <xf numFmtId="0" fontId="16" fillId="0" borderId="2" xfId="0" applyFont="1" applyBorder="1" applyAlignment="1">
      <alignment horizontal="left"/>
    </xf>
    <xf numFmtId="0" fontId="17" fillId="5" borderId="2" xfId="0" applyFont="1" applyFill="1" applyBorder="1" applyAlignment="1">
      <alignment horizontal="left" vertical="center"/>
    </xf>
    <xf numFmtId="0" fontId="17" fillId="0" borderId="2" xfId="0" applyFont="1" applyBorder="1" applyAlignment="1">
      <alignment vertical="center"/>
    </xf>
    <xf numFmtId="0" fontId="17" fillId="3" borderId="5" xfId="0" applyFont="1" applyFill="1" applyBorder="1" applyAlignment="1">
      <alignment horizontal="center" wrapText="1"/>
    </xf>
    <xf numFmtId="0" fontId="16" fillId="3" borderId="0" xfId="0" applyFont="1" applyFill="1" applyAlignment="1"/>
    <xf numFmtId="0" fontId="16" fillId="3" borderId="0" xfId="0" applyFont="1" applyFill="1" applyAlignment="1">
      <alignment horizontal="center" vertical="center"/>
    </xf>
    <xf numFmtId="0" fontId="16" fillId="3" borderId="10" xfId="0" applyFont="1" applyFill="1" applyBorder="1" applyAlignment="1"/>
    <xf numFmtId="0" fontId="16" fillId="3" borderId="0" xfId="0" applyFont="1" applyFill="1" applyAlignment="1">
      <alignment vertical="center" textRotation="90" wrapText="1"/>
    </xf>
    <xf numFmtId="0" fontId="17" fillId="0" borderId="2" xfId="0" applyFont="1" applyBorder="1" applyAlignment="1">
      <alignment horizontal="left" vertical="center"/>
    </xf>
    <xf numFmtId="0" fontId="24" fillId="0" borderId="10" xfId="0" applyFont="1" applyBorder="1" applyAlignment="1"/>
    <xf numFmtId="0" fontId="16" fillId="0" borderId="15" xfId="0" applyFont="1" applyBorder="1" applyAlignment="1">
      <alignment horizontal="center" vertical="center"/>
    </xf>
    <xf numFmtId="0" fontId="17" fillId="0" borderId="6" xfId="0" applyFont="1" applyBorder="1" applyAlignment="1">
      <alignment horizontal="left" vertical="center"/>
    </xf>
    <xf numFmtId="0" fontId="16" fillId="0" borderId="16" xfId="0" applyFont="1" applyBorder="1" applyAlignment="1">
      <alignment horizontal="center" vertical="center"/>
    </xf>
    <xf numFmtId="0" fontId="17" fillId="0" borderId="5" xfId="0" applyFont="1" applyBorder="1" applyAlignment="1">
      <alignment horizontal="center" wrapText="1"/>
    </xf>
    <xf numFmtId="0" fontId="16" fillId="0" borderId="0" xfId="0" applyFont="1" applyAlignment="1"/>
    <xf numFmtId="0" fontId="16" fillId="0" borderId="5" xfId="0" applyFont="1" applyBorder="1" applyAlignment="1"/>
    <xf numFmtId="0" fontId="16" fillId="3" borderId="5" xfId="0" applyFont="1" applyFill="1" applyBorder="1" applyAlignment="1"/>
    <xf numFmtId="2" fontId="17" fillId="6" borderId="2" xfId="0" applyNumberFormat="1" applyFont="1" applyFill="1" applyBorder="1" applyAlignment="1">
      <alignment horizontal="left" vertical="center"/>
    </xf>
    <xf numFmtId="0" fontId="17" fillId="0" borderId="2" xfId="0" applyFont="1" applyBorder="1" applyAlignment="1">
      <alignment horizontal="center" wrapText="1"/>
    </xf>
    <xf numFmtId="0" fontId="16" fillId="5" borderId="2" xfId="0" applyFont="1" applyFill="1" applyBorder="1" applyAlignment="1">
      <alignment horizontal="center"/>
    </xf>
    <xf numFmtId="49" fontId="17" fillId="3" borderId="2" xfId="0" applyNumberFormat="1" applyFont="1" applyFill="1" applyBorder="1" applyAlignment="1">
      <alignment horizontal="center" vertical="center"/>
    </xf>
    <xf numFmtId="0" fontId="22" fillId="0" borderId="2" xfId="0" applyFont="1" applyBorder="1" applyAlignment="1">
      <alignment horizontal="center" vertical="center"/>
    </xf>
    <xf numFmtId="0" fontId="16" fillId="5" borderId="2" xfId="0" applyFont="1" applyFill="1" applyBorder="1" applyAlignment="1"/>
    <xf numFmtId="0" fontId="23" fillId="0" borderId="2" xfId="0" applyFont="1" applyBorder="1" applyAlignment="1">
      <alignment horizontal="center"/>
    </xf>
    <xf numFmtId="0" fontId="15" fillId="0" borderId="2" xfId="0" applyFont="1" applyBorder="1" applyAlignment="1"/>
    <xf numFmtId="0" fontId="0" fillId="3" borderId="2" xfId="0" applyFill="1" applyBorder="1" applyAlignment="1"/>
    <xf numFmtId="0" fontId="15" fillId="3" borderId="2" xfId="0" applyFont="1" applyFill="1" applyBorder="1" applyAlignment="1"/>
    <xf numFmtId="0" fontId="15" fillId="0" borderId="3" xfId="0" applyFont="1" applyBorder="1" applyAlignment="1"/>
    <xf numFmtId="0" fontId="21" fillId="4" borderId="2" xfId="0" applyFont="1" applyFill="1" applyBorder="1" applyAlignment="1">
      <alignment horizontal="center" vertical="center"/>
    </xf>
    <xf numFmtId="165" fontId="26" fillId="0" borderId="2" xfId="0" applyNumberFormat="1" applyFont="1" applyBorder="1" applyAlignment="1">
      <alignment wrapText="1"/>
    </xf>
    <xf numFmtId="0" fontId="21" fillId="7" borderId="2" xfId="0" applyFont="1" applyFill="1" applyBorder="1" applyAlignment="1">
      <alignment horizontal="center" vertical="center"/>
    </xf>
    <xf numFmtId="0" fontId="16" fillId="5" borderId="6" xfId="0" applyFont="1" applyFill="1" applyBorder="1" applyAlignment="1"/>
    <xf numFmtId="0" fontId="17" fillId="4" borderId="2" xfId="0" applyFont="1" applyFill="1" applyBorder="1" applyAlignment="1">
      <alignment horizontal="center" vertical="center"/>
    </xf>
    <xf numFmtId="0" fontId="16" fillId="4" borderId="16" xfId="0" applyFont="1" applyFill="1" applyBorder="1" applyAlignment="1">
      <alignment horizontal="center" vertical="center"/>
    </xf>
    <xf numFmtId="0" fontId="16" fillId="4" borderId="15" xfId="0" applyFont="1" applyFill="1" applyBorder="1" applyAlignment="1">
      <alignment horizontal="center" vertical="center"/>
    </xf>
    <xf numFmtId="0" fontId="16" fillId="4" borderId="2" xfId="0" applyFont="1" applyFill="1" applyBorder="1" applyAlignment="1">
      <alignment horizontal="center"/>
    </xf>
    <xf numFmtId="0" fontId="16" fillId="4" borderId="2" xfId="0" applyFont="1" applyFill="1" applyBorder="1" applyAlignment="1">
      <alignment horizontal="center" vertical="center"/>
    </xf>
    <xf numFmtId="0" fontId="16" fillId="4" borderId="14" xfId="0" applyFont="1" applyFill="1" applyBorder="1" applyAlignment="1">
      <alignment horizontal="center" vertical="center"/>
    </xf>
    <xf numFmtId="0" fontId="16" fillId="4" borderId="0" xfId="0" applyFont="1" applyFill="1" applyAlignment="1"/>
    <xf numFmtId="0" fontId="16" fillId="4" borderId="0" xfId="0" applyFont="1" applyFill="1" applyAlignment="1">
      <alignment horizontal="center" vertical="center"/>
    </xf>
    <xf numFmtId="0" fontId="14" fillId="0" borderId="12" xfId="0" applyFont="1" applyBorder="1" applyAlignment="1"/>
    <xf numFmtId="0" fontId="14" fillId="0" borderId="18" xfId="0" applyFont="1" applyBorder="1" applyAlignment="1"/>
    <xf numFmtId="0" fontId="16" fillId="0" borderId="21" xfId="0" applyFont="1" applyBorder="1" applyAlignment="1"/>
    <xf numFmtId="0" fontId="16" fillId="5" borderId="21" xfId="0" applyFont="1" applyFill="1" applyBorder="1" applyAlignment="1"/>
    <xf numFmtId="0" fontId="17" fillId="3" borderId="22" xfId="0" applyFont="1" applyFill="1" applyBorder="1" applyAlignment="1">
      <alignment horizontal="center" wrapText="1"/>
    </xf>
    <xf numFmtId="0" fontId="17" fillId="5" borderId="21" xfId="0" applyFont="1" applyFill="1" applyBorder="1" applyAlignment="1">
      <alignment horizontal="right" wrapText="1"/>
    </xf>
    <xf numFmtId="0" fontId="17" fillId="5" borderId="21" xfId="0" applyFont="1" applyFill="1" applyBorder="1" applyAlignment="1">
      <alignment horizontal="right" vertical="center"/>
    </xf>
    <xf numFmtId="0" fontId="17" fillId="0" borderId="21" xfId="0" applyFont="1" applyBorder="1" applyAlignment="1">
      <alignment horizontal="center" vertical="center"/>
    </xf>
    <xf numFmtId="0" fontId="17" fillId="3" borderId="23" xfId="0" applyFont="1" applyFill="1" applyBorder="1" applyAlignment="1">
      <alignment horizontal="center" wrapText="1"/>
    </xf>
    <xf numFmtId="0" fontId="17" fillId="6" borderId="21" xfId="0" applyFont="1" applyFill="1" applyBorder="1" applyAlignment="1">
      <alignment horizontal="center" vertical="center"/>
    </xf>
    <xf numFmtId="49" fontId="16" fillId="5" borderId="3" xfId="0" applyNumberFormat="1" applyFont="1" applyFill="1" applyBorder="1" applyAlignment="1">
      <alignment horizontal="center"/>
    </xf>
    <xf numFmtId="49" fontId="17" fillId="0" borderId="3" xfId="0" applyNumberFormat="1" applyFont="1" applyBorder="1" applyAlignment="1">
      <alignment horizontal="center" vertical="center"/>
    </xf>
    <xf numFmtId="0" fontId="12" fillId="3" borderId="3" xfId="0" applyFont="1" applyFill="1" applyBorder="1" applyAlignment="1">
      <alignment horizontal="center"/>
    </xf>
    <xf numFmtId="49" fontId="17" fillId="6" borderId="3" xfId="0" applyNumberFormat="1" applyFont="1" applyFill="1" applyBorder="1" applyAlignment="1">
      <alignment horizontal="center" vertical="center"/>
    </xf>
    <xf numFmtId="0" fontId="12" fillId="3" borderId="3" xfId="0" applyFont="1" applyFill="1" applyBorder="1" applyAlignment="1">
      <alignment horizontal="center" vertical="center"/>
    </xf>
    <xf numFmtId="0" fontId="12" fillId="3" borderId="0" xfId="0" applyFont="1" applyFill="1" applyAlignment="1">
      <alignment horizontal="center" vertical="center"/>
    </xf>
    <xf numFmtId="15" fontId="12" fillId="0" borderId="0" xfId="0" applyNumberFormat="1" applyFont="1" applyAlignment="1"/>
    <xf numFmtId="0" fontId="0" fillId="0" borderId="24" xfId="0" applyBorder="1">
      <alignment vertical="center" wrapText="1"/>
    </xf>
    <xf numFmtId="0" fontId="17" fillId="0" borderId="0" xfId="0" applyFont="1" applyAlignment="1">
      <alignment horizontal="center" wrapText="1"/>
    </xf>
    <xf numFmtId="0" fontId="17" fillId="0" borderId="0" xfId="0" applyFont="1" applyAlignment="1">
      <alignment horizontal="right" wrapText="1"/>
    </xf>
    <xf numFmtId="0" fontId="17" fillId="0" borderId="0" xfId="0" applyFont="1" applyAlignment="1">
      <alignment horizontal="right" vertical="center"/>
    </xf>
    <xf numFmtId="0" fontId="17" fillId="0" borderId="0" xfId="0" applyFont="1" applyAlignment="1">
      <alignment horizontal="center" vertical="center"/>
    </xf>
    <xf numFmtId="0" fontId="24" fillId="0" borderId="0" xfId="0" applyFont="1" applyAlignment="1"/>
    <xf numFmtId="2" fontId="17" fillId="3" borderId="3" xfId="0" applyNumberFormat="1" applyFont="1" applyFill="1" applyBorder="1" applyAlignment="1">
      <alignment horizontal="left" vertical="center"/>
    </xf>
    <xf numFmtId="0" fontId="17" fillId="3" borderId="2" xfId="0" applyFont="1" applyFill="1" applyBorder="1" applyAlignment="1">
      <alignment horizontal="center" vertical="center"/>
    </xf>
    <xf numFmtId="2" fontId="17" fillId="3" borderId="2" xfId="0" applyNumberFormat="1" applyFont="1" applyFill="1" applyBorder="1" applyAlignment="1">
      <alignment horizontal="left" vertical="center"/>
    </xf>
    <xf numFmtId="0" fontId="17" fillId="3" borderId="21" xfId="0" applyFont="1" applyFill="1" applyBorder="1" applyAlignment="1">
      <alignment horizontal="center" vertical="center"/>
    </xf>
    <xf numFmtId="49" fontId="33" fillId="0" borderId="0" xfId="17" applyNumberFormat="1" applyFont="1" applyAlignment="1" applyProtection="1">
      <alignment horizontal="left" vertical="center"/>
      <protection locked="0"/>
    </xf>
    <xf numFmtId="0" fontId="34" fillId="0" borderId="24" xfId="0" applyFont="1" applyBorder="1" applyAlignment="1">
      <alignment horizontal="center" vertical="center"/>
    </xf>
    <xf numFmtId="0" fontId="32" fillId="0" borderId="0" xfId="0" applyFont="1">
      <alignment vertical="center" wrapText="1"/>
    </xf>
    <xf numFmtId="0" fontId="35" fillId="2" borderId="0" xfId="0" applyFont="1" applyFill="1" applyAlignment="1">
      <alignment vertical="center"/>
    </xf>
    <xf numFmtId="0" fontId="32" fillId="0" borderId="24" xfId="0" applyFont="1" applyBorder="1" applyAlignment="1">
      <alignment horizontal="center" vertical="center" wrapText="1"/>
    </xf>
    <xf numFmtId="14" fontId="32" fillId="0" borderId="24" xfId="0" applyNumberFormat="1" applyFont="1" applyBorder="1" applyAlignment="1">
      <alignment horizontal="center" vertical="center" wrapText="1"/>
    </xf>
    <xf numFmtId="0" fontId="32" fillId="12" borderId="24" xfId="0" applyFont="1" applyFill="1" applyBorder="1" applyAlignment="1">
      <alignment horizontal="center" vertical="center" wrapText="1"/>
    </xf>
    <xf numFmtId="14" fontId="32" fillId="12" borderId="24" xfId="0" applyNumberFormat="1" applyFont="1" applyFill="1" applyBorder="1" applyAlignment="1">
      <alignment horizontal="center" vertical="center" wrapText="1"/>
    </xf>
    <xf numFmtId="0" fontId="34" fillId="0" borderId="24" xfId="0" quotePrefix="1" applyFont="1" applyBorder="1" applyAlignment="1">
      <alignment horizontal="center" vertical="center"/>
    </xf>
    <xf numFmtId="0" fontId="34" fillId="0" borderId="24" xfId="0" applyFont="1" applyBorder="1" applyAlignment="1">
      <alignment horizontal="center" vertical="center"/>
      <extLst>
        <ext xmlns:xfpb="http://schemas.microsoft.com/office/spreadsheetml/2022/featurepropertybag" uri="{C7286773-470A-42A8-94C5-96B5CB345126}">
          <xfpb:xfComplement i="0"/>
        </ext>
      </extLst>
    </xf>
    <xf numFmtId="0" fontId="34" fillId="2" borderId="24" xfId="0" applyFont="1" applyFill="1" applyBorder="1" applyAlignment="1">
      <alignment horizontal="center" vertical="center"/>
    </xf>
    <xf numFmtId="0" fontId="34" fillId="2" borderId="24" xfId="0" quotePrefix="1" applyFont="1" applyFill="1" applyBorder="1" applyAlignment="1">
      <alignment horizontal="center" vertical="center"/>
    </xf>
    <xf numFmtId="0" fontId="0" fillId="12" borderId="24" xfId="0" applyFill="1" applyBorder="1">
      <alignment vertical="center" wrapText="1"/>
    </xf>
    <xf numFmtId="0" fontId="34" fillId="2" borderId="24" xfId="0" quotePrefix="1" applyFont="1" applyFill="1" applyBorder="1" applyAlignment="1">
      <alignment horizontal="center" vertical="center" wrapText="1"/>
    </xf>
    <xf numFmtId="0" fontId="34" fillId="0" borderId="24" xfId="0" quotePrefix="1" applyFont="1" applyBorder="1" applyAlignment="1">
      <alignment horizontal="center" vertical="center"/>
      <extLst>
        <ext xmlns:xfpb="http://schemas.microsoft.com/office/spreadsheetml/2022/featurepropertybag" uri="{C7286773-470A-42A8-94C5-96B5CB345126}">
          <xfpb:xfComplement i="0"/>
        </ext>
      </extLst>
    </xf>
    <xf numFmtId="0" fontId="36" fillId="0" borderId="0" xfId="0" applyFont="1" applyAlignment="1">
      <alignment horizontal="center" wrapText="1"/>
    </xf>
    <xf numFmtId="0" fontId="36" fillId="0" borderId="0" xfId="0" applyFont="1" applyAlignment="1">
      <alignment horizontal="center" vertical="center" textRotation="90"/>
    </xf>
    <xf numFmtId="0" fontId="34" fillId="2" borderId="24" xfId="0" quotePrefix="1" applyFont="1" applyFill="1" applyBorder="1" applyAlignment="1">
      <alignment horizontal="center" vertical="center" textRotation="90"/>
    </xf>
    <xf numFmtId="0" fontId="34" fillId="2" borderId="24" xfId="0" quotePrefix="1" applyFont="1" applyFill="1" applyBorder="1" applyAlignment="1">
      <alignment horizontal="center" vertical="center" textRotation="90" wrapText="1"/>
    </xf>
    <xf numFmtId="0" fontId="35" fillId="2" borderId="24" xfId="0" applyFont="1" applyFill="1" applyBorder="1" applyAlignment="1">
      <alignment horizontal="center" vertical="center" textRotation="90"/>
    </xf>
    <xf numFmtId="0" fontId="34" fillId="2" borderId="24" xfId="0" applyFont="1" applyFill="1" applyBorder="1" applyAlignment="1">
      <alignment horizontal="center" vertical="center" wrapText="1"/>
    </xf>
    <xf numFmtId="14" fontId="34" fillId="0" borderId="24" xfId="0" quotePrefix="1" applyNumberFormat="1" applyFont="1" applyBorder="1" applyAlignment="1">
      <alignment horizontal="center" vertical="center"/>
    </xf>
    <xf numFmtId="0" fontId="37" fillId="2" borderId="24" xfId="0" quotePrefix="1" applyFont="1" applyFill="1" applyBorder="1" applyAlignment="1">
      <alignment horizontal="center" vertical="center" textRotation="90" wrapText="1"/>
    </xf>
    <xf numFmtId="14" fontId="34" fillId="0" borderId="24" xfId="0" applyNumberFormat="1" applyFont="1" applyBorder="1" applyAlignment="1">
      <alignment horizontal="center" vertical="center"/>
    </xf>
    <xf numFmtId="168" fontId="34" fillId="0" borderId="24" xfId="0" applyNumberFormat="1" applyFont="1" applyBorder="1" applyAlignment="1">
      <alignment horizontal="center" vertical="center"/>
    </xf>
    <xf numFmtId="0" fontId="34" fillId="2" borderId="29" xfId="0" quotePrefix="1" applyFont="1" applyFill="1" applyBorder="1" applyAlignment="1">
      <alignment horizontal="center" vertical="center" wrapText="1"/>
    </xf>
    <xf numFmtId="0" fontId="37" fillId="2" borderId="29" xfId="0" quotePrefix="1" applyFont="1" applyFill="1" applyBorder="1" applyAlignment="1">
      <alignment horizontal="center" vertical="center" textRotation="90" wrapText="1"/>
    </xf>
    <xf numFmtId="0" fontId="40" fillId="0" borderId="0" xfId="0" applyFont="1" applyAlignment="1">
      <alignment horizontal="center" wrapText="1"/>
    </xf>
    <xf numFmtId="0" fontId="36" fillId="0" borderId="0" xfId="0" applyFont="1" applyAlignment="1">
      <alignment horizontal="center"/>
    </xf>
    <xf numFmtId="0" fontId="36" fillId="0" borderId="0" xfId="0" applyFont="1" applyAlignment="1">
      <alignment horizontal="center" vertical="center" textRotation="90" wrapText="1"/>
    </xf>
    <xf numFmtId="0" fontId="42" fillId="13" borderId="30" xfId="0" applyFont="1" applyFill="1" applyBorder="1" applyAlignment="1">
      <alignment horizontal="center" wrapText="1"/>
    </xf>
    <xf numFmtId="0" fontId="42" fillId="15" borderId="32" xfId="0" applyFont="1" applyFill="1" applyBorder="1" applyAlignment="1">
      <alignment horizontal="center" vertical="center" wrapText="1"/>
    </xf>
    <xf numFmtId="0" fontId="42" fillId="19" borderId="31" xfId="0" applyFont="1" applyFill="1" applyBorder="1" applyAlignment="1">
      <alignment horizontal="center" vertical="center" wrapText="1"/>
    </xf>
    <xf numFmtId="0" fontId="42" fillId="16" borderId="31" xfId="0" applyFont="1" applyFill="1" applyBorder="1" applyAlignment="1">
      <alignment horizontal="center" vertical="center" wrapText="1"/>
    </xf>
    <xf numFmtId="0" fontId="42" fillId="10" borderId="31" xfId="0" applyFont="1" applyFill="1" applyBorder="1" applyAlignment="1">
      <alignment horizontal="center" vertical="center" wrapText="1"/>
    </xf>
    <xf numFmtId="0" fontId="42" fillId="14" borderId="31" xfId="0" applyFont="1" applyFill="1" applyBorder="1" applyAlignment="1">
      <alignment horizontal="center" vertical="center" wrapText="1"/>
    </xf>
    <xf numFmtId="0" fontId="42" fillId="20" borderId="33" xfId="0" applyFont="1" applyFill="1" applyBorder="1" applyAlignment="1">
      <alignment horizontal="center" vertical="center" wrapText="1"/>
    </xf>
    <xf numFmtId="0" fontId="43" fillId="0" borderId="24" xfId="0" applyFont="1" applyBorder="1" applyAlignment="1">
      <alignment horizontal="center" vertical="center" wrapText="1"/>
    </xf>
    <xf numFmtId="49" fontId="47" fillId="0" borderId="0" xfId="17" applyNumberFormat="1" applyFont="1" applyAlignment="1" applyProtection="1">
      <alignment horizontal="left" vertical="center"/>
      <protection locked="0"/>
    </xf>
    <xf numFmtId="0" fontId="34" fillId="0" borderId="24" xfId="22" quotePrefix="1" applyFont="1" applyBorder="1" applyAlignment="1">
      <alignment horizontal="center" vertical="center"/>
    </xf>
    <xf numFmtId="0" fontId="41" fillId="0" borderId="0" xfId="0" applyFont="1" applyAlignment="1">
      <alignment horizontal="center" vertical="center" wrapText="1"/>
    </xf>
    <xf numFmtId="0" fontId="34" fillId="5" borderId="24" xfId="0" quotePrefix="1" applyFont="1" applyFill="1" applyBorder="1" applyAlignment="1">
      <alignment horizontal="center" vertical="center"/>
    </xf>
    <xf numFmtId="0" fontId="48" fillId="21" borderId="29" xfId="0" quotePrefix="1" applyFont="1" applyFill="1" applyBorder="1" applyAlignment="1">
      <alignment horizontal="center" vertical="center"/>
    </xf>
    <xf numFmtId="0" fontId="48" fillId="21" borderId="35" xfId="0" quotePrefix="1" applyFont="1" applyFill="1" applyBorder="1" applyAlignment="1">
      <alignment horizontal="center" vertical="center"/>
    </xf>
    <xf numFmtId="2" fontId="34" fillId="0" borderId="24" xfId="0" applyNumberFormat="1" applyFont="1" applyBorder="1" applyAlignment="1">
      <alignment horizontal="center" vertical="center"/>
    </xf>
    <xf numFmtId="0" fontId="34" fillId="21" borderId="28" xfId="0" applyFont="1" applyFill="1" applyBorder="1" applyAlignment="1">
      <alignment horizontal="center" vertical="center"/>
    </xf>
    <xf numFmtId="0" fontId="48" fillId="21" borderId="24" xfId="0" applyFont="1" applyFill="1" applyBorder="1" applyAlignment="1">
      <alignment horizontal="center" vertical="center"/>
    </xf>
    <xf numFmtId="167" fontId="48" fillId="21" borderId="24" xfId="0" quotePrefix="1" applyNumberFormat="1" applyFont="1" applyFill="1" applyBorder="1" applyAlignment="1">
      <alignment horizontal="center" vertical="center"/>
    </xf>
    <xf numFmtId="0" fontId="50" fillId="21" borderId="24" xfId="0" applyFont="1" applyFill="1" applyBorder="1" applyAlignment="1">
      <alignment horizontal="center" vertical="center"/>
    </xf>
    <xf numFmtId="0" fontId="49" fillId="21" borderId="24" xfId="0" applyFont="1" applyFill="1" applyBorder="1" applyAlignment="1">
      <alignment horizontal="center" vertical="center"/>
    </xf>
    <xf numFmtId="0" fontId="48" fillId="21" borderId="24" xfId="0" quotePrefix="1" applyFont="1" applyFill="1" applyBorder="1" applyAlignment="1">
      <alignment horizontal="center" vertical="center"/>
    </xf>
    <xf numFmtId="0" fontId="34" fillId="21" borderId="24" xfId="0" applyFont="1" applyFill="1" applyBorder="1" applyAlignment="1">
      <alignment horizontal="center" vertical="center"/>
    </xf>
    <xf numFmtId="0" fontId="51" fillId="0" borderId="0" xfId="0" applyFont="1">
      <alignment vertical="center" wrapText="1"/>
    </xf>
    <xf numFmtId="0" fontId="51" fillId="18" borderId="0" xfId="0" applyFont="1" applyFill="1">
      <alignment vertical="center" wrapText="1"/>
    </xf>
    <xf numFmtId="0" fontId="55" fillId="18" borderId="0" xfId="0" applyFont="1" applyFill="1" applyAlignment="1">
      <alignment vertical="center"/>
    </xf>
    <xf numFmtId="0" fontId="32" fillId="12" borderId="24" xfId="0" applyFont="1" applyFill="1" applyBorder="1">
      <alignment vertical="center" wrapText="1"/>
    </xf>
    <xf numFmtId="0" fontId="53" fillId="5" borderId="24" xfId="0" applyFont="1" applyFill="1" applyBorder="1" applyAlignment="1">
      <alignment horizontal="center" vertical="center" wrapText="1"/>
    </xf>
    <xf numFmtId="0" fontId="52" fillId="17" borderId="24" xfId="0" applyFont="1" applyFill="1" applyBorder="1" applyAlignment="1">
      <alignment horizontal="center" vertical="center" wrapText="1"/>
    </xf>
    <xf numFmtId="0" fontId="53" fillId="5" borderId="25" xfId="0" applyFont="1" applyFill="1" applyBorder="1" applyAlignment="1">
      <alignment horizontal="center" vertical="center" wrapText="1"/>
    </xf>
    <xf numFmtId="0" fontId="53" fillId="5" borderId="27" xfId="0" applyFont="1" applyFill="1" applyBorder="1" applyAlignment="1">
      <alignment horizontal="center" vertical="center" wrapText="1"/>
    </xf>
    <xf numFmtId="0" fontId="53" fillId="5" borderId="29" xfId="0" applyFont="1" applyFill="1" applyBorder="1" applyAlignment="1">
      <alignment horizontal="center" vertical="center" wrapText="1"/>
    </xf>
    <xf numFmtId="0" fontId="53" fillId="5" borderId="42" xfId="0" applyFont="1" applyFill="1" applyBorder="1" applyAlignment="1">
      <alignment horizontal="center" vertical="center" wrapText="1"/>
    </xf>
    <xf numFmtId="0" fontId="53" fillId="5" borderId="43" xfId="0" applyFont="1" applyFill="1" applyBorder="1" applyAlignment="1">
      <alignment horizontal="center" vertical="center" wrapText="1"/>
    </xf>
    <xf numFmtId="0" fontId="53" fillId="5" borderId="44" xfId="0" applyFont="1" applyFill="1" applyBorder="1" applyAlignment="1">
      <alignment horizontal="center" vertical="center" wrapText="1"/>
    </xf>
    <xf numFmtId="0" fontId="53" fillId="5" borderId="26" xfId="0" applyFont="1" applyFill="1" applyBorder="1" applyAlignment="1">
      <alignment horizontal="center" vertical="center" wrapText="1"/>
    </xf>
    <xf numFmtId="0" fontId="53" fillId="5" borderId="50" xfId="0" applyFont="1" applyFill="1" applyBorder="1" applyAlignment="1">
      <alignment horizontal="center" vertical="center" wrapText="1"/>
    </xf>
    <xf numFmtId="0" fontId="53" fillId="5" borderId="38" xfId="0" applyFont="1" applyFill="1" applyBorder="1" applyAlignment="1">
      <alignment horizontal="center" vertical="center" wrapText="1"/>
    </xf>
    <xf numFmtId="0" fontId="32" fillId="12" borderId="28" xfId="0" applyFont="1" applyFill="1" applyBorder="1">
      <alignment vertical="center" wrapText="1"/>
    </xf>
    <xf numFmtId="0" fontId="53" fillId="5" borderId="35" xfId="0" applyFont="1" applyFill="1" applyBorder="1" applyAlignment="1">
      <alignment horizontal="center" vertical="center" wrapText="1"/>
    </xf>
    <xf numFmtId="0" fontId="53" fillId="5" borderId="51" xfId="0" applyFont="1" applyFill="1" applyBorder="1" applyAlignment="1">
      <alignment horizontal="center" vertical="center" wrapText="1"/>
    </xf>
    <xf numFmtId="0" fontId="53" fillId="5" borderId="37" xfId="0" applyFont="1" applyFill="1" applyBorder="1" applyAlignment="1">
      <alignment horizontal="center" vertical="center" wrapText="1"/>
    </xf>
    <xf numFmtId="0" fontId="51" fillId="0" borderId="41" xfId="0" applyFont="1" applyBorder="1">
      <alignment vertical="center" wrapText="1"/>
    </xf>
    <xf numFmtId="0" fontId="58" fillId="0" borderId="0" xfId="0" applyFont="1" applyAlignment="1">
      <alignment vertical="center"/>
    </xf>
    <xf numFmtId="0" fontId="51" fillId="9" borderId="24" xfId="0" applyFont="1" applyFill="1" applyBorder="1">
      <alignment vertical="center" wrapText="1"/>
    </xf>
    <xf numFmtId="0" fontId="51" fillId="7" borderId="24" xfId="0" applyFont="1" applyFill="1" applyBorder="1">
      <alignment vertical="center" wrapText="1"/>
    </xf>
    <xf numFmtId="14" fontId="57" fillId="0" borderId="0" xfId="0" applyNumberFormat="1" applyFont="1" applyAlignment="1">
      <alignment horizontal="center" vertical="center" wrapText="1"/>
    </xf>
    <xf numFmtId="0" fontId="57" fillId="0" borderId="39" xfId="0" applyFont="1" applyBorder="1" applyAlignment="1">
      <alignment horizontal="right" vertical="center"/>
    </xf>
    <xf numFmtId="0" fontId="57" fillId="0" borderId="39" xfId="0" applyFont="1" applyBorder="1" applyAlignment="1">
      <alignment horizontal="right" vertical="center" wrapText="1"/>
    </xf>
    <xf numFmtId="0" fontId="57" fillId="0" borderId="35" xfId="0" applyFont="1" applyBorder="1" applyAlignment="1">
      <alignment horizontal="right" vertical="center" wrapText="1"/>
    </xf>
    <xf numFmtId="169" fontId="57" fillId="0" borderId="18" xfId="0" applyNumberFormat="1" applyFont="1" applyBorder="1" applyAlignment="1">
      <alignment horizontal="left" vertical="center" wrapText="1"/>
    </xf>
    <xf numFmtId="169" fontId="57" fillId="0" borderId="38" xfId="0" applyNumberFormat="1" applyFont="1" applyBorder="1" applyAlignment="1">
      <alignment horizontal="left" vertical="center" wrapText="1"/>
    </xf>
    <xf numFmtId="0" fontId="35" fillId="18" borderId="0" xfId="0" applyFont="1" applyFill="1" applyAlignment="1">
      <alignment vertical="center"/>
    </xf>
    <xf numFmtId="0" fontId="0" fillId="18" borderId="0" xfId="0" applyFill="1">
      <alignment vertical="center" wrapText="1"/>
    </xf>
    <xf numFmtId="0" fontId="44" fillId="18" borderId="0" xfId="0" applyFont="1" applyFill="1" applyAlignment="1">
      <alignment vertical="center"/>
    </xf>
    <xf numFmtId="0" fontId="46" fillId="18" borderId="0" xfId="0" applyFont="1" applyFill="1">
      <alignment vertical="center" wrapText="1"/>
    </xf>
    <xf numFmtId="0" fontId="44" fillId="18" borderId="0" xfId="0" applyFont="1" applyFill="1" applyAlignment="1">
      <alignment horizontal="right"/>
    </xf>
    <xf numFmtId="0" fontId="44" fillId="18" borderId="0" xfId="0" applyFont="1" applyFill="1" applyAlignment="1"/>
    <xf numFmtId="0" fontId="45" fillId="18" borderId="0" xfId="0" applyFont="1" applyFill="1">
      <alignment vertical="center" wrapText="1"/>
    </xf>
    <xf numFmtId="0" fontId="57" fillId="14" borderId="39" xfId="0" applyFont="1" applyFill="1" applyBorder="1" applyAlignment="1">
      <alignment horizontal="right" vertical="center" wrapText="1"/>
    </xf>
    <xf numFmtId="0" fontId="51" fillId="14" borderId="24" xfId="0" applyFont="1" applyFill="1" applyBorder="1">
      <alignment vertical="center" wrapText="1"/>
    </xf>
    <xf numFmtId="0" fontId="57" fillId="0" borderId="18" xfId="0" applyFont="1" applyBorder="1" applyAlignment="1">
      <alignment horizontal="left" vertical="center" wrapText="1"/>
    </xf>
    <xf numFmtId="169" fontId="57" fillId="14" borderId="18" xfId="0" applyNumberFormat="1" applyFont="1" applyFill="1" applyBorder="1" applyAlignment="1">
      <alignment horizontal="left" vertical="center" wrapText="1"/>
    </xf>
    <xf numFmtId="0" fontId="52" fillId="0" borderId="24" xfId="0" applyFont="1" applyBorder="1" applyAlignment="1">
      <alignment horizontal="left" vertical="center"/>
    </xf>
    <xf numFmtId="0" fontId="52" fillId="0" borderId="25" xfId="0" applyFont="1" applyBorder="1" applyAlignment="1">
      <alignment horizontal="left" vertical="center"/>
    </xf>
    <xf numFmtId="0" fontId="52" fillId="0" borderId="45" xfId="0" applyFont="1" applyBorder="1" applyAlignment="1">
      <alignment horizontal="left" vertical="center"/>
    </xf>
    <xf numFmtId="0" fontId="52" fillId="0" borderId="46" xfId="0" applyFont="1" applyBorder="1" applyAlignment="1">
      <alignment horizontal="left" vertical="center"/>
    </xf>
    <xf numFmtId="0" fontId="52" fillId="0" borderId="27" xfId="0" applyFont="1" applyBorder="1" applyAlignment="1">
      <alignment horizontal="left" vertical="center"/>
    </xf>
    <xf numFmtId="0" fontId="52" fillId="0" borderId="47" xfId="0" applyFont="1" applyBorder="1" applyAlignment="1">
      <alignment horizontal="left" vertical="center"/>
    </xf>
    <xf numFmtId="0" fontId="52" fillId="0" borderId="48" xfId="0" applyFont="1" applyBorder="1" applyAlignment="1">
      <alignment horizontal="left" vertical="center"/>
    </xf>
    <xf numFmtId="0" fontId="52" fillId="0" borderId="49" xfId="0" applyFont="1" applyBorder="1" applyAlignment="1">
      <alignment horizontal="left" vertical="center"/>
    </xf>
    <xf numFmtId="0" fontId="52" fillId="0" borderId="28" xfId="0" applyFont="1" applyBorder="1" applyAlignment="1">
      <alignment horizontal="left" vertical="center"/>
    </xf>
    <xf numFmtId="0" fontId="52" fillId="0" borderId="26" xfId="0" applyFont="1" applyBorder="1" applyAlignment="1">
      <alignment horizontal="left" vertical="center"/>
    </xf>
    <xf numFmtId="0" fontId="52" fillId="0" borderId="34" xfId="0" applyFont="1" applyBorder="1" applyAlignment="1">
      <alignment horizontal="left" vertical="center"/>
    </xf>
    <xf numFmtId="0" fontId="52" fillId="0" borderId="52" xfId="0" applyFont="1" applyBorder="1" applyAlignment="1">
      <alignment horizontal="left" vertical="center"/>
    </xf>
    <xf numFmtId="0" fontId="34" fillId="22" borderId="24" xfId="0" quotePrefix="1" applyFont="1" applyFill="1" applyBorder="1" applyAlignment="1">
      <alignment horizontal="center" vertical="center"/>
    </xf>
    <xf numFmtId="0" fontId="34" fillId="22" borderId="24" xfId="0" applyFont="1" applyFill="1" applyBorder="1" applyAlignment="1">
      <alignment horizontal="center" vertical="center"/>
    </xf>
    <xf numFmtId="0" fontId="60" fillId="0" borderId="0" xfId="0" applyFont="1" applyAlignment="1">
      <alignment horizontal="left" vertical="center" wrapText="1"/>
    </xf>
    <xf numFmtId="0" fontId="61" fillId="0" borderId="0" xfId="0" applyFont="1">
      <alignment vertical="center" wrapText="1"/>
    </xf>
    <xf numFmtId="0" fontId="61" fillId="0" borderId="0" xfId="0" applyFont="1" applyAlignment="1">
      <alignment horizontal="center" vertical="center" wrapText="1"/>
    </xf>
    <xf numFmtId="14" fontId="62" fillId="0" borderId="24" xfId="0" applyNumberFormat="1" applyFont="1" applyBorder="1" applyAlignment="1">
      <alignment horizontal="center" vertical="center"/>
    </xf>
    <xf numFmtId="0" fontId="63" fillId="0" borderId="24" xfId="0" applyFont="1" applyBorder="1" applyAlignment="1">
      <alignment horizontal="center" vertical="center"/>
    </xf>
    <xf numFmtId="0" fontId="63" fillId="0" borderId="24" xfId="0" applyFont="1" applyBorder="1" applyAlignment="1">
      <alignment horizontal="center" vertical="center"/>
      <extLst>
        <ext xmlns:xfpb="http://schemas.microsoft.com/office/spreadsheetml/2022/featurepropertybag" uri="{C7286773-470A-42A8-94C5-96B5CB345126}">
          <xfpb:xfComplement i="0"/>
        </ext>
      </extLst>
    </xf>
    <xf numFmtId="0" fontId="38" fillId="13" borderId="24" xfId="0" applyFont="1" applyFill="1" applyBorder="1" applyAlignment="1">
      <alignment horizontal="center" vertical="center" wrapText="1"/>
    </xf>
    <xf numFmtId="0" fontId="62" fillId="0" borderId="24" xfId="0" applyFont="1" applyBorder="1" applyAlignment="1">
      <alignment horizontal="center" vertical="center"/>
    </xf>
    <xf numFmtId="0" fontId="64" fillId="0" borderId="24" xfId="0" applyFont="1" applyBorder="1" applyAlignment="1">
      <alignment horizontal="center" vertical="center"/>
    </xf>
    <xf numFmtId="0" fontId="55" fillId="0" borderId="34" xfId="0" applyFont="1" applyBorder="1">
      <alignment vertical="center" wrapText="1"/>
    </xf>
    <xf numFmtId="0" fontId="55" fillId="0" borderId="36" xfId="0" applyFont="1" applyBorder="1">
      <alignment vertical="center" wrapText="1"/>
    </xf>
    <xf numFmtId="0" fontId="55" fillId="0" borderId="18" xfId="0" applyFont="1" applyBorder="1">
      <alignment vertical="center" wrapText="1"/>
    </xf>
    <xf numFmtId="0" fontId="42" fillId="20" borderId="24" xfId="0" applyFont="1" applyFill="1" applyBorder="1" applyAlignment="1">
      <alignment horizontal="center" vertical="center" wrapText="1"/>
    </xf>
    <xf numFmtId="0" fontId="42" fillId="16" borderId="24" xfId="0" applyFont="1" applyFill="1" applyBorder="1" applyAlignment="1">
      <alignment horizontal="center" vertical="center" wrapText="1"/>
    </xf>
    <xf numFmtId="0" fontId="42" fillId="10" borderId="24" xfId="0" applyFont="1" applyFill="1" applyBorder="1" applyAlignment="1">
      <alignment horizontal="center" vertical="center" wrapText="1"/>
    </xf>
    <xf numFmtId="0" fontId="42" fillId="19" borderId="24" xfId="0" applyFont="1" applyFill="1" applyBorder="1" applyAlignment="1">
      <alignment horizontal="center" vertical="center" wrapText="1"/>
    </xf>
    <xf numFmtId="0" fontId="42" fillId="14" borderId="24" xfId="0" applyFont="1" applyFill="1" applyBorder="1" applyAlignment="1">
      <alignment horizontal="center" vertical="center" wrapText="1"/>
    </xf>
    <xf numFmtId="0" fontId="42" fillId="15" borderId="24" xfId="0" applyFont="1" applyFill="1" applyBorder="1" applyAlignment="1">
      <alignment horizontal="center" vertical="center" wrapText="1"/>
    </xf>
    <xf numFmtId="0" fontId="51" fillId="23" borderId="24" xfId="0" applyFont="1" applyFill="1" applyBorder="1">
      <alignment vertical="center" wrapText="1"/>
    </xf>
    <xf numFmtId="0" fontId="52" fillId="0" borderId="53" xfId="0" applyFont="1" applyBorder="1" applyAlignment="1">
      <alignment horizontal="left" vertical="center"/>
    </xf>
    <xf numFmtId="0" fontId="52" fillId="0" borderId="36" xfId="0" applyFont="1" applyBorder="1" applyAlignment="1">
      <alignment horizontal="left" vertical="center"/>
    </xf>
    <xf numFmtId="0" fontId="51" fillId="0" borderId="54" xfId="0" applyFont="1" applyBorder="1">
      <alignment vertical="center" wrapText="1"/>
    </xf>
    <xf numFmtId="0" fontId="53" fillId="5" borderId="55" xfId="0" applyFont="1" applyFill="1" applyBorder="1" applyAlignment="1">
      <alignment horizontal="center" vertical="center" wrapText="1"/>
    </xf>
    <xf numFmtId="0" fontId="53" fillId="5" borderId="56" xfId="0" applyFont="1" applyFill="1" applyBorder="1" applyAlignment="1">
      <alignment horizontal="center" vertical="center" wrapText="1"/>
    </xf>
    <xf numFmtId="0" fontId="52" fillId="0" borderId="57" xfId="0" applyFont="1" applyBorder="1" applyAlignment="1">
      <alignment horizontal="left" vertical="center"/>
    </xf>
    <xf numFmtId="0" fontId="52" fillId="0" borderId="58" xfId="0" applyFont="1" applyBorder="1" applyAlignment="1">
      <alignment horizontal="left" vertical="center"/>
    </xf>
    <xf numFmtId="0" fontId="52" fillId="0" borderId="59" xfId="0" applyFont="1" applyBorder="1" applyAlignment="1">
      <alignment horizontal="left" vertical="center"/>
    </xf>
    <xf numFmtId="0" fontId="52" fillId="0" borderId="60" xfId="0" applyFont="1" applyBorder="1" applyAlignment="1">
      <alignment horizontal="left" vertical="center"/>
    </xf>
    <xf numFmtId="0" fontId="52" fillId="0" borderId="61" xfId="0" applyFont="1" applyBorder="1" applyAlignment="1">
      <alignment horizontal="left" vertical="center"/>
    </xf>
    <xf numFmtId="0" fontId="53" fillId="5" borderId="62" xfId="0" applyFont="1" applyFill="1" applyBorder="1" applyAlignment="1">
      <alignment horizontal="center" vertical="center" wrapText="1"/>
    </xf>
    <xf numFmtId="0" fontId="52" fillId="0" borderId="63" xfId="0" applyFont="1" applyBorder="1" applyAlignment="1">
      <alignment horizontal="left" vertical="center"/>
    </xf>
    <xf numFmtId="0" fontId="52" fillId="0" borderId="64" xfId="0" applyFont="1" applyBorder="1" applyAlignment="1">
      <alignment horizontal="left" vertical="center"/>
    </xf>
    <xf numFmtId="0" fontId="42" fillId="17" borderId="24" xfId="0" applyFont="1" applyFill="1" applyBorder="1" applyAlignment="1">
      <alignment horizontal="center" vertical="center" wrapText="1"/>
    </xf>
    <xf numFmtId="0" fontId="42" fillId="17" borderId="31" xfId="0" applyFont="1" applyFill="1" applyBorder="1" applyAlignment="1">
      <alignment horizontal="center" vertical="center" wrapText="1"/>
    </xf>
    <xf numFmtId="0" fontId="42" fillId="5" borderId="31" xfId="0" applyFont="1" applyFill="1" applyBorder="1" applyAlignment="1">
      <alignment horizontal="center" vertical="center" wrapText="1"/>
    </xf>
    <xf numFmtId="0" fontId="37" fillId="24" borderId="24" xfId="0" quotePrefix="1" applyFont="1" applyFill="1" applyBorder="1" applyAlignment="1">
      <alignment horizontal="center" vertical="center" textRotation="90" wrapText="1"/>
    </xf>
    <xf numFmtId="0" fontId="37" fillId="24" borderId="29" xfId="0" quotePrefix="1" applyFont="1" applyFill="1" applyBorder="1" applyAlignment="1">
      <alignment horizontal="center" vertical="center" textRotation="90" wrapText="1"/>
    </xf>
    <xf numFmtId="0" fontId="55" fillId="0" borderId="39" xfId="0" applyFont="1" applyBorder="1" applyAlignment="1">
      <alignment vertical="center"/>
    </xf>
    <xf numFmtId="0" fontId="55" fillId="0" borderId="18" xfId="0" applyFont="1" applyBorder="1" applyAlignment="1">
      <alignment vertical="center"/>
    </xf>
    <xf numFmtId="0" fontId="32" fillId="12" borderId="25" xfId="0" applyFont="1" applyFill="1" applyBorder="1" applyAlignment="1">
      <alignment horizontal="center" vertical="center" wrapText="1"/>
    </xf>
    <xf numFmtId="14" fontId="32" fillId="0" borderId="25" xfId="0" applyNumberFormat="1" applyFont="1" applyBorder="1" applyAlignment="1">
      <alignment horizontal="center" vertical="center" wrapText="1"/>
    </xf>
    <xf numFmtId="0" fontId="32" fillId="12" borderId="27" xfId="0" applyFont="1" applyFill="1" applyBorder="1" applyAlignment="1">
      <alignment horizontal="center" vertical="center" wrapText="1"/>
    </xf>
    <xf numFmtId="14" fontId="32" fillId="0" borderId="27" xfId="0" applyNumberFormat="1" applyFont="1" applyBorder="1" applyAlignment="1">
      <alignment horizontal="center" vertical="center" wrapText="1"/>
    </xf>
    <xf numFmtId="0" fontId="32" fillId="12" borderId="31" xfId="0" applyFont="1" applyFill="1" applyBorder="1" applyAlignment="1">
      <alignment horizontal="center" vertical="center" wrapText="1"/>
    </xf>
    <xf numFmtId="14" fontId="32" fillId="0" borderId="31" xfId="0" applyNumberFormat="1" applyFont="1" applyBorder="1" applyAlignment="1">
      <alignment horizontal="center" vertical="center" wrapText="1"/>
    </xf>
    <xf numFmtId="14" fontId="32" fillId="0" borderId="32" xfId="0" applyNumberFormat="1" applyFont="1" applyBorder="1" applyAlignment="1">
      <alignment horizontal="center" vertical="center" wrapText="1"/>
    </xf>
    <xf numFmtId="0" fontId="0" fillId="0" borderId="0" xfId="0" applyAlignment="1">
      <alignment horizontal="center" vertical="center" wrapText="1"/>
    </xf>
    <xf numFmtId="0" fontId="65" fillId="0" borderId="24" xfId="0" applyFont="1" applyBorder="1" applyAlignment="1">
      <alignment horizontal="center" vertical="center" wrapText="1"/>
    </xf>
    <xf numFmtId="0" fontId="66" fillId="0" borderId="24" xfId="0" quotePrefix="1" applyFont="1" applyBorder="1" applyAlignment="1">
      <alignment horizontal="center" vertical="center"/>
    </xf>
    <xf numFmtId="0" fontId="67" fillId="0" borderId="0" xfId="0" applyFont="1">
      <alignment vertical="center" wrapText="1"/>
    </xf>
    <xf numFmtId="0" fontId="68" fillId="0" borderId="0" xfId="0" applyFont="1">
      <alignment vertical="center" wrapText="1"/>
    </xf>
    <xf numFmtId="0" fontId="65" fillId="2" borderId="43" xfId="0" applyFont="1" applyFill="1" applyBorder="1" applyAlignment="1">
      <alignment horizontal="center" vertical="center" wrapText="1"/>
    </xf>
    <xf numFmtId="0" fontId="55" fillId="2" borderId="44" xfId="0" applyFont="1" applyFill="1" applyBorder="1" applyAlignment="1">
      <alignment horizontal="center" vertical="center" wrapText="1"/>
    </xf>
    <xf numFmtId="0" fontId="55" fillId="0" borderId="45" xfId="0" applyFont="1" applyBorder="1" applyAlignment="1">
      <alignment horizontal="center" vertical="center" wrapText="1"/>
    </xf>
    <xf numFmtId="0" fontId="55" fillId="0" borderId="46" xfId="0" applyFont="1" applyBorder="1" applyAlignment="1">
      <alignment horizontal="center" vertical="center" wrapText="1"/>
    </xf>
    <xf numFmtId="0" fontId="55" fillId="0" borderId="47" xfId="0" applyFont="1" applyBorder="1" applyAlignment="1">
      <alignment horizontal="center" vertical="center" wrapText="1"/>
    </xf>
    <xf numFmtId="0" fontId="65" fillId="0" borderId="48" xfId="0" applyFont="1" applyBorder="1" applyAlignment="1">
      <alignment horizontal="center" vertical="center" wrapText="1"/>
    </xf>
    <xf numFmtId="0" fontId="55" fillId="0" borderId="49" xfId="0" applyFont="1" applyBorder="1" applyAlignment="1">
      <alignment horizontal="center" vertical="center" wrapText="1"/>
    </xf>
    <xf numFmtId="0" fontId="35" fillId="0" borderId="24" xfId="0" applyFont="1" applyBorder="1" applyAlignment="1">
      <alignment horizontal="center" vertical="center"/>
    </xf>
    <xf numFmtId="0" fontId="55" fillId="0" borderId="0" xfId="0" applyFont="1">
      <alignment vertical="center" wrapText="1"/>
    </xf>
    <xf numFmtId="170" fontId="55" fillId="0" borderId="18" xfId="0" applyNumberFormat="1" applyFont="1" applyBorder="1" applyAlignment="1">
      <alignment horizontal="left" vertical="center" wrapText="1"/>
    </xf>
    <xf numFmtId="0" fontId="57" fillId="0" borderId="0" xfId="0" applyFont="1" applyAlignment="1">
      <alignment horizontal="left" vertical="center"/>
    </xf>
    <xf numFmtId="0" fontId="51" fillId="0" borderId="39" xfId="0" applyFont="1" applyBorder="1">
      <alignment vertical="center" wrapText="1"/>
    </xf>
    <xf numFmtId="0" fontId="51" fillId="0" borderId="18" xfId="0" applyFont="1" applyBorder="1">
      <alignment vertical="center" wrapText="1"/>
    </xf>
    <xf numFmtId="171" fontId="57" fillId="0" borderId="39" xfId="0" applyNumberFormat="1" applyFont="1" applyBorder="1" applyAlignment="1">
      <alignment horizontal="right" vertical="center"/>
    </xf>
    <xf numFmtId="0" fontId="57" fillId="0" borderId="0" xfId="0" applyFont="1" applyAlignment="1">
      <alignment horizontal="center" vertical="center"/>
    </xf>
    <xf numFmtId="0" fontId="57" fillId="0" borderId="39" xfId="0" applyFont="1" applyBorder="1">
      <alignment vertical="center" wrapText="1"/>
    </xf>
    <xf numFmtId="172" fontId="55" fillId="0" borderId="0" xfId="0" applyNumberFormat="1" applyFont="1" applyAlignment="1">
      <alignment horizontal="left" vertical="center" wrapText="1"/>
    </xf>
    <xf numFmtId="171" fontId="55" fillId="0" borderId="0" xfId="0" applyNumberFormat="1" applyFont="1" applyAlignment="1">
      <alignment horizontal="left" vertical="center"/>
    </xf>
    <xf numFmtId="172" fontId="57" fillId="0" borderId="39" xfId="0" applyNumberFormat="1" applyFont="1" applyBorder="1" applyAlignment="1">
      <alignment horizontal="right" vertical="center"/>
    </xf>
    <xf numFmtId="174" fontId="57" fillId="0" borderId="35" xfId="0" applyNumberFormat="1" applyFont="1" applyBorder="1" applyAlignment="1">
      <alignment horizontal="right" vertical="center"/>
    </xf>
    <xf numFmtId="0" fontId="57" fillId="0" borderId="37" xfId="0" applyFont="1" applyBorder="1" applyAlignment="1">
      <alignment horizontal="center" vertical="center"/>
    </xf>
    <xf numFmtId="0" fontId="57" fillId="0" borderId="37" xfId="0" applyFont="1" applyBorder="1" applyAlignment="1">
      <alignment horizontal="left" vertical="center"/>
    </xf>
    <xf numFmtId="170" fontId="55" fillId="0" borderId="38" xfId="0" applyNumberFormat="1" applyFont="1" applyBorder="1" applyAlignment="1">
      <alignment horizontal="left" vertical="center" wrapText="1"/>
    </xf>
    <xf numFmtId="0" fontId="51" fillId="25" borderId="24" xfId="0" applyFont="1" applyFill="1" applyBorder="1">
      <alignment vertical="center" wrapText="1"/>
    </xf>
    <xf numFmtId="0" fontId="66" fillId="0" borderId="24" xfId="0" applyFont="1" applyBorder="1" applyAlignment="1">
      <alignment horizontal="center" vertical="center"/>
    </xf>
    <xf numFmtId="0" fontId="34" fillId="0" borderId="25" xfId="0" applyFont="1" applyBorder="1" applyAlignment="1">
      <alignment horizontal="center" vertical="center"/>
    </xf>
    <xf numFmtId="0" fontId="34" fillId="0" borderId="34" xfId="0" applyFont="1" applyBorder="1" applyAlignment="1">
      <alignment horizontal="center" vertical="center"/>
    </xf>
    <xf numFmtId="0" fontId="71" fillId="0" borderId="24" xfId="0" applyFont="1" applyBorder="1" applyAlignment="1">
      <alignment horizontal="center" vertical="center"/>
    </xf>
    <xf numFmtId="0" fontId="72" fillId="5" borderId="24" xfId="0" applyFont="1" applyFill="1" applyBorder="1" applyAlignment="1">
      <alignment horizontal="center" vertical="center" wrapText="1"/>
    </xf>
    <xf numFmtId="0" fontId="73" fillId="2" borderId="42" xfId="0" applyFont="1" applyFill="1" applyBorder="1" applyAlignment="1">
      <alignment horizontal="center" vertical="center" wrapText="1"/>
    </xf>
    <xf numFmtId="167" fontId="34" fillId="0" borderId="24" xfId="0" applyNumberFormat="1" applyFont="1" applyBorder="1" applyAlignment="1">
      <alignment horizontal="center" vertical="center"/>
    </xf>
    <xf numFmtId="0" fontId="34" fillId="0" borderId="28" xfId="0" applyFont="1" applyBorder="1" applyAlignment="1">
      <alignment horizontal="center" vertical="center"/>
    </xf>
    <xf numFmtId="0" fontId="34" fillId="0" borderId="24" xfId="22" applyFont="1" applyBorder="1" applyAlignment="1">
      <alignment horizontal="center" vertical="center"/>
    </xf>
    <xf numFmtId="0" fontId="57" fillId="0" borderId="39" xfId="0" applyFont="1" applyBorder="1" applyAlignment="1">
      <alignment horizontal="left" vertical="center" wrapText="1"/>
    </xf>
    <xf numFmtId="0" fontId="57" fillId="0" borderId="0" xfId="0" applyFont="1" applyAlignment="1">
      <alignment horizontal="left" vertical="center" wrapText="1"/>
    </xf>
    <xf numFmtId="14" fontId="55" fillId="0" borderId="0" xfId="0" applyNumberFormat="1" applyFont="1" applyAlignment="1">
      <alignment horizontal="left" vertical="center" wrapText="1"/>
    </xf>
    <xf numFmtId="14" fontId="55" fillId="0" borderId="18" xfId="0" applyNumberFormat="1" applyFont="1" applyBorder="1" applyAlignment="1">
      <alignment horizontal="left" vertical="center" wrapText="1"/>
    </xf>
    <xf numFmtId="0" fontId="55" fillId="0" borderId="39" xfId="0" applyFont="1" applyBorder="1" applyAlignment="1">
      <alignment horizontal="left" vertical="center" wrapText="1"/>
    </xf>
    <xf numFmtId="0" fontId="55" fillId="0" borderId="0" xfId="0" applyFont="1" applyAlignment="1">
      <alignment horizontal="left" vertical="center" wrapText="1"/>
    </xf>
    <xf numFmtId="0" fontId="55" fillId="0" borderId="18" xfId="0" applyFont="1" applyBorder="1" applyAlignment="1">
      <alignment horizontal="left" vertical="center" wrapText="1"/>
    </xf>
    <xf numFmtId="0" fontId="55" fillId="0" borderId="34" xfId="0" applyFont="1" applyBorder="1" applyAlignment="1">
      <alignment horizontal="left" vertical="center" wrapText="1"/>
    </xf>
    <xf numFmtId="0" fontId="55" fillId="0" borderId="53" xfId="0" applyFont="1" applyBorder="1" applyAlignment="1">
      <alignment horizontal="left" vertical="center" wrapText="1"/>
    </xf>
    <xf numFmtId="0" fontId="55" fillId="0" borderId="36" xfId="0" applyFont="1" applyBorder="1" applyAlignment="1">
      <alignment horizontal="left" vertical="center" wrapText="1"/>
    </xf>
    <xf numFmtId="173" fontId="55" fillId="0" borderId="0" xfId="0" applyNumberFormat="1" applyFont="1" applyAlignment="1">
      <alignment horizontal="left" vertical="center"/>
    </xf>
    <xf numFmtId="0" fontId="54" fillId="17" borderId="28" xfId="0" applyFont="1" applyFill="1" applyBorder="1" applyAlignment="1">
      <alignment horizontal="center" vertical="center" wrapText="1"/>
    </xf>
    <xf numFmtId="0" fontId="54" fillId="17" borderId="39" xfId="0" applyFont="1" applyFill="1" applyBorder="1" applyAlignment="1">
      <alignment horizontal="center" vertical="center" wrapText="1"/>
    </xf>
    <xf numFmtId="0" fontId="54" fillId="17" borderId="35" xfId="0" applyFont="1" applyFill="1" applyBorder="1" applyAlignment="1">
      <alignment horizontal="center" vertical="center" wrapText="1"/>
    </xf>
    <xf numFmtId="0" fontId="59" fillId="5" borderId="24" xfId="22" applyFont="1" applyFill="1" applyBorder="1" applyAlignment="1">
      <alignment horizontal="left" vertical="center" wrapText="1"/>
    </xf>
    <xf numFmtId="0" fontId="54" fillId="17" borderId="40" xfId="0" applyFont="1" applyFill="1" applyBorder="1" applyAlignment="1">
      <alignment horizontal="center" vertical="center" wrapText="1"/>
    </xf>
    <xf numFmtId="0" fontId="54" fillId="17" borderId="29" xfId="0" applyFont="1" applyFill="1" applyBorder="1" applyAlignment="1">
      <alignment horizontal="center" vertical="center" wrapText="1"/>
    </xf>
    <xf numFmtId="0" fontId="59" fillId="5" borderId="28" xfId="22" applyFont="1" applyFill="1" applyBorder="1" applyAlignment="1">
      <alignment horizontal="left" vertical="center" wrapText="1"/>
    </xf>
    <xf numFmtId="0" fontId="62" fillId="0" borderId="37" xfId="0" applyFont="1" applyBorder="1" applyAlignment="1">
      <alignment horizontal="center" vertical="top" wrapText="1"/>
    </xf>
    <xf numFmtId="0" fontId="56" fillId="17" borderId="24" xfId="0" applyFont="1" applyFill="1" applyBorder="1" applyAlignment="1">
      <alignment horizontal="left" vertical="center" wrapText="1"/>
    </xf>
    <xf numFmtId="0" fontId="32" fillId="12" borderId="24" xfId="0" applyFont="1" applyFill="1" applyBorder="1" applyAlignment="1">
      <alignment horizontal="center" vertical="center" wrapText="1"/>
    </xf>
    <xf numFmtId="0" fontId="59" fillId="5" borderId="25" xfId="22" applyFont="1" applyFill="1" applyBorder="1" applyAlignment="1">
      <alignment horizontal="left" vertical="center" wrapText="1"/>
    </xf>
    <xf numFmtId="0" fontId="59" fillId="5" borderId="26" xfId="22" applyFont="1" applyFill="1" applyBorder="1" applyAlignment="1">
      <alignment horizontal="left" vertical="center" wrapText="1"/>
    </xf>
    <xf numFmtId="0" fontId="59" fillId="5" borderId="27" xfId="22" applyFont="1" applyFill="1" applyBorder="1" applyAlignment="1">
      <alignment horizontal="left" vertical="center" wrapText="1"/>
    </xf>
    <xf numFmtId="0" fontId="20" fillId="0" borderId="10" xfId="0" applyFont="1" applyBorder="1" applyAlignment="1">
      <alignment horizontal="center" vertical="center" textRotation="90" wrapText="1"/>
    </xf>
    <xf numFmtId="0" fontId="20" fillId="0" borderId="5" xfId="0" applyFont="1" applyBorder="1" applyAlignment="1">
      <alignment horizontal="center" vertical="center" textRotation="90" wrapText="1"/>
    </xf>
    <xf numFmtId="0" fontId="20" fillId="0" borderId="6" xfId="0" applyFont="1" applyBorder="1" applyAlignment="1">
      <alignment horizontal="center" vertical="center" textRotation="90" wrapText="1"/>
    </xf>
    <xf numFmtId="0" fontId="25" fillId="0" borderId="19" xfId="0" applyFont="1" applyBorder="1" applyAlignment="1">
      <alignment horizontal="center" vertical="center" textRotation="90" wrapText="1"/>
    </xf>
    <xf numFmtId="49" fontId="16" fillId="5" borderId="3" xfId="0" applyNumberFormat="1" applyFont="1" applyFill="1" applyBorder="1" applyAlignment="1">
      <alignment horizontal="center"/>
    </xf>
    <xf numFmtId="49" fontId="16" fillId="5" borderId="4" xfId="0" applyNumberFormat="1" applyFont="1" applyFill="1" applyBorder="1" applyAlignment="1">
      <alignment horizontal="center"/>
    </xf>
    <xf numFmtId="2" fontId="17" fillId="0" borderId="3" xfId="0" applyNumberFormat="1" applyFont="1" applyBorder="1" applyAlignment="1">
      <alignment horizontal="left" vertical="center" wrapText="1"/>
    </xf>
    <xf numFmtId="2" fontId="17" fillId="0" borderId="4" xfId="0" applyNumberFormat="1" applyFont="1" applyBorder="1" applyAlignment="1">
      <alignment horizontal="left" vertical="center" wrapText="1"/>
    </xf>
    <xf numFmtId="2" fontId="17" fillId="0" borderId="3" xfId="0" applyNumberFormat="1" applyFont="1" applyBorder="1" applyAlignment="1">
      <alignment horizontal="left" vertical="center"/>
    </xf>
    <xf numFmtId="2" fontId="17" fillId="0" borderId="4" xfId="0" applyNumberFormat="1" applyFont="1" applyBorder="1" applyAlignment="1">
      <alignment horizontal="left" vertical="center"/>
    </xf>
    <xf numFmtId="0" fontId="16" fillId="0" borderId="3" xfId="0" applyFont="1" applyBorder="1" applyAlignment="1">
      <alignment horizontal="right"/>
    </xf>
    <xf numFmtId="0" fontId="16" fillId="0" borderId="4" xfId="0" applyFont="1" applyBorder="1" applyAlignment="1">
      <alignment horizontal="right"/>
    </xf>
    <xf numFmtId="49" fontId="17" fillId="0" borderId="3" xfId="0" applyNumberFormat="1" applyFont="1" applyBorder="1" applyAlignment="1">
      <alignment horizontal="center" vertical="center"/>
    </xf>
    <xf numFmtId="49" fontId="17" fillId="0" borderId="4" xfId="0" applyNumberFormat="1" applyFont="1" applyBorder="1" applyAlignment="1">
      <alignment horizontal="center" vertical="center"/>
    </xf>
    <xf numFmtId="0" fontId="12" fillId="3" borderId="3" xfId="0" applyFont="1" applyFill="1" applyBorder="1" applyAlignment="1">
      <alignment horizontal="center"/>
    </xf>
    <xf numFmtId="0" fontId="12" fillId="3" borderId="17" xfId="0" applyFont="1" applyFill="1" applyBorder="1" applyAlignment="1">
      <alignment horizontal="center"/>
    </xf>
    <xf numFmtId="0" fontId="12" fillId="3" borderId="4" xfId="0" applyFont="1" applyFill="1" applyBorder="1" applyAlignment="1">
      <alignment horizontal="center"/>
    </xf>
    <xf numFmtId="0" fontId="12" fillId="3" borderId="3" xfId="0" applyFont="1" applyFill="1" applyBorder="1" applyAlignment="1">
      <alignment horizontal="center" vertical="center"/>
    </xf>
    <xf numFmtId="0" fontId="12" fillId="3" borderId="4" xfId="0" applyFont="1" applyFill="1" applyBorder="1" applyAlignment="1">
      <alignment horizontal="center" vertical="center"/>
    </xf>
    <xf numFmtId="49" fontId="17" fillId="6" borderId="3" xfId="0" applyNumberFormat="1" applyFont="1" applyFill="1" applyBorder="1" applyAlignment="1">
      <alignment horizontal="center" vertical="center"/>
    </xf>
    <xf numFmtId="49" fontId="17" fillId="6" borderId="4" xfId="0" applyNumberFormat="1" applyFont="1" applyFill="1" applyBorder="1" applyAlignment="1">
      <alignment horizontal="center" vertical="center"/>
    </xf>
    <xf numFmtId="0" fontId="12" fillId="3" borderId="17" xfId="0" applyFont="1" applyFill="1" applyBorder="1" applyAlignment="1">
      <alignment horizontal="center" vertical="center"/>
    </xf>
    <xf numFmtId="0" fontId="14" fillId="0" borderId="10" xfId="0" applyFont="1" applyBorder="1" applyAlignment="1">
      <alignment horizontal="center" vertical="center" textRotation="90"/>
    </xf>
    <xf numFmtId="0" fontId="14" fillId="0" borderId="5" xfId="0" applyFont="1" applyBorder="1" applyAlignment="1">
      <alignment horizontal="center" vertical="center" textRotation="90"/>
    </xf>
    <xf numFmtId="0" fontId="14" fillId="0" borderId="6" xfId="0" applyFont="1" applyBorder="1" applyAlignment="1">
      <alignment horizontal="center" vertical="center" textRotation="90"/>
    </xf>
    <xf numFmtId="165" fontId="17" fillId="0" borderId="3" xfId="0" applyNumberFormat="1" applyFont="1" applyBorder="1" applyAlignment="1">
      <alignment horizontal="left" wrapText="1"/>
    </xf>
    <xf numFmtId="165" fontId="17" fillId="0" borderId="4" xfId="0" applyNumberFormat="1" applyFont="1" applyBorder="1" applyAlignment="1">
      <alignment horizontal="left" wrapText="1"/>
    </xf>
    <xf numFmtId="0" fontId="16" fillId="0" borderId="24" xfId="0" applyFont="1" applyBorder="1" applyAlignment="1">
      <alignment horizontal="center" textRotation="90" wrapText="1"/>
    </xf>
    <xf numFmtId="49" fontId="17" fillId="6" borderId="17" xfId="0" applyNumberFormat="1" applyFont="1" applyFill="1" applyBorder="1" applyAlignment="1">
      <alignment horizontal="center" vertical="center"/>
    </xf>
    <xf numFmtId="0" fontId="16" fillId="0" borderId="3" xfId="0" applyFont="1" applyBorder="1" applyAlignment="1">
      <alignment horizontal="center"/>
    </xf>
    <xf numFmtId="0" fontId="16" fillId="0" borderId="20" xfId="0" applyFont="1" applyBorder="1" applyAlignment="1">
      <alignment horizontal="center"/>
    </xf>
    <xf numFmtId="0" fontId="0" fillId="3" borderId="2" xfId="0" applyFill="1" applyBorder="1" applyAlignment="1">
      <alignment horizontal="center"/>
    </xf>
    <xf numFmtId="0" fontId="0" fillId="3" borderId="21" xfId="0" applyFill="1" applyBorder="1" applyAlignment="1">
      <alignment horizontal="center"/>
    </xf>
    <xf numFmtId="0" fontId="38" fillId="13" borderId="24" xfId="0" applyFont="1" applyFill="1" applyBorder="1" applyAlignment="1">
      <alignment horizontal="center" vertical="center" wrapText="1"/>
    </xf>
    <xf numFmtId="0" fontId="38" fillId="13" borderId="28" xfId="0" applyFont="1" applyFill="1" applyBorder="1" applyAlignment="1">
      <alignment horizontal="center" vertical="center" wrapText="1"/>
    </xf>
    <xf numFmtId="0" fontId="38" fillId="13" borderId="29" xfId="0" applyFont="1" applyFill="1" applyBorder="1" applyAlignment="1">
      <alignment horizontal="center" vertical="center" wrapText="1"/>
    </xf>
    <xf numFmtId="0" fontId="38" fillId="13" borderId="25" xfId="0" applyFont="1" applyFill="1" applyBorder="1" applyAlignment="1">
      <alignment horizontal="center" vertical="center" wrapText="1"/>
    </xf>
    <xf numFmtId="0" fontId="38" fillId="13" borderId="26" xfId="0" applyFont="1" applyFill="1" applyBorder="1" applyAlignment="1">
      <alignment horizontal="center" vertical="center" wrapText="1"/>
    </xf>
    <xf numFmtId="0" fontId="38" fillId="13" borderId="27" xfId="0" applyFont="1" applyFill="1" applyBorder="1" applyAlignment="1">
      <alignment horizontal="center" vertical="center" wrapText="1"/>
    </xf>
    <xf numFmtId="0" fontId="41" fillId="0" borderId="0" xfId="0" applyFont="1" applyAlignment="1">
      <alignment horizontal="center" vertical="center" wrapText="1"/>
    </xf>
    <xf numFmtId="169" fontId="44" fillId="18" borderId="0" xfId="0" applyNumberFormat="1" applyFont="1" applyFill="1" applyAlignment="1">
      <alignment horizontal="left"/>
    </xf>
    <xf numFmtId="0" fontId="34" fillId="2" borderId="24" xfId="0" quotePrefix="1" applyFont="1" applyFill="1" applyBorder="1" applyAlignment="1">
      <alignment horizontal="center" vertical="center"/>
    </xf>
    <xf numFmtId="0" fontId="34" fillId="9" borderId="24" xfId="0" applyFont="1" applyFill="1" applyBorder="1" applyAlignment="1">
      <alignment horizontal="center" vertical="center"/>
    </xf>
    <xf numFmtId="0" fontId="34" fillId="2" borderId="25" xfId="0" quotePrefix="1" applyFont="1" applyFill="1" applyBorder="1" applyAlignment="1">
      <alignment horizontal="center" vertical="center"/>
    </xf>
    <xf numFmtId="0" fontId="34" fillId="2" borderId="26" xfId="0" quotePrefix="1" applyFont="1" applyFill="1" applyBorder="1" applyAlignment="1">
      <alignment horizontal="center" vertical="center"/>
    </xf>
    <xf numFmtId="0" fontId="34" fillId="2" borderId="27" xfId="0" quotePrefix="1" applyFont="1" applyFill="1" applyBorder="1" applyAlignment="1">
      <alignment horizontal="center" vertical="center"/>
    </xf>
    <xf numFmtId="0" fontId="34" fillId="5" borderId="24" xfId="0" applyFont="1" applyFill="1" applyBorder="1" applyAlignment="1">
      <alignment horizontal="center" vertical="center" wrapText="1"/>
    </xf>
    <xf numFmtId="0" fontId="34" fillId="8" borderId="24" xfId="0" applyFont="1" applyFill="1" applyBorder="1" applyAlignment="1">
      <alignment horizontal="center" vertical="center"/>
    </xf>
    <xf numFmtId="0" fontId="55" fillId="0" borderId="25" xfId="0" applyFont="1" applyBorder="1" applyAlignment="1">
      <alignment horizontal="center" vertical="center" wrapText="1"/>
    </xf>
    <xf numFmtId="0" fontId="55" fillId="0" borderId="26" xfId="0" applyFont="1" applyBorder="1" applyAlignment="1">
      <alignment horizontal="center" vertical="center" wrapText="1"/>
    </xf>
    <xf numFmtId="0" fontId="55" fillId="11" borderId="65" xfId="0" applyFont="1" applyFill="1" applyBorder="1" applyAlignment="1">
      <alignment horizontal="center" vertical="center" wrapText="1"/>
    </xf>
    <xf numFmtId="0" fontId="55" fillId="18" borderId="66" xfId="0" applyFont="1" applyFill="1" applyBorder="1" applyAlignment="1">
      <alignment horizontal="center" vertical="center" wrapText="1"/>
    </xf>
    <xf numFmtId="0" fontId="34" fillId="0" borderId="35" xfId="0" applyFont="1" applyBorder="1" applyAlignment="1">
      <alignment horizontal="center" vertical="center" wrapText="1"/>
    </xf>
    <xf numFmtId="0" fontId="35" fillId="18" borderId="67" xfId="0" applyFont="1" applyFill="1" applyBorder="1" applyAlignment="1">
      <alignment horizontal="center" vertical="center" wrapText="1"/>
    </xf>
    <xf numFmtId="0" fontId="34" fillId="0" borderId="38" xfId="0" applyFont="1" applyBorder="1" applyAlignment="1">
      <alignment horizontal="center" vertical="center" wrapText="1"/>
    </xf>
    <xf numFmtId="0" fontId="34" fillId="0" borderId="29" xfId="0" applyFont="1" applyBorder="1" applyAlignment="1">
      <alignment horizontal="center" vertical="center" wrapText="1"/>
    </xf>
    <xf numFmtId="0" fontId="0" fillId="0" borderId="24" xfId="0" applyBorder="1" applyAlignment="1">
      <alignment horizontal="left" vertical="center" wrapText="1"/>
    </xf>
  </cellXfs>
  <cellStyles count="28">
    <cellStyle name="Comma" xfId="6" builtinId="3" customBuiltin="1"/>
    <cellStyle name="Currency" xfId="7" builtinId="4" customBuiltin="1"/>
    <cellStyle name="Date" xfId="13" xr:uid="{00000000-0005-0000-0000-000002000000}"/>
    <cellStyle name="Euro" xfId="15" xr:uid="{7E0635A7-D0C3-400D-B523-C35434B1F39D}"/>
    <cellStyle name="Explanatory Text" xfId="11" builtinId="53" customBuiltin="1"/>
    <cellStyle name="Heading 1" xfId="1" builtinId="16" customBuiltin="1"/>
    <cellStyle name="Heading 2" xfId="2" builtinId="17" customBuiltin="1"/>
    <cellStyle name="Heading 3" xfId="3" builtinId="18" customBuiltin="1"/>
    <cellStyle name="Heading 4" xfId="5" builtinId="19" customBuiltin="1"/>
    <cellStyle name="Hyperlink 2" xfId="24" xr:uid="{C06A5385-E690-4A20-B42A-78110292EAE4}"/>
    <cellStyle name="Normal" xfId="0" builtinId="0" customBuiltin="1"/>
    <cellStyle name="Normal 2" xfId="22" xr:uid="{175547AA-40C7-4B38-A0F8-CAAAD686642F}"/>
    <cellStyle name="Normal 3" xfId="25" xr:uid="{5473DA56-C0B5-4C1E-A1E2-5666E63DB64B}"/>
    <cellStyle name="Normal 4" xfId="27" xr:uid="{D19A6D18-B39A-4D12-8743-8EDB5E3B70B2}"/>
    <cellStyle name="Normale 2 2" xfId="21" xr:uid="{1E4C7A4D-77D0-46C9-86DA-C4F33CAAFAC1}"/>
    <cellStyle name="Normale 4" xfId="16" xr:uid="{7713418E-7EB6-4EC2-B67D-30CFDDC3DD92}"/>
    <cellStyle name="Normale 4 2" xfId="23" xr:uid="{3EFC7848-40EC-433E-B046-8028DC2EEE49}"/>
    <cellStyle name="Normale 4 3" xfId="26" xr:uid="{B4020500-F383-4A6E-8057-F9D62CEFCB59}"/>
    <cellStyle name="Normale 6" xfId="18" xr:uid="{FDEC5832-D5F8-45F1-84E2-70FCCF72196E}"/>
    <cellStyle name="Normale 6 3" xfId="19" xr:uid="{928F89AE-24DD-46D5-8F85-A0E2D9D7612E}"/>
    <cellStyle name="Normale_42N matrix 13042012" xfId="20" xr:uid="{8CC7969C-D17F-4AB0-8326-FA9762C38756}"/>
    <cellStyle name="Normale_42N matrix 13042012 3" xfId="17" xr:uid="{949BAA48-43DA-480D-90D2-0B320BAD502C}"/>
    <cellStyle name="Note" xfId="10" builtinId="10" customBuiltin="1"/>
    <cellStyle name="Output" xfId="4" builtinId="21" customBuiltin="1"/>
    <cellStyle name="Percent" xfId="8" builtinId="5" customBuiltin="1"/>
    <cellStyle name="Phone" xfId="14" xr:uid="{00000000-0005-0000-0000-00000C000000}"/>
    <cellStyle name="Title" xfId="9" builtinId="15" customBuiltin="1"/>
    <cellStyle name="Total" xfId="12" builtinId="25" customBuiltin="1"/>
  </cellStyles>
  <dxfs count="206">
    <dxf>
      <fill>
        <patternFill patternType="solid">
          <fgColor indexed="64"/>
          <bgColor theme="2" tint="-0.24994659260841701"/>
        </patternFill>
      </fill>
    </dxf>
    <dxf>
      <fill>
        <patternFill patternType="solid">
          <fgColor indexed="64"/>
          <bgColor theme="9" tint="0.79998168889431442"/>
        </patternFill>
      </fill>
    </dxf>
    <dxf>
      <fill>
        <patternFill patternType="solid">
          <fgColor indexed="64"/>
          <bgColor theme="5" tint="0.79998168889431442"/>
        </patternFill>
      </fill>
    </dxf>
    <dxf>
      <fill>
        <patternFill patternType="solid">
          <fgColor indexed="64"/>
          <bgColor theme="2" tint="-0.24994659260841701"/>
        </patternFill>
      </fill>
    </dxf>
    <dxf>
      <fill>
        <patternFill patternType="solid">
          <fgColor indexed="64"/>
          <bgColor theme="9" tint="0.79998168889431442"/>
        </patternFill>
      </fill>
    </dxf>
    <dxf>
      <fill>
        <patternFill patternType="solid">
          <fgColor indexed="64"/>
          <bgColor theme="5" tint="0.79998168889431442"/>
        </patternFill>
      </fill>
    </dxf>
    <dxf>
      <fill>
        <patternFill patternType="solid">
          <fgColor indexed="64"/>
          <bgColor theme="9" tint="0.79998168889431442"/>
        </patternFill>
      </fill>
    </dxf>
    <dxf>
      <fill>
        <patternFill patternType="solid">
          <fgColor indexed="64"/>
          <bgColor theme="2" tint="-0.24994659260841701"/>
        </patternFill>
      </fill>
    </dxf>
    <dxf>
      <fill>
        <patternFill patternType="solid">
          <fgColor indexed="64"/>
          <bgColor theme="5" tint="0.79998168889431442"/>
        </patternFill>
      </fill>
    </dxf>
    <dxf>
      <fill>
        <patternFill patternType="solid">
          <fgColor indexed="64"/>
          <bgColor theme="2" tint="-0.24994659260841701"/>
        </patternFill>
      </fill>
    </dxf>
    <dxf>
      <fill>
        <patternFill patternType="solid">
          <fgColor indexed="64"/>
          <bgColor theme="9" tint="0.79998168889431442"/>
        </patternFill>
      </fill>
    </dxf>
    <dxf>
      <fill>
        <patternFill patternType="solid">
          <fgColor indexed="64"/>
          <bgColor theme="5" tint="0.79998168889431442"/>
        </patternFill>
      </fill>
    </dxf>
    <dxf>
      <fill>
        <patternFill patternType="solid">
          <fgColor indexed="64"/>
          <bgColor theme="2" tint="-0.24994659260841701"/>
        </patternFill>
      </fill>
    </dxf>
    <dxf>
      <fill>
        <patternFill patternType="solid">
          <fgColor indexed="64"/>
          <bgColor theme="9" tint="0.79998168889431442"/>
        </patternFill>
      </fill>
    </dxf>
    <dxf>
      <fill>
        <patternFill patternType="solid">
          <fgColor indexed="64"/>
          <bgColor theme="5" tint="0.79998168889431442"/>
        </patternFill>
      </fill>
    </dxf>
    <dxf>
      <fill>
        <patternFill patternType="solid">
          <fgColor indexed="64"/>
          <bgColor theme="2" tint="-0.24994659260841701"/>
        </patternFill>
      </fill>
    </dxf>
    <dxf>
      <fill>
        <patternFill patternType="solid">
          <fgColor indexed="64"/>
          <bgColor theme="9" tint="0.79998168889431442"/>
        </patternFill>
      </fill>
    </dxf>
    <dxf>
      <fill>
        <patternFill patternType="solid">
          <fgColor indexed="64"/>
          <bgColor theme="5" tint="0.79998168889431442"/>
        </patternFill>
      </fill>
    </dxf>
    <dxf>
      <fill>
        <patternFill patternType="solid">
          <fgColor indexed="64"/>
          <bgColor theme="2" tint="-0.24994659260841701"/>
        </patternFill>
      </fill>
    </dxf>
    <dxf>
      <fill>
        <patternFill patternType="solid">
          <fgColor indexed="64"/>
          <bgColor theme="9" tint="0.79998168889431442"/>
        </patternFill>
      </fill>
    </dxf>
    <dxf>
      <fill>
        <patternFill patternType="solid">
          <fgColor indexed="64"/>
          <bgColor theme="5" tint="0.7999816888943144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gray125">
          <bgColor rgb="FFFFFFFF"/>
        </patternFill>
      </fill>
    </dxf>
    <dxf>
      <fill>
        <patternFill patternType="solid">
          <fgColor indexed="64"/>
          <bgColor rgb="FFA9D08E"/>
        </patternFill>
      </fill>
    </dxf>
    <dxf>
      <fill>
        <patternFill patternType="solid">
          <fgColor indexed="64"/>
          <bgColor rgb="FFF4B084"/>
        </patternFill>
      </fill>
    </dxf>
    <dxf>
      <fill>
        <patternFill patternType="solid">
          <fgColor indexed="64"/>
          <bgColor rgb="FFFFC000"/>
        </patternFill>
      </fill>
    </dxf>
    <dxf>
      <fill>
        <patternFill patternType="solid">
          <fgColor indexed="64"/>
          <bgColor rgb="FFFFE699"/>
        </patternFill>
      </fill>
    </dxf>
    <dxf>
      <fill>
        <patternFill patternType="solid">
          <fgColor indexed="64"/>
          <bgColor rgb="FF9BC2E6"/>
        </patternFill>
      </fill>
    </dxf>
    <dxf>
      <fill>
        <patternFill patternType="solid">
          <fgColor indexed="64"/>
          <bgColor rgb="FFFFFF00"/>
        </patternFill>
      </fill>
    </dxf>
    <dxf>
      <fill>
        <patternFill patternType="solid">
          <fgColor indexed="64"/>
          <bgColor rgb="FFCCCCFF"/>
        </patternFill>
      </fill>
    </dxf>
    <dxf>
      <fill>
        <patternFill>
          <bgColor theme="2"/>
        </patternFill>
      </fill>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ahnschrif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ahnschrif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ahnschrif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ahnschrif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ahnschrift"/>
        <family val="2"/>
        <scheme val="none"/>
      </font>
      <numFmt numFmtId="167"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ahnschrif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ahnschrif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0"/>
        <name val="Bahnschrift"/>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solid">
          <fgColor indexed="64"/>
          <bgColor rgb="FFD3D3D3"/>
        </patternFill>
      </fill>
    </dxf>
    <dxf>
      <fill>
        <patternFill patternType="lightUp"/>
      </fill>
    </dxf>
    <dxf>
      <fill>
        <patternFill patternType="solid">
          <fgColor indexed="64"/>
          <bgColor rgb="FFD3D3D3"/>
        </patternFill>
      </fill>
    </dxf>
    <dxf>
      <fill>
        <patternFill>
          <bgColor theme="9" tint="0.59996337778862885"/>
        </patternFill>
      </fill>
    </dxf>
    <dxf>
      <fill>
        <patternFill>
          <bgColor theme="9" tint="0.59996337778862885"/>
        </patternFill>
      </fill>
    </dxf>
    <dxf>
      <font>
        <b val="0"/>
        <i val="0"/>
        <color theme="1"/>
      </font>
      <fill>
        <patternFill patternType="solid">
          <fgColor theme="4" tint="0.79995117038483843"/>
          <bgColor theme="0" tint="-4.9989318521683403E-2"/>
        </patternFill>
      </fill>
    </dxf>
    <dxf>
      <font>
        <b/>
        <i val="0"/>
        <color theme="1"/>
      </font>
    </dxf>
    <dxf>
      <font>
        <b/>
        <i val="0"/>
        <color theme="1"/>
      </font>
      <fill>
        <patternFill patternType="none">
          <bgColor auto="1"/>
        </patternFill>
      </fill>
      <border>
        <left/>
        <right/>
        <top style="medium">
          <color theme="1" tint="0.24994659260841701"/>
        </top>
        <bottom style="medium">
          <color theme="1" tint="0.24994659260841701"/>
        </bottom>
      </border>
    </dxf>
    <dxf>
      <font>
        <color theme="1" tint="0.34998626667073579"/>
      </font>
      <fill>
        <patternFill>
          <bgColor theme="0" tint="-0.14996795556505021"/>
        </patternFill>
      </fill>
      <border>
        <left/>
        <right/>
        <top style="medium">
          <color theme="1" tint="0.24994659260841701"/>
        </top>
        <bottom style="medium">
          <color theme="1" tint="0.24994659260841701"/>
        </bottom>
      </border>
    </dxf>
    <dxf>
      <font>
        <b val="0"/>
        <i val="0"/>
        <color theme="1"/>
      </font>
      <border>
        <left/>
        <right/>
        <top style="medium">
          <color theme="1" tint="0.24994659260841701"/>
        </top>
        <bottom style="medium">
          <color theme="1" tint="0.24994659260841701"/>
        </bottom>
        <horizontal style="thin">
          <color theme="1" tint="0.24994659260841701"/>
        </horizontal>
      </border>
    </dxf>
  </dxfs>
  <tableStyles count="2" defaultTableStyle="Invoice with Sales Tax" defaultPivotStyle="PivotStyleLight16">
    <tableStyle name="Invoice with Sales Tax" pivot="0" count="5" xr9:uid="{00000000-0011-0000-FFFF-FFFF00000000}">
      <tableStyleElement type="wholeTable" dxfId="205"/>
      <tableStyleElement type="headerRow" dxfId="204"/>
      <tableStyleElement type="totalRow" dxfId="203"/>
      <tableStyleElement type="lastColumn" dxfId="202"/>
      <tableStyleElement type="firstRowStripe" dxfId="201"/>
    </tableStyle>
    <tableStyle name="Table Style 1" pivot="0" count="2" xr9:uid="{DB30ACD6-C56F-46B0-89F3-5D1E15946695}">
      <tableStyleElement type="firstRowStripe" dxfId="200"/>
      <tableStyleElement type="secondRowStripe" dxfId="199"/>
    </tableStyle>
  </tableStyles>
  <colors>
    <mruColors>
      <color rgb="FFFFFFFF"/>
      <color rgb="FFFF66FF"/>
      <color rgb="FF66FFFF"/>
      <color rgb="FFCCCCFF"/>
      <color rgb="FFFFCCCC"/>
      <color rgb="FFFF9966"/>
      <color rgb="FF9F5FCF"/>
      <color rgb="FF9999FF"/>
      <color rgb="FFCC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22/10/relationships/richValueRel" Target="richData/richValueRel.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externalLink" Target="externalLinks/externalLink1.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twoCellAnchor editAs="absolute">
    <xdr:from>
      <xdr:col>5</xdr:col>
      <xdr:colOff>98877</xdr:colOff>
      <xdr:row>1</xdr:row>
      <xdr:rowOff>22608</xdr:rowOff>
    </xdr:from>
    <xdr:to>
      <xdr:col>6</xdr:col>
      <xdr:colOff>702798</xdr:colOff>
      <xdr:row>5</xdr:row>
      <xdr:rowOff>57438</xdr:rowOff>
    </xdr:to>
    <mc:AlternateContent xmlns:mc="http://schemas.openxmlformats.org/markup-compatibility/2006" xmlns:sle15="http://schemas.microsoft.com/office/drawing/2012/slicer">
      <mc:Choice Requires="sle15">
        <xdr:graphicFrame macro="">
          <xdr:nvGraphicFramePr>
            <xdr:cNvPr id="2" name="Column6">
              <a:extLst>
                <a:ext uri="{FF2B5EF4-FFF2-40B4-BE49-F238E27FC236}">
                  <a16:creationId xmlns:a16="http://schemas.microsoft.com/office/drawing/2014/main" id="{95752BC6-9C5C-9132-54AB-13B1DFC4F0DF}"/>
                </a:ext>
              </a:extLst>
            </xdr:cNvPr>
            <xdr:cNvGraphicFramePr/>
          </xdr:nvGraphicFramePr>
          <xdr:xfrm>
            <a:off x="0" y="0"/>
            <a:ext cx="0" cy="0"/>
          </xdr:xfrm>
          <a:graphic>
            <a:graphicData uri="http://schemas.microsoft.com/office/drawing/2010/slicer">
              <sle:slicer xmlns:sle="http://schemas.microsoft.com/office/drawing/2010/slicer" name="Column6"/>
            </a:graphicData>
          </a:graphic>
        </xdr:graphicFrame>
      </mc:Choice>
      <mc:Fallback xmlns="">
        <xdr:sp macro="" textlink="">
          <xdr:nvSpPr>
            <xdr:cNvPr id="0" name=""/>
            <xdr:cNvSpPr>
              <a:spLocks noTextEdit="1"/>
            </xdr:cNvSpPr>
          </xdr:nvSpPr>
          <xdr:spPr>
            <a:xfrm>
              <a:off x="3783075" y="193339"/>
              <a:ext cx="1412648" cy="99631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761603</xdr:colOff>
      <xdr:row>1</xdr:row>
      <xdr:rowOff>17470</xdr:rowOff>
    </xdr:from>
    <xdr:to>
      <xdr:col>7</xdr:col>
      <xdr:colOff>629546</xdr:colOff>
      <xdr:row>5</xdr:row>
      <xdr:rowOff>58265</xdr:rowOff>
    </xdr:to>
    <mc:AlternateContent xmlns:mc="http://schemas.openxmlformats.org/markup-compatibility/2006" xmlns:sle15="http://schemas.microsoft.com/office/drawing/2012/slicer">
      <mc:Choice Requires="sle15">
        <xdr:graphicFrame macro="">
          <xdr:nvGraphicFramePr>
            <xdr:cNvPr id="3" name="COMBO?">
              <a:extLst>
                <a:ext uri="{FF2B5EF4-FFF2-40B4-BE49-F238E27FC236}">
                  <a16:creationId xmlns:a16="http://schemas.microsoft.com/office/drawing/2014/main" id="{C7311477-628C-8B7E-A3B1-1087C31175AD}"/>
                </a:ext>
              </a:extLst>
            </xdr:cNvPr>
            <xdr:cNvGraphicFramePr/>
          </xdr:nvGraphicFramePr>
          <xdr:xfrm>
            <a:off x="0" y="0"/>
            <a:ext cx="0" cy="0"/>
          </xdr:xfrm>
          <a:graphic>
            <a:graphicData uri="http://schemas.microsoft.com/office/drawing/2010/slicer">
              <sle:slicer xmlns:sle="http://schemas.microsoft.com/office/drawing/2010/slicer" name="COMBO?"/>
            </a:graphicData>
          </a:graphic>
        </xdr:graphicFrame>
      </mc:Choice>
      <mc:Fallback xmlns="">
        <xdr:sp macro="" textlink="">
          <xdr:nvSpPr>
            <xdr:cNvPr id="0" name=""/>
            <xdr:cNvSpPr>
              <a:spLocks noTextEdit="1"/>
            </xdr:cNvSpPr>
          </xdr:nvSpPr>
          <xdr:spPr>
            <a:xfrm>
              <a:off x="5254528" y="188201"/>
              <a:ext cx="1296693" cy="100228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244487</xdr:colOff>
      <xdr:row>2</xdr:row>
      <xdr:rowOff>206460</xdr:rowOff>
    </xdr:from>
    <xdr:to>
      <xdr:col>5</xdr:col>
      <xdr:colOff>58264</xdr:colOff>
      <xdr:row>5</xdr:row>
      <xdr:rowOff>58014</xdr:rowOff>
    </xdr:to>
    <mc:AlternateContent xmlns:mc="http://schemas.openxmlformats.org/markup-compatibility/2006" xmlns:sle15="http://schemas.microsoft.com/office/drawing/2012/slicer">
      <mc:Choice Requires="sle15">
        <xdr:graphicFrame macro="">
          <xdr:nvGraphicFramePr>
            <xdr:cNvPr id="4" name="Column1">
              <a:extLst>
                <a:ext uri="{FF2B5EF4-FFF2-40B4-BE49-F238E27FC236}">
                  <a16:creationId xmlns:a16="http://schemas.microsoft.com/office/drawing/2014/main" id="{15B1369C-63D2-D904-B709-1E64BD291FD0}"/>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244487" y="624446"/>
              <a:ext cx="341983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1843288studiosnaiderochicag.sharepoint.com/sites/210/Shared%20Documents/SHIPMENTS/MH%20Project%20Container%20Matrices%20&amp;%20Docs/OMM/20260420_Optima_Container%20Matrix%20&amp;%20Schedule.xlsx" TargetMode="External"/><Relationship Id="rId1" Type="http://schemas.openxmlformats.org/officeDocument/2006/relationships/externalLinkPath" Target="https://1843288studiosnaiderochicag.sharepoint.com/sites/210/Shared%20Documents/SHIPMENTS/MH%20Project%20Container%20Matrices%20&amp;%20Docs/OMM/20260420_Optima_Container%20Matrix%20&amp;%20Schedu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60420_Optima_Container Matri"/>
      <sheetName val="OMM_Overall Container Matrix"/>
      <sheetName val="OMM_Buildout "/>
      <sheetName val="OMM_Container Status"/>
      <sheetName val="OMM_Building Matrix"/>
      <sheetName val="OMM_Unit Matrix"/>
      <sheetName val="-"/>
    </sheetNames>
    <sheetDataSet>
      <sheetData sheetId="0" refreshError="1"/>
      <sheetData sheetId="1">
        <row r="11">
          <cell r="C11">
            <v>11</v>
          </cell>
          <cell r="D11" t="str">
            <v>PROJ</v>
          </cell>
          <cell r="E11">
            <v>1</v>
          </cell>
          <cell r="F11" t="b">
            <v>0</v>
          </cell>
          <cell r="G11" t="str">
            <v>WEEK 31</v>
          </cell>
          <cell r="H11" t="str">
            <v>---</v>
          </cell>
          <cell r="I11" t="str">
            <v>---</v>
          </cell>
          <cell r="J11" t="str">
            <v>---</v>
          </cell>
          <cell r="K11" t="str">
            <v>XXXXXXXXX</v>
          </cell>
          <cell r="L11" t="str">
            <v>XXXXXXXXX</v>
          </cell>
          <cell r="M11" t="str">
            <v>(07/27/26-08/02/26)</v>
          </cell>
          <cell r="N11">
            <v>46240</v>
          </cell>
          <cell r="O11" t="b">
            <v>0</v>
          </cell>
          <cell r="P11">
            <v>-4</v>
          </cell>
          <cell r="Q11">
            <v>46236</v>
          </cell>
          <cell r="R11" t="str">
            <v>XXXXXX XXXX</v>
          </cell>
          <cell r="S11" t="b">
            <v>0</v>
          </cell>
          <cell r="T11" t="str">
            <v>XXXXXX XXXX</v>
          </cell>
          <cell r="U11" t="b">
            <v>0</v>
          </cell>
          <cell r="V11">
            <v>46261</v>
          </cell>
          <cell r="W11">
            <v>25</v>
          </cell>
          <cell r="X11" t="b">
            <v>0</v>
          </cell>
          <cell r="Y11" t="b">
            <v>0</v>
          </cell>
          <cell r="Z11">
            <v>8</v>
          </cell>
          <cell r="AA11">
            <v>46269</v>
          </cell>
          <cell r="AB11">
            <v>46274</v>
          </cell>
          <cell r="AC11" t="b">
            <v>0</v>
          </cell>
          <cell r="AD11">
            <v>13</v>
          </cell>
          <cell r="AE11" t="b">
            <v>0</v>
          </cell>
          <cell r="AF11">
            <v>46279</v>
          </cell>
          <cell r="AG11" t="str">
            <v>XX PM</v>
          </cell>
          <cell r="AH11" t="str">
            <v>XXXXXXX</v>
          </cell>
          <cell r="AI11">
            <v>5</v>
          </cell>
          <cell r="AJ11">
            <v>2</v>
          </cell>
          <cell r="AK11" t="b">
            <v>0</v>
          </cell>
          <cell r="AL11" t="b">
            <v>0</v>
          </cell>
          <cell r="AM11" t="b">
            <v>0</v>
          </cell>
          <cell r="AN11" t="str">
            <v>---</v>
          </cell>
          <cell r="AO11" t="str">
            <v/>
          </cell>
          <cell r="AP11">
            <v>38</v>
          </cell>
        </row>
        <row r="12">
          <cell r="C12">
            <v>11</v>
          </cell>
          <cell r="D12" t="str">
            <v>PROJ</v>
          </cell>
          <cell r="E12">
            <v>2</v>
          </cell>
          <cell r="F12" t="b">
            <v>0</v>
          </cell>
          <cell r="G12" t="str">
            <v>WEEK 31</v>
          </cell>
          <cell r="H12" t="str">
            <v>---</v>
          </cell>
          <cell r="I12" t="str">
            <v>---</v>
          </cell>
          <cell r="J12" t="str">
            <v>---</v>
          </cell>
          <cell r="K12" t="str">
            <v>XXXXXXXXX</v>
          </cell>
          <cell r="L12" t="str">
            <v>XXXXXXXXX</v>
          </cell>
          <cell r="M12" t="str">
            <v>(07/27/26-08/02/26)</v>
          </cell>
          <cell r="N12">
            <v>46240</v>
          </cell>
          <cell r="O12" t="b">
            <v>0</v>
          </cell>
          <cell r="P12">
            <v>-4</v>
          </cell>
          <cell r="Q12">
            <v>46236</v>
          </cell>
          <cell r="R12" t="str">
            <v>XXXXXX XXXX</v>
          </cell>
          <cell r="S12" t="b">
            <v>0</v>
          </cell>
          <cell r="T12" t="str">
            <v>XXXXXX XXXX</v>
          </cell>
          <cell r="U12" t="b">
            <v>0</v>
          </cell>
          <cell r="V12">
            <v>46261</v>
          </cell>
          <cell r="W12">
            <v>25</v>
          </cell>
          <cell r="X12" t="b">
            <v>0</v>
          </cell>
          <cell r="Y12" t="b">
            <v>0</v>
          </cell>
          <cell r="Z12">
            <v>8</v>
          </cell>
          <cell r="AA12">
            <v>46269</v>
          </cell>
          <cell r="AB12">
            <v>46274</v>
          </cell>
          <cell r="AC12" t="b">
            <v>0</v>
          </cell>
          <cell r="AD12">
            <v>13</v>
          </cell>
          <cell r="AE12" t="b">
            <v>0</v>
          </cell>
          <cell r="AF12">
            <v>46279</v>
          </cell>
          <cell r="AG12" t="str">
            <v>XX PM</v>
          </cell>
          <cell r="AH12" t="str">
            <v>XXXXXXX</v>
          </cell>
          <cell r="AI12">
            <v>5</v>
          </cell>
          <cell r="AJ12">
            <v>2</v>
          </cell>
          <cell r="AK12" t="b">
            <v>0</v>
          </cell>
          <cell r="AL12" t="b">
            <v>0</v>
          </cell>
          <cell r="AM12" t="b">
            <v>0</v>
          </cell>
          <cell r="AN12" t="str">
            <v>---</v>
          </cell>
          <cell r="AO12" t="str">
            <v/>
          </cell>
          <cell r="AP12">
            <v>38</v>
          </cell>
        </row>
        <row r="13">
          <cell r="C13">
            <v>11</v>
          </cell>
          <cell r="D13" t="str">
            <v>PROJ</v>
          </cell>
          <cell r="E13">
            <v>3</v>
          </cell>
          <cell r="F13" t="b">
            <v>0</v>
          </cell>
          <cell r="G13" t="str">
            <v>WEEK 34</v>
          </cell>
          <cell r="H13" t="str">
            <v>---</v>
          </cell>
          <cell r="I13" t="str">
            <v>---</v>
          </cell>
          <cell r="J13" t="str">
            <v>---</v>
          </cell>
          <cell r="K13" t="str">
            <v>XXXXXXXXX</v>
          </cell>
          <cell r="L13" t="str">
            <v>XXXXXXXXX</v>
          </cell>
          <cell r="M13" t="str">
            <v>(08/17/26-08/23/26)</v>
          </cell>
          <cell r="N13">
            <v>46253</v>
          </cell>
          <cell r="O13" t="b">
            <v>0</v>
          </cell>
          <cell r="P13">
            <v>4</v>
          </cell>
          <cell r="Q13">
            <v>46257</v>
          </cell>
          <cell r="R13" t="str">
            <v>XXXXXX XXXX</v>
          </cell>
          <cell r="S13" t="b">
            <v>0</v>
          </cell>
          <cell r="T13" t="str">
            <v>XXXXXX XXXX</v>
          </cell>
          <cell r="U13" t="b">
            <v>0</v>
          </cell>
          <cell r="V13">
            <v>46282</v>
          </cell>
          <cell r="W13">
            <v>25</v>
          </cell>
          <cell r="X13" t="b">
            <v>0</v>
          </cell>
          <cell r="Y13" t="b">
            <v>0</v>
          </cell>
          <cell r="Z13">
            <v>8</v>
          </cell>
          <cell r="AA13">
            <v>46290</v>
          </cell>
          <cell r="AB13">
            <v>46295</v>
          </cell>
          <cell r="AC13" t="b">
            <v>0</v>
          </cell>
          <cell r="AD13">
            <v>13</v>
          </cell>
          <cell r="AE13" t="b">
            <v>0</v>
          </cell>
          <cell r="AF13">
            <v>46300</v>
          </cell>
          <cell r="AG13" t="str">
            <v>XX PM</v>
          </cell>
          <cell r="AH13" t="str">
            <v>XXXXXXX</v>
          </cell>
          <cell r="AI13">
            <v>5</v>
          </cell>
          <cell r="AJ13">
            <v>2</v>
          </cell>
          <cell r="AK13" t="b">
            <v>0</v>
          </cell>
          <cell r="AL13" t="b">
            <v>0</v>
          </cell>
          <cell r="AM13" t="b">
            <v>0</v>
          </cell>
          <cell r="AN13" t="str">
            <v>---</v>
          </cell>
          <cell r="AO13" t="str">
            <v/>
          </cell>
          <cell r="AP13">
            <v>38</v>
          </cell>
        </row>
        <row r="14">
          <cell r="C14">
            <v>11</v>
          </cell>
          <cell r="D14" t="str">
            <v>PROJ</v>
          </cell>
          <cell r="E14">
            <v>4</v>
          </cell>
          <cell r="F14" t="b">
            <v>0</v>
          </cell>
          <cell r="G14" t="str">
            <v>WEEK 35</v>
          </cell>
          <cell r="H14" t="str">
            <v>---</v>
          </cell>
          <cell r="I14" t="str">
            <v>---</v>
          </cell>
          <cell r="J14" t="str">
            <v>---</v>
          </cell>
          <cell r="K14" t="str">
            <v>XXXXXXXXX</v>
          </cell>
          <cell r="L14" t="str">
            <v>XXXXXXXXX</v>
          </cell>
          <cell r="M14" t="str">
            <v>(08/24/26-08/30/26)</v>
          </cell>
          <cell r="N14">
            <v>46260</v>
          </cell>
          <cell r="O14" t="b">
            <v>0</v>
          </cell>
          <cell r="P14">
            <v>4</v>
          </cell>
          <cell r="Q14">
            <v>46264</v>
          </cell>
          <cell r="R14" t="str">
            <v>XXXXXX XXXX</v>
          </cell>
          <cell r="S14" t="b">
            <v>0</v>
          </cell>
          <cell r="T14" t="str">
            <v>XXXXXX XXXX</v>
          </cell>
          <cell r="U14" t="b">
            <v>0</v>
          </cell>
          <cell r="V14">
            <v>46289</v>
          </cell>
          <cell r="W14">
            <v>25</v>
          </cell>
          <cell r="X14" t="b">
            <v>0</v>
          </cell>
          <cell r="Y14" t="b">
            <v>0</v>
          </cell>
          <cell r="Z14">
            <v>8</v>
          </cell>
          <cell r="AA14">
            <v>46297</v>
          </cell>
          <cell r="AB14">
            <v>46302</v>
          </cell>
          <cell r="AC14" t="b">
            <v>0</v>
          </cell>
          <cell r="AD14">
            <v>13</v>
          </cell>
          <cell r="AE14" t="b">
            <v>0</v>
          </cell>
          <cell r="AF14">
            <v>46307</v>
          </cell>
          <cell r="AG14" t="str">
            <v>XX PM</v>
          </cell>
          <cell r="AH14" t="str">
            <v>XXXXXXX</v>
          </cell>
          <cell r="AI14">
            <v>5</v>
          </cell>
          <cell r="AJ14">
            <v>2</v>
          </cell>
          <cell r="AK14" t="b">
            <v>0</v>
          </cell>
          <cell r="AL14" t="b">
            <v>0</v>
          </cell>
          <cell r="AM14" t="b">
            <v>0</v>
          </cell>
          <cell r="AN14" t="str">
            <v>---</v>
          </cell>
          <cell r="AO14" t="str">
            <v/>
          </cell>
          <cell r="AP14">
            <v>38</v>
          </cell>
        </row>
        <row r="15">
          <cell r="C15">
            <v>11</v>
          </cell>
          <cell r="D15" t="str">
            <v>PROJ</v>
          </cell>
          <cell r="E15">
            <v>5</v>
          </cell>
          <cell r="F15" t="b">
            <v>0</v>
          </cell>
          <cell r="G15" t="str">
            <v>WEEK 36</v>
          </cell>
          <cell r="H15" t="str">
            <v>---</v>
          </cell>
          <cell r="I15" t="str">
            <v>---</v>
          </cell>
          <cell r="J15" t="str">
            <v>---</v>
          </cell>
          <cell r="K15" t="str">
            <v>XXXXXXXXX</v>
          </cell>
          <cell r="L15" t="str">
            <v>XXXXXXXXX</v>
          </cell>
          <cell r="M15" t="str">
            <v>(08/31/26-09/06/26)</v>
          </cell>
          <cell r="N15">
            <v>46267</v>
          </cell>
          <cell r="O15" t="b">
            <v>0</v>
          </cell>
          <cell r="P15">
            <v>4</v>
          </cell>
          <cell r="Q15">
            <v>46271</v>
          </cell>
          <cell r="R15" t="str">
            <v>XXXXXX XXXX</v>
          </cell>
          <cell r="S15" t="b">
            <v>0</v>
          </cell>
          <cell r="T15" t="str">
            <v>XXXXXX XXXX</v>
          </cell>
          <cell r="U15" t="b">
            <v>0</v>
          </cell>
          <cell r="V15">
            <v>46296</v>
          </cell>
          <cell r="W15">
            <v>25</v>
          </cell>
          <cell r="X15" t="b">
            <v>0</v>
          </cell>
          <cell r="Y15" t="b">
            <v>0</v>
          </cell>
          <cell r="Z15">
            <v>8</v>
          </cell>
          <cell r="AA15">
            <v>46304</v>
          </cell>
          <cell r="AB15">
            <v>46309</v>
          </cell>
          <cell r="AC15" t="b">
            <v>0</v>
          </cell>
          <cell r="AD15">
            <v>13</v>
          </cell>
          <cell r="AE15" t="b">
            <v>0</v>
          </cell>
          <cell r="AF15">
            <v>46314</v>
          </cell>
          <cell r="AG15" t="str">
            <v>XX PM</v>
          </cell>
          <cell r="AH15" t="str">
            <v>XXXXXXX</v>
          </cell>
          <cell r="AI15">
            <v>5</v>
          </cell>
          <cell r="AJ15">
            <v>2</v>
          </cell>
          <cell r="AK15" t="b">
            <v>0</v>
          </cell>
          <cell r="AL15" t="b">
            <v>0</v>
          </cell>
          <cell r="AM15" t="b">
            <v>0</v>
          </cell>
          <cell r="AN15" t="str">
            <v>---</v>
          </cell>
          <cell r="AO15" t="str">
            <v/>
          </cell>
          <cell r="AP15">
            <v>38</v>
          </cell>
        </row>
        <row r="16">
          <cell r="C16">
            <v>11</v>
          </cell>
          <cell r="D16" t="str">
            <v>PROJ</v>
          </cell>
          <cell r="E16">
            <v>6</v>
          </cell>
          <cell r="F16" t="b">
            <v>0</v>
          </cell>
          <cell r="G16" t="str">
            <v>WEEK 37</v>
          </cell>
          <cell r="H16" t="str">
            <v>---</v>
          </cell>
          <cell r="I16" t="str">
            <v>---</v>
          </cell>
          <cell r="J16" t="str">
            <v>---</v>
          </cell>
          <cell r="K16" t="str">
            <v>EDWIN</v>
          </cell>
          <cell r="L16" t="str">
            <v>XXXXXXXXX</v>
          </cell>
          <cell r="M16" t="str">
            <v>(09/07/26-09/13/26)</v>
          </cell>
          <cell r="N16">
            <v>46274</v>
          </cell>
          <cell r="O16" t="b">
            <v>0</v>
          </cell>
          <cell r="P16">
            <v>4</v>
          </cell>
          <cell r="Q16">
            <v>46278</v>
          </cell>
          <cell r="R16" t="str">
            <v>XXXXXX XXXX</v>
          </cell>
          <cell r="S16" t="b">
            <v>0</v>
          </cell>
          <cell r="T16" t="str">
            <v>XXXXXX XXXX</v>
          </cell>
          <cell r="U16" t="b">
            <v>0</v>
          </cell>
          <cell r="V16">
            <v>46303</v>
          </cell>
          <cell r="W16">
            <v>25</v>
          </cell>
          <cell r="X16" t="b">
            <v>0</v>
          </cell>
          <cell r="Y16" t="b">
            <v>0</v>
          </cell>
          <cell r="Z16">
            <v>8</v>
          </cell>
          <cell r="AA16">
            <v>46311</v>
          </cell>
          <cell r="AB16">
            <v>46316</v>
          </cell>
          <cell r="AC16" t="b">
            <v>0</v>
          </cell>
          <cell r="AD16">
            <v>13</v>
          </cell>
          <cell r="AE16" t="b">
            <v>0</v>
          </cell>
          <cell r="AF16">
            <v>46321</v>
          </cell>
          <cell r="AG16" t="str">
            <v>XX PM</v>
          </cell>
          <cell r="AH16" t="str">
            <v>XXXXXXX</v>
          </cell>
          <cell r="AI16">
            <v>5</v>
          </cell>
          <cell r="AJ16">
            <v>2</v>
          </cell>
          <cell r="AK16" t="b">
            <v>0</v>
          </cell>
          <cell r="AL16" t="b">
            <v>0</v>
          </cell>
          <cell r="AM16" t="b">
            <v>0</v>
          </cell>
          <cell r="AN16" t="str">
            <v>---</v>
          </cell>
          <cell r="AO16" t="str">
            <v/>
          </cell>
          <cell r="AP16">
            <v>38</v>
          </cell>
        </row>
        <row r="17">
          <cell r="C17">
            <v>11</v>
          </cell>
          <cell r="D17" t="str">
            <v>PROJ</v>
          </cell>
          <cell r="E17">
            <v>7</v>
          </cell>
          <cell r="F17" t="b">
            <v>0</v>
          </cell>
          <cell r="G17" t="str">
            <v>WEEK 38</v>
          </cell>
          <cell r="H17" t="str">
            <v>---</v>
          </cell>
          <cell r="I17" t="str">
            <v>---</v>
          </cell>
          <cell r="J17" t="str">
            <v>---</v>
          </cell>
          <cell r="K17" t="str">
            <v>XXXXXXXXX</v>
          </cell>
          <cell r="L17" t="str">
            <v>XXXXXXXXX</v>
          </cell>
          <cell r="M17" t="str">
            <v>(09/14/26-09/20/26)</v>
          </cell>
          <cell r="N17">
            <v>46281</v>
          </cell>
          <cell r="O17" t="b">
            <v>0</v>
          </cell>
          <cell r="P17">
            <v>4</v>
          </cell>
          <cell r="Q17">
            <v>46285</v>
          </cell>
          <cell r="R17" t="str">
            <v>XXXXXX XXXX</v>
          </cell>
          <cell r="S17" t="b">
            <v>0</v>
          </cell>
          <cell r="T17" t="str">
            <v>XXXXXX XXXX</v>
          </cell>
          <cell r="U17" t="b">
            <v>0</v>
          </cell>
          <cell r="V17">
            <v>46310</v>
          </cell>
          <cell r="W17">
            <v>25</v>
          </cell>
          <cell r="X17" t="b">
            <v>0</v>
          </cell>
          <cell r="Y17" t="b">
            <v>0</v>
          </cell>
          <cell r="Z17">
            <v>8</v>
          </cell>
          <cell r="AA17">
            <v>46318</v>
          </cell>
          <cell r="AB17">
            <v>46323</v>
          </cell>
          <cell r="AC17" t="b">
            <v>0</v>
          </cell>
          <cell r="AD17">
            <v>13</v>
          </cell>
          <cell r="AE17" t="b">
            <v>0</v>
          </cell>
          <cell r="AF17">
            <v>46328</v>
          </cell>
          <cell r="AG17" t="str">
            <v>XX PM</v>
          </cell>
          <cell r="AH17" t="str">
            <v>XXXXXXX</v>
          </cell>
          <cell r="AI17">
            <v>5</v>
          </cell>
          <cell r="AJ17">
            <v>2</v>
          </cell>
          <cell r="AK17" t="b">
            <v>0</v>
          </cell>
          <cell r="AL17" t="b">
            <v>0</v>
          </cell>
          <cell r="AM17" t="b">
            <v>0</v>
          </cell>
          <cell r="AN17" t="str">
            <v>---</v>
          </cell>
          <cell r="AO17" t="str">
            <v/>
          </cell>
          <cell r="AP17">
            <v>38</v>
          </cell>
        </row>
        <row r="18">
          <cell r="C18">
            <v>11</v>
          </cell>
          <cell r="D18" t="str">
            <v>PROJ</v>
          </cell>
          <cell r="E18">
            <v>8</v>
          </cell>
          <cell r="F18" t="b">
            <v>0</v>
          </cell>
          <cell r="G18" t="str">
            <v>WEEK 39</v>
          </cell>
          <cell r="H18" t="str">
            <v>---</v>
          </cell>
          <cell r="I18" t="str">
            <v>---</v>
          </cell>
          <cell r="J18" t="str">
            <v>---</v>
          </cell>
          <cell r="K18" t="str">
            <v>XXXXXXXXX</v>
          </cell>
          <cell r="L18" t="str">
            <v>XXXXXXXXX</v>
          </cell>
          <cell r="M18" t="str">
            <v>(09/21/26-09/27/26)</v>
          </cell>
          <cell r="N18">
            <v>46288</v>
          </cell>
          <cell r="O18" t="b">
            <v>0</v>
          </cell>
          <cell r="P18">
            <v>4</v>
          </cell>
          <cell r="Q18">
            <v>46292</v>
          </cell>
          <cell r="R18" t="str">
            <v>XXXXXX XXXX</v>
          </cell>
          <cell r="S18" t="b">
            <v>0</v>
          </cell>
          <cell r="T18" t="str">
            <v>XXXXXX XXXX</v>
          </cell>
          <cell r="U18" t="b">
            <v>0</v>
          </cell>
          <cell r="V18">
            <v>46317</v>
          </cell>
          <cell r="W18">
            <v>25</v>
          </cell>
          <cell r="X18" t="b">
            <v>0</v>
          </cell>
          <cell r="Y18" t="b">
            <v>0</v>
          </cell>
          <cell r="Z18">
            <v>8</v>
          </cell>
          <cell r="AA18">
            <v>46325</v>
          </cell>
          <cell r="AB18">
            <v>46330</v>
          </cell>
          <cell r="AC18" t="b">
            <v>0</v>
          </cell>
          <cell r="AD18">
            <v>13</v>
          </cell>
          <cell r="AE18" t="b">
            <v>0</v>
          </cell>
          <cell r="AF18">
            <v>46335</v>
          </cell>
          <cell r="AG18" t="str">
            <v>XX PM</v>
          </cell>
          <cell r="AH18" t="str">
            <v>XXXXXXX</v>
          </cell>
          <cell r="AI18">
            <v>5</v>
          </cell>
          <cell r="AJ18">
            <v>2</v>
          </cell>
          <cell r="AK18" t="b">
            <v>0</v>
          </cell>
          <cell r="AL18" t="b">
            <v>0</v>
          </cell>
          <cell r="AM18" t="b">
            <v>0</v>
          </cell>
          <cell r="AN18" t="str">
            <v>---</v>
          </cell>
          <cell r="AO18" t="str">
            <v/>
          </cell>
          <cell r="AP18">
            <v>38</v>
          </cell>
        </row>
        <row r="19">
          <cell r="C19">
            <v>11</v>
          </cell>
          <cell r="D19" t="str">
            <v>PROJ</v>
          </cell>
          <cell r="E19">
            <v>9</v>
          </cell>
          <cell r="F19" t="b">
            <v>0</v>
          </cell>
          <cell r="G19" t="str">
            <v>WEEK 40</v>
          </cell>
          <cell r="H19" t="str">
            <v>---</v>
          </cell>
          <cell r="I19" t="str">
            <v>---</v>
          </cell>
          <cell r="J19" t="str">
            <v>---</v>
          </cell>
          <cell r="K19" t="str">
            <v>XXXXXXXXX</v>
          </cell>
          <cell r="L19" t="str">
            <v>XXXXXXXXX</v>
          </cell>
          <cell r="M19" t="str">
            <v>(09/28/26-10/04/26)</v>
          </cell>
          <cell r="N19">
            <v>46295</v>
          </cell>
          <cell r="O19" t="b">
            <v>0</v>
          </cell>
          <cell r="P19">
            <v>4</v>
          </cell>
          <cell r="Q19">
            <v>46299</v>
          </cell>
          <cell r="R19" t="str">
            <v>XXXXXX XXXX</v>
          </cell>
          <cell r="S19" t="b">
            <v>0</v>
          </cell>
          <cell r="T19" t="str">
            <v>XXXXXX XXXX</v>
          </cell>
          <cell r="U19" t="b">
            <v>0</v>
          </cell>
          <cell r="V19">
            <v>46324</v>
          </cell>
          <cell r="W19">
            <v>25</v>
          </cell>
          <cell r="X19" t="b">
            <v>0</v>
          </cell>
          <cell r="Y19" t="b">
            <v>0</v>
          </cell>
          <cell r="Z19">
            <v>8</v>
          </cell>
          <cell r="AA19">
            <v>46332</v>
          </cell>
          <cell r="AB19">
            <v>46337</v>
          </cell>
          <cell r="AC19" t="b">
            <v>0</v>
          </cell>
          <cell r="AD19">
            <v>13</v>
          </cell>
          <cell r="AE19" t="b">
            <v>0</v>
          </cell>
          <cell r="AF19">
            <v>46342</v>
          </cell>
          <cell r="AG19" t="str">
            <v>XX PM</v>
          </cell>
          <cell r="AH19" t="str">
            <v>XXXXXXX</v>
          </cell>
          <cell r="AI19">
            <v>5</v>
          </cell>
          <cell r="AJ19">
            <v>2</v>
          </cell>
          <cell r="AK19" t="b">
            <v>0</v>
          </cell>
          <cell r="AL19" t="b">
            <v>0</v>
          </cell>
          <cell r="AM19" t="b">
            <v>0</v>
          </cell>
          <cell r="AN19" t="str">
            <v>---</v>
          </cell>
          <cell r="AO19" t="str">
            <v/>
          </cell>
          <cell r="AP19">
            <v>38</v>
          </cell>
        </row>
        <row r="20">
          <cell r="C20">
            <v>11</v>
          </cell>
          <cell r="D20" t="str">
            <v>PROJ</v>
          </cell>
          <cell r="E20">
            <v>10</v>
          </cell>
          <cell r="F20" t="b">
            <v>0</v>
          </cell>
          <cell r="G20" t="str">
            <v>WEEK 41</v>
          </cell>
          <cell r="H20" t="str">
            <v>---</v>
          </cell>
          <cell r="I20" t="str">
            <v>---</v>
          </cell>
          <cell r="J20" t="str">
            <v>---</v>
          </cell>
          <cell r="K20" t="str">
            <v>XXXXXXXXX</v>
          </cell>
          <cell r="L20" t="str">
            <v>XXXXXXXXX</v>
          </cell>
          <cell r="M20" t="str">
            <v>(10/05/26-10/11/26)</v>
          </cell>
          <cell r="N20">
            <v>46302</v>
          </cell>
          <cell r="O20" t="b">
            <v>0</v>
          </cell>
          <cell r="P20">
            <v>4</v>
          </cell>
          <cell r="Q20">
            <v>46306</v>
          </cell>
          <cell r="R20" t="str">
            <v>XXXXXX XXXX</v>
          </cell>
          <cell r="S20" t="b">
            <v>0</v>
          </cell>
          <cell r="T20" t="str">
            <v>XXXXXX XXXX</v>
          </cell>
          <cell r="U20" t="b">
            <v>0</v>
          </cell>
          <cell r="V20">
            <v>46331</v>
          </cell>
          <cell r="W20">
            <v>25</v>
          </cell>
          <cell r="X20" t="b">
            <v>0</v>
          </cell>
          <cell r="Y20" t="b">
            <v>0</v>
          </cell>
          <cell r="Z20">
            <v>8</v>
          </cell>
          <cell r="AA20">
            <v>46339</v>
          </cell>
          <cell r="AB20">
            <v>46344</v>
          </cell>
          <cell r="AC20" t="b">
            <v>0</v>
          </cell>
          <cell r="AD20">
            <v>13</v>
          </cell>
          <cell r="AE20" t="b">
            <v>0</v>
          </cell>
          <cell r="AF20">
            <v>46349</v>
          </cell>
          <cell r="AG20" t="str">
            <v>XX PM</v>
          </cell>
          <cell r="AH20" t="str">
            <v>XXXXXXX</v>
          </cell>
          <cell r="AI20">
            <v>5</v>
          </cell>
          <cell r="AJ20">
            <v>2</v>
          </cell>
          <cell r="AK20" t="b">
            <v>0</v>
          </cell>
          <cell r="AL20" t="b">
            <v>0</v>
          </cell>
          <cell r="AM20" t="b">
            <v>0</v>
          </cell>
          <cell r="AN20" t="str">
            <v>---</v>
          </cell>
          <cell r="AO20" t="str">
            <v/>
          </cell>
          <cell r="AP20">
            <v>38</v>
          </cell>
        </row>
        <row r="21">
          <cell r="C21">
            <v>11</v>
          </cell>
          <cell r="D21" t="str">
            <v>PROJ</v>
          </cell>
          <cell r="E21">
            <v>11</v>
          </cell>
          <cell r="F21" t="b">
            <v>0</v>
          </cell>
          <cell r="G21" t="str">
            <v>WEEK 42</v>
          </cell>
          <cell r="H21" t="str">
            <v>---</v>
          </cell>
          <cell r="I21" t="str">
            <v>---</v>
          </cell>
          <cell r="J21" t="str">
            <v>---</v>
          </cell>
          <cell r="K21" t="str">
            <v>XXXXXXXXX</v>
          </cell>
          <cell r="L21" t="str">
            <v>XXXXXXXXX</v>
          </cell>
          <cell r="M21" t="str">
            <v>(10/12/26-10/18/26)</v>
          </cell>
          <cell r="N21">
            <v>46309</v>
          </cell>
          <cell r="O21" t="b">
            <v>0</v>
          </cell>
          <cell r="P21">
            <v>4</v>
          </cell>
          <cell r="Q21">
            <v>46313</v>
          </cell>
          <cell r="R21" t="str">
            <v>XXXXXX XXXX</v>
          </cell>
          <cell r="S21" t="b">
            <v>0</v>
          </cell>
          <cell r="T21" t="str">
            <v>XXXXXX XXXX</v>
          </cell>
          <cell r="U21" t="b">
            <v>0</v>
          </cell>
          <cell r="V21">
            <v>46338</v>
          </cell>
          <cell r="W21">
            <v>25</v>
          </cell>
          <cell r="X21" t="b">
            <v>0</v>
          </cell>
          <cell r="Y21" t="b">
            <v>0</v>
          </cell>
          <cell r="Z21">
            <v>8</v>
          </cell>
          <cell r="AA21">
            <v>46346</v>
          </cell>
          <cell r="AB21">
            <v>46351</v>
          </cell>
          <cell r="AC21" t="b">
            <v>0</v>
          </cell>
          <cell r="AD21">
            <v>13</v>
          </cell>
          <cell r="AE21" t="b">
            <v>0</v>
          </cell>
          <cell r="AF21">
            <v>46356</v>
          </cell>
          <cell r="AG21" t="str">
            <v>XX PM</v>
          </cell>
          <cell r="AH21" t="str">
            <v>XXXXXXX</v>
          </cell>
          <cell r="AI21">
            <v>5</v>
          </cell>
          <cell r="AJ21">
            <v>2</v>
          </cell>
          <cell r="AK21" t="b">
            <v>0</v>
          </cell>
          <cell r="AL21" t="b">
            <v>0</v>
          </cell>
          <cell r="AM21" t="b">
            <v>0</v>
          </cell>
          <cell r="AN21" t="str">
            <v>---</v>
          </cell>
          <cell r="AO21" t="str">
            <v/>
          </cell>
          <cell r="AP21">
            <v>38</v>
          </cell>
        </row>
        <row r="22">
          <cell r="C22">
            <v>11</v>
          </cell>
          <cell r="D22" t="str">
            <v>PROJ</v>
          </cell>
          <cell r="E22">
            <v>12</v>
          </cell>
          <cell r="F22" t="b">
            <v>0</v>
          </cell>
          <cell r="G22" t="str">
            <v>WEEK 43</v>
          </cell>
          <cell r="H22" t="str">
            <v>---</v>
          </cell>
          <cell r="I22" t="str">
            <v>---</v>
          </cell>
          <cell r="J22" t="str">
            <v>---</v>
          </cell>
          <cell r="K22" t="str">
            <v>XXXXXXXXX</v>
          </cell>
          <cell r="L22" t="str">
            <v>XXXXXXXXX</v>
          </cell>
          <cell r="M22" t="str">
            <v>(10/19/26-10/25/26)</v>
          </cell>
          <cell r="N22">
            <v>46316</v>
          </cell>
          <cell r="O22" t="b">
            <v>0</v>
          </cell>
          <cell r="P22">
            <v>4</v>
          </cell>
          <cell r="Q22">
            <v>46320</v>
          </cell>
          <cell r="R22" t="str">
            <v>XXXXXX XXXX</v>
          </cell>
          <cell r="S22" t="b">
            <v>0</v>
          </cell>
          <cell r="T22" t="str">
            <v>XXXXXX XXXX</v>
          </cell>
          <cell r="U22" t="b">
            <v>0</v>
          </cell>
          <cell r="V22">
            <v>46345</v>
          </cell>
          <cell r="W22">
            <v>25</v>
          </cell>
          <cell r="X22" t="b">
            <v>0</v>
          </cell>
          <cell r="Y22" t="b">
            <v>0</v>
          </cell>
          <cell r="Z22">
            <v>8</v>
          </cell>
          <cell r="AA22">
            <v>46353</v>
          </cell>
          <cell r="AB22">
            <v>46358</v>
          </cell>
          <cell r="AC22" t="b">
            <v>0</v>
          </cell>
          <cell r="AD22">
            <v>13</v>
          </cell>
          <cell r="AE22" t="b">
            <v>0</v>
          </cell>
          <cell r="AF22">
            <v>46363</v>
          </cell>
          <cell r="AG22" t="str">
            <v>XX PM</v>
          </cell>
          <cell r="AH22" t="str">
            <v>XXXXXXX</v>
          </cell>
          <cell r="AI22">
            <v>5</v>
          </cell>
          <cell r="AJ22">
            <v>2</v>
          </cell>
          <cell r="AK22" t="b">
            <v>0</v>
          </cell>
          <cell r="AL22" t="b">
            <v>0</v>
          </cell>
          <cell r="AM22" t="b">
            <v>0</v>
          </cell>
          <cell r="AN22" t="str">
            <v>---</v>
          </cell>
          <cell r="AO22" t="str">
            <v/>
          </cell>
          <cell r="AP22">
            <v>38</v>
          </cell>
        </row>
        <row r="23">
          <cell r="C23">
            <v>11</v>
          </cell>
          <cell r="D23" t="str">
            <v>PROJ</v>
          </cell>
          <cell r="E23">
            <v>13</v>
          </cell>
          <cell r="F23" t="b">
            <v>0</v>
          </cell>
          <cell r="G23" t="str">
            <v>WEEK 44</v>
          </cell>
          <cell r="H23" t="str">
            <v>---</v>
          </cell>
          <cell r="I23" t="str">
            <v>---</v>
          </cell>
          <cell r="J23" t="str">
            <v>---</v>
          </cell>
          <cell r="K23" t="str">
            <v>XXXXXXXXX</v>
          </cell>
          <cell r="L23" t="str">
            <v>XXXXXXXXX</v>
          </cell>
          <cell r="M23" t="str">
            <v>(10/26/26-11/01/26)</v>
          </cell>
          <cell r="N23">
            <v>46323</v>
          </cell>
          <cell r="O23" t="b">
            <v>0</v>
          </cell>
          <cell r="P23">
            <v>4</v>
          </cell>
          <cell r="Q23">
            <v>46327</v>
          </cell>
          <cell r="R23" t="str">
            <v>XXXXXX XXXX</v>
          </cell>
          <cell r="S23" t="b">
            <v>0</v>
          </cell>
          <cell r="T23" t="str">
            <v>XXXXXX XXXX</v>
          </cell>
          <cell r="U23" t="b">
            <v>0</v>
          </cell>
          <cell r="V23">
            <v>46352</v>
          </cell>
          <cell r="W23">
            <v>25</v>
          </cell>
          <cell r="X23" t="b">
            <v>0</v>
          </cell>
          <cell r="Y23" t="b">
            <v>0</v>
          </cell>
          <cell r="Z23">
            <v>8</v>
          </cell>
          <cell r="AA23">
            <v>46360</v>
          </cell>
          <cell r="AB23">
            <v>46365</v>
          </cell>
          <cell r="AC23" t="b">
            <v>0</v>
          </cell>
          <cell r="AD23">
            <v>13</v>
          </cell>
          <cell r="AE23" t="b">
            <v>0</v>
          </cell>
          <cell r="AF23">
            <v>46370</v>
          </cell>
          <cell r="AG23" t="str">
            <v>XX PM</v>
          </cell>
          <cell r="AH23" t="str">
            <v>XXXXXXX</v>
          </cell>
          <cell r="AI23">
            <v>5</v>
          </cell>
          <cell r="AJ23">
            <v>2</v>
          </cell>
          <cell r="AK23" t="b">
            <v>0</v>
          </cell>
          <cell r="AL23" t="b">
            <v>0</v>
          </cell>
          <cell r="AM23" t="b">
            <v>0</v>
          </cell>
          <cell r="AN23" t="str">
            <v>---</v>
          </cell>
          <cell r="AO23" t="str">
            <v/>
          </cell>
          <cell r="AP23">
            <v>38</v>
          </cell>
        </row>
        <row r="24">
          <cell r="C24">
            <v>11</v>
          </cell>
          <cell r="D24" t="str">
            <v>PROJ</v>
          </cell>
          <cell r="E24">
            <v>14</v>
          </cell>
          <cell r="F24" t="b">
            <v>0</v>
          </cell>
          <cell r="G24" t="str">
            <v>WEEK 45</v>
          </cell>
          <cell r="H24" t="str">
            <v>---</v>
          </cell>
          <cell r="I24" t="str">
            <v>---</v>
          </cell>
          <cell r="J24" t="str">
            <v>---</v>
          </cell>
          <cell r="K24" t="str">
            <v>XXXXXXXXX</v>
          </cell>
          <cell r="L24" t="str">
            <v>XXXXXXXXX</v>
          </cell>
          <cell r="M24" t="str">
            <v>(11/02/26-11/08/26)</v>
          </cell>
          <cell r="N24">
            <v>46330</v>
          </cell>
          <cell r="O24" t="b">
            <v>0</v>
          </cell>
          <cell r="P24">
            <v>4</v>
          </cell>
          <cell r="Q24">
            <v>46334</v>
          </cell>
          <cell r="R24" t="str">
            <v>XXXXXX XXXX</v>
          </cell>
          <cell r="S24" t="b">
            <v>0</v>
          </cell>
          <cell r="T24" t="str">
            <v>XXXXXX XXXX</v>
          </cell>
          <cell r="U24" t="b">
            <v>0</v>
          </cell>
          <cell r="V24">
            <v>46359</v>
          </cell>
          <cell r="W24">
            <v>25</v>
          </cell>
          <cell r="X24" t="b">
            <v>0</v>
          </cell>
          <cell r="Y24" t="b">
            <v>0</v>
          </cell>
          <cell r="Z24">
            <v>8</v>
          </cell>
          <cell r="AA24">
            <v>46367</v>
          </cell>
          <cell r="AB24">
            <v>46372</v>
          </cell>
          <cell r="AC24" t="b">
            <v>0</v>
          </cell>
          <cell r="AD24">
            <v>13</v>
          </cell>
          <cell r="AE24" t="b">
            <v>0</v>
          </cell>
          <cell r="AF24">
            <v>46377</v>
          </cell>
          <cell r="AG24" t="str">
            <v>XX PM</v>
          </cell>
          <cell r="AH24" t="str">
            <v>XXXXXXX</v>
          </cell>
          <cell r="AI24">
            <v>5</v>
          </cell>
          <cell r="AJ24">
            <v>2</v>
          </cell>
          <cell r="AK24" t="b">
            <v>0</v>
          </cell>
          <cell r="AL24" t="b">
            <v>0</v>
          </cell>
          <cell r="AM24" t="b">
            <v>0</v>
          </cell>
          <cell r="AN24" t="str">
            <v>---</v>
          </cell>
          <cell r="AO24" t="str">
            <v/>
          </cell>
          <cell r="AP24">
            <v>38</v>
          </cell>
        </row>
        <row r="25">
          <cell r="C25">
            <v>11</v>
          </cell>
          <cell r="D25" t="str">
            <v>PROJ</v>
          </cell>
          <cell r="E25">
            <v>15</v>
          </cell>
          <cell r="F25" t="b">
            <v>0</v>
          </cell>
          <cell r="G25" t="str">
            <v>WEEK 46</v>
          </cell>
          <cell r="H25" t="str">
            <v>---</v>
          </cell>
          <cell r="I25" t="str">
            <v>---</v>
          </cell>
          <cell r="J25" t="str">
            <v>---</v>
          </cell>
          <cell r="K25" t="str">
            <v>XXXXXXXXX</v>
          </cell>
          <cell r="L25" t="str">
            <v>XXXXXXXXX</v>
          </cell>
          <cell r="M25" t="str">
            <v>(11/09/26-11/15/26)</v>
          </cell>
          <cell r="N25">
            <v>46337</v>
          </cell>
          <cell r="O25" t="b">
            <v>0</v>
          </cell>
          <cell r="P25">
            <v>4</v>
          </cell>
          <cell r="Q25">
            <v>46341</v>
          </cell>
          <cell r="R25" t="str">
            <v>XXXXXX XXXX</v>
          </cell>
          <cell r="S25" t="b">
            <v>0</v>
          </cell>
          <cell r="T25" t="str">
            <v>XXXXXX XXXX</v>
          </cell>
          <cell r="U25" t="b">
            <v>0</v>
          </cell>
          <cell r="V25">
            <v>46366</v>
          </cell>
          <cell r="W25">
            <v>25</v>
          </cell>
          <cell r="X25" t="b">
            <v>0</v>
          </cell>
          <cell r="Y25" t="b">
            <v>0</v>
          </cell>
          <cell r="Z25">
            <v>8</v>
          </cell>
          <cell r="AA25">
            <v>46374</v>
          </cell>
          <cell r="AB25">
            <v>46379</v>
          </cell>
          <cell r="AC25" t="b">
            <v>0</v>
          </cell>
          <cell r="AD25">
            <v>13</v>
          </cell>
          <cell r="AE25" t="b">
            <v>0</v>
          </cell>
          <cell r="AF25">
            <v>46384</v>
          </cell>
          <cell r="AG25" t="str">
            <v>XX PM</v>
          </cell>
          <cell r="AH25" t="str">
            <v>XXXXXXX</v>
          </cell>
          <cell r="AI25">
            <v>5</v>
          </cell>
          <cell r="AJ25">
            <v>2</v>
          </cell>
          <cell r="AK25" t="b">
            <v>0</v>
          </cell>
          <cell r="AL25" t="b">
            <v>0</v>
          </cell>
          <cell r="AM25" t="b">
            <v>0</v>
          </cell>
          <cell r="AN25" t="str">
            <v>---</v>
          </cell>
          <cell r="AO25" t="str">
            <v/>
          </cell>
          <cell r="AP25">
            <v>38</v>
          </cell>
        </row>
        <row r="26">
          <cell r="C26">
            <v>11</v>
          </cell>
          <cell r="D26" t="str">
            <v>PROJ</v>
          </cell>
          <cell r="E26">
            <v>16</v>
          </cell>
          <cell r="F26" t="b">
            <v>0</v>
          </cell>
          <cell r="G26" t="str">
            <v>WEEK 47</v>
          </cell>
          <cell r="H26" t="str">
            <v>---</v>
          </cell>
          <cell r="I26" t="str">
            <v>---</v>
          </cell>
          <cell r="J26" t="str">
            <v>---</v>
          </cell>
          <cell r="K26" t="str">
            <v>XXXXXXXXX</v>
          </cell>
          <cell r="L26" t="str">
            <v>XXXXXXXXX</v>
          </cell>
          <cell r="M26" t="str">
            <v>(11/16/26-11/22/26)</v>
          </cell>
          <cell r="N26">
            <v>46344</v>
          </cell>
          <cell r="O26" t="b">
            <v>0</v>
          </cell>
          <cell r="P26">
            <v>4</v>
          </cell>
          <cell r="Q26">
            <v>46348</v>
          </cell>
          <cell r="R26" t="str">
            <v>XXXXXX XXXX</v>
          </cell>
          <cell r="S26" t="b">
            <v>0</v>
          </cell>
          <cell r="T26" t="str">
            <v>XXXXXX XXXX</v>
          </cell>
          <cell r="U26" t="b">
            <v>0</v>
          </cell>
          <cell r="V26">
            <v>46373</v>
          </cell>
          <cell r="W26">
            <v>25</v>
          </cell>
          <cell r="X26" t="b">
            <v>0</v>
          </cell>
          <cell r="Y26" t="b">
            <v>0</v>
          </cell>
          <cell r="Z26">
            <v>8</v>
          </cell>
          <cell r="AA26">
            <v>46381</v>
          </cell>
          <cell r="AB26">
            <v>46386</v>
          </cell>
          <cell r="AC26" t="b">
            <v>0</v>
          </cell>
          <cell r="AD26">
            <v>13</v>
          </cell>
          <cell r="AE26" t="b">
            <v>0</v>
          </cell>
          <cell r="AF26">
            <v>46391</v>
          </cell>
          <cell r="AG26" t="str">
            <v>XX PM</v>
          </cell>
          <cell r="AH26" t="str">
            <v>XXXXXXX</v>
          </cell>
          <cell r="AI26">
            <v>5</v>
          </cell>
          <cell r="AJ26">
            <v>2</v>
          </cell>
          <cell r="AK26" t="b">
            <v>0</v>
          </cell>
          <cell r="AL26" t="b">
            <v>0</v>
          </cell>
          <cell r="AM26" t="b">
            <v>0</v>
          </cell>
          <cell r="AN26" t="str">
            <v>---</v>
          </cell>
          <cell r="AO26" t="str">
            <v/>
          </cell>
          <cell r="AP26">
            <v>38</v>
          </cell>
        </row>
        <row r="27">
          <cell r="C27">
            <v>11</v>
          </cell>
          <cell r="D27" t="str">
            <v>PROJ</v>
          </cell>
          <cell r="E27">
            <v>17</v>
          </cell>
          <cell r="F27" t="b">
            <v>0</v>
          </cell>
          <cell r="G27" t="str">
            <v>WEEK 48</v>
          </cell>
          <cell r="H27" t="str">
            <v>---</v>
          </cell>
          <cell r="I27" t="str">
            <v>---</v>
          </cell>
          <cell r="J27" t="str">
            <v>---</v>
          </cell>
          <cell r="K27" t="str">
            <v>XXXXXXXXX</v>
          </cell>
          <cell r="L27" t="str">
            <v>XXXXXXXXX</v>
          </cell>
          <cell r="M27" t="str">
            <v>(11/23/26-11/29/26)</v>
          </cell>
          <cell r="N27">
            <v>46351</v>
          </cell>
          <cell r="O27" t="b">
            <v>0</v>
          </cell>
          <cell r="P27">
            <v>4</v>
          </cell>
          <cell r="Q27">
            <v>46355</v>
          </cell>
          <cell r="R27" t="str">
            <v>XXXXXX XXXX</v>
          </cell>
          <cell r="S27" t="b">
            <v>0</v>
          </cell>
          <cell r="T27" t="str">
            <v>XXXXXX XXXX</v>
          </cell>
          <cell r="U27" t="b">
            <v>0</v>
          </cell>
          <cell r="V27">
            <v>46380</v>
          </cell>
          <cell r="W27">
            <v>25</v>
          </cell>
          <cell r="X27" t="b">
            <v>0</v>
          </cell>
          <cell r="Y27" t="b">
            <v>0</v>
          </cell>
          <cell r="Z27">
            <v>8</v>
          </cell>
          <cell r="AA27">
            <v>46388</v>
          </cell>
          <cell r="AB27">
            <v>46393</v>
          </cell>
          <cell r="AC27" t="b">
            <v>0</v>
          </cell>
          <cell r="AD27">
            <v>13</v>
          </cell>
          <cell r="AE27" t="b">
            <v>0</v>
          </cell>
          <cell r="AF27">
            <v>46398</v>
          </cell>
          <cell r="AG27" t="str">
            <v>XX PM</v>
          </cell>
          <cell r="AH27" t="str">
            <v>XXXXXXX</v>
          </cell>
          <cell r="AI27">
            <v>5</v>
          </cell>
          <cell r="AJ27">
            <v>2</v>
          </cell>
          <cell r="AK27" t="b">
            <v>0</v>
          </cell>
          <cell r="AL27" t="b">
            <v>0</v>
          </cell>
          <cell r="AM27" t="b">
            <v>0</v>
          </cell>
          <cell r="AN27" t="str">
            <v>---</v>
          </cell>
          <cell r="AO27" t="str">
            <v/>
          </cell>
          <cell r="AP27">
            <v>38</v>
          </cell>
        </row>
        <row r="28">
          <cell r="C28">
            <v>11</v>
          </cell>
          <cell r="D28" t="str">
            <v>PROJ</v>
          </cell>
          <cell r="E28">
            <v>18</v>
          </cell>
          <cell r="F28" t="b">
            <v>0</v>
          </cell>
          <cell r="G28" t="str">
            <v>WEEK 49</v>
          </cell>
          <cell r="H28" t="str">
            <v>---</v>
          </cell>
          <cell r="I28" t="str">
            <v>---</v>
          </cell>
          <cell r="J28" t="str">
            <v>---</v>
          </cell>
          <cell r="K28" t="str">
            <v>XXXXXXXXX</v>
          </cell>
          <cell r="L28" t="str">
            <v>XXXXXXXXX</v>
          </cell>
          <cell r="M28" t="str">
            <v>(11/30/26-12/06/26)</v>
          </cell>
          <cell r="N28">
            <v>46358</v>
          </cell>
          <cell r="O28" t="b">
            <v>0</v>
          </cell>
          <cell r="P28">
            <v>4</v>
          </cell>
          <cell r="Q28">
            <v>46362</v>
          </cell>
          <cell r="R28" t="str">
            <v>XXXXXX XXXX</v>
          </cell>
          <cell r="S28" t="b">
            <v>0</v>
          </cell>
          <cell r="T28" t="str">
            <v>XXXXXX XXXX</v>
          </cell>
          <cell r="U28" t="b">
            <v>0</v>
          </cell>
          <cell r="V28">
            <v>46387</v>
          </cell>
          <cell r="W28">
            <v>25</v>
          </cell>
          <cell r="X28" t="b">
            <v>0</v>
          </cell>
          <cell r="Y28" t="b">
            <v>0</v>
          </cell>
          <cell r="Z28">
            <v>8</v>
          </cell>
          <cell r="AA28">
            <v>46395</v>
          </cell>
          <cell r="AB28">
            <v>46400</v>
          </cell>
          <cell r="AC28" t="b">
            <v>0</v>
          </cell>
          <cell r="AD28">
            <v>13</v>
          </cell>
          <cell r="AE28" t="b">
            <v>0</v>
          </cell>
          <cell r="AF28">
            <v>46405</v>
          </cell>
          <cell r="AG28" t="str">
            <v>XX PM</v>
          </cell>
          <cell r="AH28" t="str">
            <v>XXXXXXX</v>
          </cell>
          <cell r="AI28">
            <v>5</v>
          </cell>
          <cell r="AJ28">
            <v>2</v>
          </cell>
          <cell r="AK28" t="b">
            <v>0</v>
          </cell>
          <cell r="AL28" t="b">
            <v>0</v>
          </cell>
          <cell r="AM28" t="b">
            <v>0</v>
          </cell>
          <cell r="AN28" t="str">
            <v>---</v>
          </cell>
          <cell r="AO28" t="str">
            <v/>
          </cell>
          <cell r="AP28">
            <v>38</v>
          </cell>
        </row>
        <row r="29">
          <cell r="C29">
            <v>11</v>
          </cell>
          <cell r="D29" t="str">
            <v>PROJ</v>
          </cell>
          <cell r="E29">
            <v>19</v>
          </cell>
          <cell r="F29" t="b">
            <v>0</v>
          </cell>
          <cell r="G29" t="str">
            <v>WEEK 50</v>
          </cell>
          <cell r="H29" t="str">
            <v>---</v>
          </cell>
          <cell r="I29" t="str">
            <v>---</v>
          </cell>
          <cell r="J29" t="str">
            <v>---</v>
          </cell>
          <cell r="K29" t="str">
            <v>XXXXXXXXX</v>
          </cell>
          <cell r="L29" t="str">
            <v>XXXXXXXXX</v>
          </cell>
          <cell r="M29" t="str">
            <v>(12/07/26-12/13/26)</v>
          </cell>
          <cell r="N29">
            <v>46365</v>
          </cell>
          <cell r="O29" t="b">
            <v>0</v>
          </cell>
          <cell r="P29">
            <v>4</v>
          </cell>
          <cell r="Q29">
            <v>46369</v>
          </cell>
          <cell r="R29" t="str">
            <v>XXXXXX XXXX</v>
          </cell>
          <cell r="S29" t="b">
            <v>0</v>
          </cell>
          <cell r="T29" t="str">
            <v>XXXXXX XXXX</v>
          </cell>
          <cell r="U29" t="b">
            <v>0</v>
          </cell>
          <cell r="V29">
            <v>46394</v>
          </cell>
          <cell r="W29">
            <v>25</v>
          </cell>
          <cell r="X29" t="b">
            <v>0</v>
          </cell>
          <cell r="Y29" t="b">
            <v>0</v>
          </cell>
          <cell r="Z29">
            <v>8</v>
          </cell>
          <cell r="AA29">
            <v>46402</v>
          </cell>
          <cell r="AB29">
            <v>46407</v>
          </cell>
          <cell r="AC29" t="b">
            <v>0</v>
          </cell>
          <cell r="AD29">
            <v>13</v>
          </cell>
          <cell r="AE29" t="b">
            <v>0</v>
          </cell>
          <cell r="AF29">
            <v>46412</v>
          </cell>
          <cell r="AG29" t="str">
            <v>XX PM</v>
          </cell>
          <cell r="AH29" t="str">
            <v>XXXXXXX</v>
          </cell>
          <cell r="AI29">
            <v>5</v>
          </cell>
          <cell r="AJ29">
            <v>2</v>
          </cell>
          <cell r="AK29" t="b">
            <v>0</v>
          </cell>
          <cell r="AL29" t="b">
            <v>0</v>
          </cell>
          <cell r="AM29" t="b">
            <v>0</v>
          </cell>
          <cell r="AN29" t="str">
            <v>---</v>
          </cell>
          <cell r="AO29" t="str">
            <v/>
          </cell>
          <cell r="AP29">
            <v>38</v>
          </cell>
        </row>
        <row r="30">
          <cell r="C30">
            <v>11</v>
          </cell>
          <cell r="D30" t="str">
            <v>PROJ</v>
          </cell>
          <cell r="E30">
            <v>20</v>
          </cell>
          <cell r="F30" t="b">
            <v>0</v>
          </cell>
          <cell r="G30" t="str">
            <v>WEEK 51</v>
          </cell>
          <cell r="H30" t="str">
            <v>---</v>
          </cell>
          <cell r="I30" t="str">
            <v>---</v>
          </cell>
          <cell r="J30" t="str">
            <v>---</v>
          </cell>
          <cell r="K30" t="str">
            <v>XXXXXXXXX</v>
          </cell>
          <cell r="L30" t="str">
            <v>XXXXXXXXX</v>
          </cell>
          <cell r="M30" t="str">
            <v>(12/14/26-12/20/26)</v>
          </cell>
          <cell r="N30">
            <v>46372</v>
          </cell>
          <cell r="O30" t="b">
            <v>0</v>
          </cell>
          <cell r="P30">
            <v>4</v>
          </cell>
          <cell r="Q30">
            <v>46376</v>
          </cell>
          <cell r="R30" t="str">
            <v>XXXXXX XXXX</v>
          </cell>
          <cell r="S30" t="b">
            <v>0</v>
          </cell>
          <cell r="T30" t="str">
            <v>XXXXXX XXXX</v>
          </cell>
          <cell r="U30" t="b">
            <v>0</v>
          </cell>
          <cell r="V30">
            <v>46401</v>
          </cell>
          <cell r="W30">
            <v>25</v>
          </cell>
          <cell r="X30" t="b">
            <v>0</v>
          </cell>
          <cell r="Y30" t="b">
            <v>0</v>
          </cell>
          <cell r="Z30">
            <v>8</v>
          </cell>
          <cell r="AA30">
            <v>46409</v>
          </cell>
          <cell r="AB30">
            <v>46414</v>
          </cell>
          <cell r="AC30" t="b">
            <v>0</v>
          </cell>
          <cell r="AD30">
            <v>13</v>
          </cell>
          <cell r="AE30" t="b">
            <v>0</v>
          </cell>
          <cell r="AF30">
            <v>46419</v>
          </cell>
          <cell r="AG30" t="str">
            <v>XX PM</v>
          </cell>
          <cell r="AH30" t="str">
            <v>XXXXXXX</v>
          </cell>
          <cell r="AI30">
            <v>5</v>
          </cell>
          <cell r="AJ30">
            <v>2</v>
          </cell>
          <cell r="AK30" t="b">
            <v>0</v>
          </cell>
          <cell r="AL30" t="b">
            <v>0</v>
          </cell>
          <cell r="AM30" t="b">
            <v>0</v>
          </cell>
          <cell r="AN30" t="str">
            <v>---</v>
          </cell>
          <cell r="AO30" t="str">
            <v/>
          </cell>
          <cell r="AP30">
            <v>38</v>
          </cell>
        </row>
        <row r="31">
          <cell r="C31">
            <v>11</v>
          </cell>
          <cell r="D31" t="str">
            <v>PROJ</v>
          </cell>
          <cell r="E31">
            <v>21</v>
          </cell>
          <cell r="F31" t="b">
            <v>0</v>
          </cell>
          <cell r="G31" t="str">
            <v>WEEK 52</v>
          </cell>
          <cell r="H31" t="str">
            <v>---</v>
          </cell>
          <cell r="I31" t="str">
            <v>---</v>
          </cell>
          <cell r="J31" t="str">
            <v>---</v>
          </cell>
          <cell r="K31" t="str">
            <v>XXXXXXXXX</v>
          </cell>
          <cell r="L31" t="str">
            <v>XXXXXXXXX</v>
          </cell>
          <cell r="M31" t="str">
            <v>(12/27/27-01/02/28)</v>
          </cell>
          <cell r="N31">
            <v>46750</v>
          </cell>
          <cell r="O31" t="b">
            <v>0</v>
          </cell>
          <cell r="P31">
            <v>4</v>
          </cell>
          <cell r="Q31">
            <v>46754</v>
          </cell>
          <cell r="R31" t="str">
            <v>XXXXXX XXXX</v>
          </cell>
          <cell r="S31" t="b">
            <v>0</v>
          </cell>
          <cell r="T31" t="str">
            <v>XXXXXX XXXX</v>
          </cell>
          <cell r="U31" t="b">
            <v>0</v>
          </cell>
          <cell r="V31">
            <v>46408</v>
          </cell>
          <cell r="W31">
            <v>-346</v>
          </cell>
          <cell r="X31" t="b">
            <v>0</v>
          </cell>
          <cell r="Y31" t="b">
            <v>0</v>
          </cell>
          <cell r="Z31">
            <v>8</v>
          </cell>
          <cell r="AA31">
            <v>46416</v>
          </cell>
          <cell r="AB31">
            <v>46421</v>
          </cell>
          <cell r="AC31" t="b">
            <v>0</v>
          </cell>
          <cell r="AD31">
            <v>13</v>
          </cell>
          <cell r="AE31" t="b">
            <v>0</v>
          </cell>
          <cell r="AF31">
            <v>46426</v>
          </cell>
          <cell r="AG31" t="str">
            <v>XX PM</v>
          </cell>
          <cell r="AH31" t="str">
            <v>XXXXXXX</v>
          </cell>
          <cell r="AI31">
            <v>5</v>
          </cell>
          <cell r="AJ31">
            <v>2</v>
          </cell>
          <cell r="AK31" t="b">
            <v>0</v>
          </cell>
          <cell r="AL31" t="b">
            <v>0</v>
          </cell>
          <cell r="AM31" t="b">
            <v>0</v>
          </cell>
          <cell r="AN31" t="str">
            <v>---</v>
          </cell>
          <cell r="AO31" t="str">
            <v/>
          </cell>
          <cell r="AP31">
            <v>-333</v>
          </cell>
          <cell r="AQ31"/>
        </row>
      </sheetData>
      <sheetData sheetId="2">
        <row r="8">
          <cell r="B8">
            <v>2</v>
          </cell>
          <cell r="C8">
            <v>1</v>
          </cell>
          <cell r="D8">
            <v>5</v>
          </cell>
          <cell r="E8">
            <v>46276</v>
          </cell>
          <cell r="F8">
            <v>46281</v>
          </cell>
          <cell r="G8">
            <v>46282</v>
          </cell>
          <cell r="H8">
            <v>46484</v>
          </cell>
          <cell r="I8">
            <v>46478</v>
          </cell>
        </row>
        <row r="9">
          <cell r="B9">
            <v>2</v>
          </cell>
          <cell r="C9">
            <v>2</v>
          </cell>
          <cell r="D9">
            <v>5</v>
          </cell>
          <cell r="E9">
            <v>46282</v>
          </cell>
          <cell r="F9">
            <v>46286</v>
          </cell>
          <cell r="G9">
            <v>46287</v>
          </cell>
          <cell r="H9">
            <v>46484</v>
          </cell>
          <cell r="I9">
            <v>46483</v>
          </cell>
        </row>
        <row r="10">
          <cell r="B10">
            <v>2</v>
          </cell>
          <cell r="C10">
            <v>3</v>
          </cell>
          <cell r="D10">
            <v>5</v>
          </cell>
          <cell r="E10">
            <v>46287</v>
          </cell>
          <cell r="F10">
            <v>46289</v>
          </cell>
          <cell r="G10">
            <v>46290</v>
          </cell>
          <cell r="H10">
            <v>46484</v>
          </cell>
          <cell r="I10">
            <v>46486</v>
          </cell>
        </row>
        <row r="11">
          <cell r="B11">
            <v>2</v>
          </cell>
          <cell r="C11">
            <v>4</v>
          </cell>
          <cell r="D11">
            <v>5</v>
          </cell>
          <cell r="E11">
            <v>46290</v>
          </cell>
          <cell r="F11">
            <v>46294</v>
          </cell>
          <cell r="G11">
            <v>46295</v>
          </cell>
          <cell r="H11">
            <v>46484</v>
          </cell>
          <cell r="I11">
            <v>46491</v>
          </cell>
        </row>
        <row r="12">
          <cell r="B12">
            <v>2</v>
          </cell>
          <cell r="C12">
            <v>5</v>
          </cell>
          <cell r="D12">
            <v>5</v>
          </cell>
          <cell r="E12">
            <v>46295</v>
          </cell>
          <cell r="F12">
            <v>46297</v>
          </cell>
          <cell r="G12">
            <v>46300</v>
          </cell>
          <cell r="H12">
            <v>46484</v>
          </cell>
          <cell r="I12">
            <v>46496</v>
          </cell>
        </row>
        <row r="13">
          <cell r="B13">
            <v>2</v>
          </cell>
          <cell r="C13">
            <v>6</v>
          </cell>
          <cell r="D13">
            <v>5</v>
          </cell>
          <cell r="E13">
            <v>46300</v>
          </cell>
          <cell r="F13">
            <v>46302</v>
          </cell>
          <cell r="G13">
            <v>46303</v>
          </cell>
          <cell r="H13">
            <v>46484</v>
          </cell>
          <cell r="I13">
            <v>46499</v>
          </cell>
        </row>
        <row r="14">
          <cell r="B14">
            <v>3</v>
          </cell>
          <cell r="C14">
            <v>1</v>
          </cell>
          <cell r="D14">
            <v>5</v>
          </cell>
          <cell r="E14">
            <v>46302</v>
          </cell>
          <cell r="F14">
            <v>46304</v>
          </cell>
          <cell r="G14">
            <v>46308</v>
          </cell>
          <cell r="H14">
            <v>46513</v>
          </cell>
          <cell r="I14">
            <v>46478</v>
          </cell>
        </row>
        <row r="15">
          <cell r="B15">
            <v>3</v>
          </cell>
          <cell r="C15">
            <v>2</v>
          </cell>
          <cell r="D15">
            <v>5</v>
          </cell>
          <cell r="E15">
            <v>46307</v>
          </cell>
          <cell r="F15">
            <v>46309</v>
          </cell>
          <cell r="G15">
            <v>46311</v>
          </cell>
          <cell r="H15">
            <v>46513</v>
          </cell>
          <cell r="I15">
            <v>46483</v>
          </cell>
        </row>
        <row r="16">
          <cell r="B16">
            <v>3</v>
          </cell>
          <cell r="C16">
            <v>3</v>
          </cell>
          <cell r="D16">
            <v>5</v>
          </cell>
          <cell r="E16">
            <v>46310</v>
          </cell>
          <cell r="F16">
            <v>46314</v>
          </cell>
          <cell r="G16">
            <v>46316</v>
          </cell>
          <cell r="H16">
            <v>46513</v>
          </cell>
          <cell r="I16">
            <v>46486</v>
          </cell>
        </row>
        <row r="17">
          <cell r="B17">
            <v>3</v>
          </cell>
          <cell r="C17">
            <v>4</v>
          </cell>
          <cell r="D17">
            <v>5</v>
          </cell>
          <cell r="E17">
            <v>46315</v>
          </cell>
          <cell r="F17">
            <v>46317</v>
          </cell>
          <cell r="G17">
            <v>46321</v>
          </cell>
          <cell r="H17">
            <v>46513</v>
          </cell>
          <cell r="I17">
            <v>46491</v>
          </cell>
        </row>
        <row r="18">
          <cell r="B18">
            <v>3</v>
          </cell>
          <cell r="C18">
            <v>5</v>
          </cell>
          <cell r="D18">
            <v>5</v>
          </cell>
          <cell r="E18">
            <v>46318</v>
          </cell>
          <cell r="F18">
            <v>46322</v>
          </cell>
          <cell r="G18">
            <v>46324</v>
          </cell>
          <cell r="H18">
            <v>46513</v>
          </cell>
          <cell r="I18">
            <v>46496</v>
          </cell>
        </row>
        <row r="19">
          <cell r="B19">
            <v>3</v>
          </cell>
          <cell r="C19">
            <v>6</v>
          </cell>
          <cell r="D19">
            <v>5</v>
          </cell>
          <cell r="E19">
            <v>46323</v>
          </cell>
          <cell r="F19">
            <v>46325</v>
          </cell>
          <cell r="G19">
            <v>46329</v>
          </cell>
          <cell r="H19">
            <v>46513</v>
          </cell>
          <cell r="I19">
            <v>46499</v>
          </cell>
        </row>
        <row r="20">
          <cell r="B20">
            <v>4</v>
          </cell>
          <cell r="C20">
            <v>1</v>
          </cell>
          <cell r="D20">
            <v>5</v>
          </cell>
          <cell r="E20">
            <v>46324</v>
          </cell>
          <cell r="F20">
            <v>46328</v>
          </cell>
          <cell r="G20">
            <v>46332</v>
          </cell>
          <cell r="H20">
            <v>46534</v>
          </cell>
          <cell r="I20">
            <v>46478</v>
          </cell>
        </row>
        <row r="21">
          <cell r="B21">
            <v>4</v>
          </cell>
          <cell r="C21">
            <v>2</v>
          </cell>
          <cell r="D21">
            <v>5</v>
          </cell>
          <cell r="E21">
            <v>46329</v>
          </cell>
          <cell r="F21">
            <v>46331</v>
          </cell>
          <cell r="G21">
            <v>46337</v>
          </cell>
          <cell r="H21">
            <v>46534</v>
          </cell>
          <cell r="I21">
            <v>46483</v>
          </cell>
        </row>
        <row r="22">
          <cell r="B22">
            <v>4</v>
          </cell>
          <cell r="C22">
            <v>3</v>
          </cell>
          <cell r="D22">
            <v>5</v>
          </cell>
          <cell r="E22">
            <v>46332</v>
          </cell>
          <cell r="F22">
            <v>46336</v>
          </cell>
          <cell r="G22">
            <v>46342</v>
          </cell>
          <cell r="H22">
            <v>46534</v>
          </cell>
          <cell r="I22">
            <v>46486</v>
          </cell>
        </row>
        <row r="23">
          <cell r="B23">
            <v>4</v>
          </cell>
          <cell r="C23">
            <v>4</v>
          </cell>
          <cell r="D23">
            <v>5</v>
          </cell>
          <cell r="E23">
            <v>46337</v>
          </cell>
          <cell r="F23">
            <v>46339</v>
          </cell>
          <cell r="G23">
            <v>46345</v>
          </cell>
          <cell r="H23">
            <v>46534</v>
          </cell>
          <cell r="I23">
            <v>46491</v>
          </cell>
        </row>
        <row r="24">
          <cell r="B24">
            <v>4</v>
          </cell>
          <cell r="C24">
            <v>5</v>
          </cell>
          <cell r="D24">
            <v>5</v>
          </cell>
          <cell r="E24">
            <v>46342</v>
          </cell>
          <cell r="F24">
            <v>46344</v>
          </cell>
          <cell r="G24">
            <v>46350</v>
          </cell>
          <cell r="H24">
            <v>46534</v>
          </cell>
          <cell r="I24">
            <v>46496</v>
          </cell>
        </row>
        <row r="25">
          <cell r="B25">
            <v>4</v>
          </cell>
          <cell r="C25">
            <v>6</v>
          </cell>
          <cell r="D25">
            <v>5</v>
          </cell>
          <cell r="E25">
            <v>46345</v>
          </cell>
          <cell r="F25">
            <v>46349</v>
          </cell>
          <cell r="G25">
            <v>46353</v>
          </cell>
          <cell r="H25">
            <v>46534</v>
          </cell>
          <cell r="I25">
            <v>46499</v>
          </cell>
        </row>
        <row r="26">
          <cell r="B26">
            <v>5</v>
          </cell>
          <cell r="C26">
            <v>1</v>
          </cell>
          <cell r="D26">
            <v>5</v>
          </cell>
          <cell r="E26">
            <v>46350</v>
          </cell>
          <cell r="F26">
            <v>46356</v>
          </cell>
          <cell r="G26">
            <v>46358</v>
          </cell>
          <cell r="H26">
            <v>46561</v>
          </cell>
          <cell r="I26">
            <v>46478</v>
          </cell>
        </row>
        <row r="27">
          <cell r="B27">
            <v>5</v>
          </cell>
          <cell r="C27">
            <v>2</v>
          </cell>
          <cell r="D27">
            <v>5</v>
          </cell>
          <cell r="E27">
            <v>46357</v>
          </cell>
          <cell r="F27">
            <v>46359</v>
          </cell>
          <cell r="G27">
            <v>46363</v>
          </cell>
          <cell r="H27">
            <v>46561</v>
          </cell>
          <cell r="I27">
            <v>46483</v>
          </cell>
        </row>
        <row r="28">
          <cell r="B28">
            <v>5</v>
          </cell>
          <cell r="C28">
            <v>3</v>
          </cell>
          <cell r="D28">
            <v>5</v>
          </cell>
          <cell r="E28">
            <v>46360</v>
          </cell>
          <cell r="F28">
            <v>46364</v>
          </cell>
          <cell r="G28">
            <v>46366</v>
          </cell>
          <cell r="H28">
            <v>46561</v>
          </cell>
          <cell r="I28">
            <v>46486</v>
          </cell>
        </row>
        <row r="29">
          <cell r="B29">
            <v>5</v>
          </cell>
          <cell r="C29">
            <v>4</v>
          </cell>
          <cell r="D29">
            <v>5</v>
          </cell>
          <cell r="E29">
            <v>46365</v>
          </cell>
          <cell r="F29">
            <v>46367</v>
          </cell>
          <cell r="G29">
            <v>46371</v>
          </cell>
          <cell r="H29">
            <v>46561</v>
          </cell>
          <cell r="I29">
            <v>46491</v>
          </cell>
        </row>
        <row r="30">
          <cell r="B30">
            <v>5</v>
          </cell>
          <cell r="C30">
            <v>5</v>
          </cell>
          <cell r="D30">
            <v>5</v>
          </cell>
          <cell r="E30">
            <v>46370</v>
          </cell>
          <cell r="F30">
            <v>46372</v>
          </cell>
          <cell r="G30">
            <v>46374</v>
          </cell>
          <cell r="H30">
            <v>46561</v>
          </cell>
          <cell r="I30">
            <v>46496</v>
          </cell>
        </row>
        <row r="31">
          <cell r="B31">
            <v>5</v>
          </cell>
          <cell r="C31">
            <v>6</v>
          </cell>
          <cell r="D31">
            <v>5</v>
          </cell>
          <cell r="E31">
            <v>46373</v>
          </cell>
          <cell r="F31">
            <v>46377</v>
          </cell>
          <cell r="G31">
            <v>46379</v>
          </cell>
          <cell r="H31">
            <v>46561</v>
          </cell>
          <cell r="I31">
            <v>46499</v>
          </cell>
        </row>
        <row r="32">
          <cell r="B32">
            <v>6</v>
          </cell>
          <cell r="C32">
            <v>1</v>
          </cell>
          <cell r="D32">
            <v>5</v>
          </cell>
          <cell r="E32">
            <v>46378</v>
          </cell>
          <cell r="F32">
            <v>46384</v>
          </cell>
          <cell r="G32">
            <v>46384</v>
          </cell>
          <cell r="H32">
            <v>46587</v>
          </cell>
          <cell r="I32">
            <v>46478</v>
          </cell>
        </row>
        <row r="33">
          <cell r="B33">
            <v>6</v>
          </cell>
          <cell r="C33">
            <v>2</v>
          </cell>
          <cell r="D33">
            <v>5</v>
          </cell>
          <cell r="E33">
            <v>46385</v>
          </cell>
          <cell r="F33">
            <v>46391</v>
          </cell>
          <cell r="G33">
            <v>46387</v>
          </cell>
          <cell r="H33">
            <v>46587</v>
          </cell>
          <cell r="I33">
            <v>46483</v>
          </cell>
        </row>
        <row r="34">
          <cell r="B34">
            <v>6</v>
          </cell>
          <cell r="C34">
            <v>3</v>
          </cell>
          <cell r="D34">
            <v>5</v>
          </cell>
          <cell r="E34">
            <v>46392</v>
          </cell>
          <cell r="F34">
            <v>46394</v>
          </cell>
          <cell r="G34">
            <v>46392</v>
          </cell>
          <cell r="H34">
            <v>46587</v>
          </cell>
          <cell r="I34">
            <v>46486</v>
          </cell>
        </row>
        <row r="35">
          <cell r="B35">
            <v>6</v>
          </cell>
          <cell r="C35">
            <v>4</v>
          </cell>
          <cell r="D35">
            <v>5</v>
          </cell>
          <cell r="E35">
            <v>46395</v>
          </cell>
          <cell r="F35">
            <v>46399</v>
          </cell>
          <cell r="G35">
            <v>46395</v>
          </cell>
          <cell r="H35">
            <v>46587</v>
          </cell>
          <cell r="I35">
            <v>46491</v>
          </cell>
        </row>
        <row r="36">
          <cell r="B36">
            <v>6</v>
          </cell>
          <cell r="C36">
            <v>5</v>
          </cell>
          <cell r="D36">
            <v>5</v>
          </cell>
          <cell r="E36">
            <v>46400</v>
          </cell>
          <cell r="F36">
            <v>46402</v>
          </cell>
          <cell r="G36">
            <v>46400</v>
          </cell>
          <cell r="H36">
            <v>46587</v>
          </cell>
          <cell r="I36">
            <v>46496</v>
          </cell>
        </row>
        <row r="37">
          <cell r="B37">
            <v>6</v>
          </cell>
          <cell r="C37">
            <v>6</v>
          </cell>
          <cell r="D37">
            <v>5</v>
          </cell>
          <cell r="E37">
            <v>46405</v>
          </cell>
          <cell r="F37">
            <v>46407</v>
          </cell>
          <cell r="G37">
            <v>46405</v>
          </cell>
          <cell r="H37">
            <v>46587</v>
          </cell>
          <cell r="I37">
            <v>46499</v>
          </cell>
        </row>
        <row r="38">
          <cell r="B38">
            <v>7</v>
          </cell>
          <cell r="C38">
            <v>1</v>
          </cell>
          <cell r="D38">
            <v>5</v>
          </cell>
          <cell r="E38">
            <v>46408</v>
          </cell>
          <cell r="F38">
            <v>46412</v>
          </cell>
          <cell r="G38">
            <v>46408</v>
          </cell>
          <cell r="H38">
            <v>46608</v>
          </cell>
          <cell r="I38">
            <v>46478</v>
          </cell>
        </row>
        <row r="39">
          <cell r="B39">
            <v>7</v>
          </cell>
          <cell r="C39">
            <v>2</v>
          </cell>
          <cell r="D39">
            <v>5</v>
          </cell>
          <cell r="E39">
            <v>46413</v>
          </cell>
          <cell r="F39">
            <v>46415</v>
          </cell>
          <cell r="G39">
            <v>46413</v>
          </cell>
          <cell r="H39">
            <v>46608</v>
          </cell>
          <cell r="I39">
            <v>46483</v>
          </cell>
        </row>
        <row r="40">
          <cell r="B40">
            <v>7</v>
          </cell>
          <cell r="C40">
            <v>3</v>
          </cell>
          <cell r="D40">
            <v>5</v>
          </cell>
          <cell r="E40">
            <v>46416</v>
          </cell>
          <cell r="F40">
            <v>46420</v>
          </cell>
          <cell r="G40">
            <v>46416</v>
          </cell>
          <cell r="H40">
            <v>46608</v>
          </cell>
          <cell r="I40">
            <v>46486</v>
          </cell>
        </row>
        <row r="41">
          <cell r="B41">
            <v>7</v>
          </cell>
          <cell r="C41">
            <v>4</v>
          </cell>
          <cell r="D41">
            <v>5</v>
          </cell>
          <cell r="E41">
            <v>46421</v>
          </cell>
          <cell r="F41">
            <v>46423</v>
          </cell>
          <cell r="G41">
            <v>46421</v>
          </cell>
          <cell r="H41">
            <v>46608</v>
          </cell>
          <cell r="I41">
            <v>46491</v>
          </cell>
        </row>
        <row r="42">
          <cell r="B42">
            <v>7</v>
          </cell>
          <cell r="C42">
            <v>5</v>
          </cell>
          <cell r="D42">
            <v>5</v>
          </cell>
          <cell r="E42">
            <v>46426</v>
          </cell>
          <cell r="F42">
            <v>46428</v>
          </cell>
          <cell r="G42">
            <v>46426</v>
          </cell>
          <cell r="H42">
            <v>46608</v>
          </cell>
          <cell r="I42">
            <v>46496</v>
          </cell>
        </row>
        <row r="43">
          <cell r="B43">
            <v>7</v>
          </cell>
          <cell r="C43">
            <v>6</v>
          </cell>
          <cell r="D43">
            <v>5</v>
          </cell>
          <cell r="E43">
            <v>46429</v>
          </cell>
          <cell r="F43">
            <v>46433</v>
          </cell>
          <cell r="G43">
            <v>46429</v>
          </cell>
          <cell r="H43">
            <v>46608</v>
          </cell>
          <cell r="I43">
            <v>46499</v>
          </cell>
        </row>
        <row r="44">
          <cell r="B44">
            <v>8</v>
          </cell>
          <cell r="C44">
            <v>1</v>
          </cell>
          <cell r="D44">
            <v>5</v>
          </cell>
          <cell r="E44">
            <v>46434</v>
          </cell>
          <cell r="F44">
            <v>46436</v>
          </cell>
          <cell r="G44">
            <v>46434</v>
          </cell>
          <cell r="H44">
            <v>46630</v>
          </cell>
          <cell r="I44">
            <v>46478</v>
          </cell>
        </row>
        <row r="45">
          <cell r="B45">
            <v>8</v>
          </cell>
          <cell r="C45">
            <v>2</v>
          </cell>
          <cell r="D45">
            <v>5</v>
          </cell>
          <cell r="E45">
            <v>46437</v>
          </cell>
          <cell r="F45">
            <v>46441</v>
          </cell>
          <cell r="G45">
            <v>46437</v>
          </cell>
          <cell r="H45">
            <v>46630</v>
          </cell>
          <cell r="I45">
            <v>46483</v>
          </cell>
        </row>
        <row r="46">
          <cell r="B46">
            <v>8</v>
          </cell>
          <cell r="C46">
            <v>3</v>
          </cell>
          <cell r="D46">
            <v>5</v>
          </cell>
          <cell r="E46">
            <v>46442</v>
          </cell>
          <cell r="F46">
            <v>46444</v>
          </cell>
          <cell r="G46">
            <v>46442</v>
          </cell>
          <cell r="H46">
            <v>46630</v>
          </cell>
          <cell r="I46">
            <v>46486</v>
          </cell>
        </row>
        <row r="47">
          <cell r="B47">
            <v>8</v>
          </cell>
          <cell r="C47">
            <v>4</v>
          </cell>
          <cell r="D47">
            <v>5</v>
          </cell>
          <cell r="E47">
            <v>46447</v>
          </cell>
          <cell r="F47">
            <v>46449</v>
          </cell>
          <cell r="G47">
            <v>46447</v>
          </cell>
          <cell r="H47">
            <v>46630</v>
          </cell>
          <cell r="I47">
            <v>46491</v>
          </cell>
        </row>
        <row r="48">
          <cell r="B48">
            <v>8</v>
          </cell>
          <cell r="C48">
            <v>5</v>
          </cell>
          <cell r="D48">
            <v>5</v>
          </cell>
          <cell r="E48">
            <v>46450</v>
          </cell>
          <cell r="F48">
            <v>46454</v>
          </cell>
          <cell r="G48">
            <v>46450</v>
          </cell>
          <cell r="H48">
            <v>46630</v>
          </cell>
          <cell r="I48">
            <v>46496</v>
          </cell>
        </row>
        <row r="49">
          <cell r="B49">
            <v>8</v>
          </cell>
          <cell r="C49">
            <v>6</v>
          </cell>
          <cell r="D49">
            <v>5</v>
          </cell>
          <cell r="E49">
            <v>46455</v>
          </cell>
          <cell r="F49">
            <v>46457</v>
          </cell>
          <cell r="G49">
            <v>46455</v>
          </cell>
          <cell r="H49">
            <v>46630</v>
          </cell>
          <cell r="I49">
            <v>46499</v>
          </cell>
        </row>
      </sheetData>
      <sheetData sheetId="3">
        <row r="5">
          <cell r="AO5" t="str">
            <v>CTN #</v>
          </cell>
          <cell r="AP5" t="str">
            <v>CTNR CODE</v>
          </cell>
          <cell r="AQ5" t="str">
            <v>STATUS</v>
          </cell>
        </row>
        <row r="6">
          <cell r="AO6">
            <v>1</v>
          </cell>
          <cell r="AP6" t="str">
            <v>XXXXXXXXX</v>
          </cell>
          <cell r="AQ6" t="str">
            <v>PROJ</v>
          </cell>
        </row>
        <row r="7">
          <cell r="AO7">
            <v>2</v>
          </cell>
          <cell r="AP7" t="str">
            <v>XXXXXXXXX</v>
          </cell>
          <cell r="AQ7" t="str">
            <v>PROJ</v>
          </cell>
        </row>
        <row r="8">
          <cell r="C8">
            <v>8001</v>
          </cell>
          <cell r="D8">
            <v>8002</v>
          </cell>
          <cell r="E8">
            <v>8003</v>
          </cell>
          <cell r="F8">
            <v>8004</v>
          </cell>
          <cell r="G8">
            <v>8005</v>
          </cell>
          <cell r="H8">
            <v>8006</v>
          </cell>
          <cell r="I8">
            <v>8007</v>
          </cell>
          <cell r="J8">
            <v>8008</v>
          </cell>
          <cell r="K8">
            <v>8009</v>
          </cell>
          <cell r="L8">
            <v>8010</v>
          </cell>
          <cell r="M8">
            <v>8011</v>
          </cell>
          <cell r="N8">
            <v>8012</v>
          </cell>
          <cell r="O8">
            <v>8013</v>
          </cell>
          <cell r="P8">
            <v>8014</v>
          </cell>
          <cell r="Q8">
            <v>8015</v>
          </cell>
          <cell r="R8">
            <v>8016</v>
          </cell>
          <cell r="S8">
            <v>8017</v>
          </cell>
          <cell r="T8">
            <v>8018</v>
          </cell>
          <cell r="U8">
            <v>8019</v>
          </cell>
          <cell r="V8">
            <v>8020</v>
          </cell>
          <cell r="W8">
            <v>8021</v>
          </cell>
          <cell r="X8">
            <v>8022</v>
          </cell>
          <cell r="Y8">
            <v>8023</v>
          </cell>
          <cell r="Z8">
            <v>8024</v>
          </cell>
          <cell r="AA8">
            <v>8025</v>
          </cell>
          <cell r="AB8">
            <v>8026</v>
          </cell>
          <cell r="AC8">
            <v>8027</v>
          </cell>
          <cell r="AD8">
            <v>8028</v>
          </cell>
          <cell r="AO8">
            <v>3</v>
          </cell>
          <cell r="AP8" t="str">
            <v>XXXXXXXXX</v>
          </cell>
          <cell r="AQ8" t="str">
            <v>PROJ</v>
          </cell>
        </row>
        <row r="9">
          <cell r="C9" t="str">
            <v/>
          </cell>
          <cell r="AF9" t="str">
            <v>SCOPE OF WORK (UNITS)</v>
          </cell>
          <cell r="AO9">
            <v>4</v>
          </cell>
          <cell r="AP9" t="str">
            <v>XXXXXXXXX</v>
          </cell>
          <cell r="AQ9" t="str">
            <v>PROJ</v>
          </cell>
        </row>
        <row r="10">
          <cell r="C10" t="str">
            <v/>
          </cell>
          <cell r="D10" t="str">
            <v/>
          </cell>
          <cell r="E10" t="str">
            <v/>
          </cell>
          <cell r="F10" t="str">
            <v/>
          </cell>
          <cell r="G10" t="str">
            <v/>
          </cell>
          <cell r="H10" t="str">
            <v/>
          </cell>
          <cell r="I10" t="str">
            <v/>
          </cell>
          <cell r="J10" t="str">
            <v/>
          </cell>
          <cell r="K10" t="str">
            <v/>
          </cell>
          <cell r="L10" t="str">
            <v/>
          </cell>
          <cell r="M10" t="str">
            <v/>
          </cell>
          <cell r="N10" t="str">
            <v/>
          </cell>
          <cell r="O10" t="str">
            <v/>
          </cell>
          <cell r="P10" t="str">
            <v/>
          </cell>
          <cell r="Q10" t="str">
            <v/>
          </cell>
          <cell r="R10" t="str">
            <v/>
          </cell>
          <cell r="S10" t="str">
            <v/>
          </cell>
          <cell r="T10" t="str">
            <v/>
          </cell>
          <cell r="U10" t="str">
            <v/>
          </cell>
          <cell r="V10" t="str">
            <v/>
          </cell>
          <cell r="W10" t="str">
            <v/>
          </cell>
          <cell r="X10" t="str">
            <v/>
          </cell>
          <cell r="Y10" t="str">
            <v/>
          </cell>
          <cell r="Z10" t="str">
            <v/>
          </cell>
          <cell r="AA10" t="str">
            <v/>
          </cell>
          <cell r="AB10" t="str">
            <v/>
          </cell>
          <cell r="AC10" t="str">
            <v/>
          </cell>
          <cell r="AD10" t="str">
            <v/>
          </cell>
          <cell r="AF10" t="str">
            <v>UNITs:</v>
          </cell>
          <cell r="AG10">
            <v>0</v>
          </cell>
          <cell r="AO10">
            <v>5</v>
          </cell>
          <cell r="AP10" t="str">
            <v>XXXXXXXXX</v>
          </cell>
          <cell r="AQ10" t="str">
            <v>PROJ</v>
          </cell>
        </row>
        <row r="11">
          <cell r="C11" t="str">
            <v/>
          </cell>
          <cell r="D11" t="str">
            <v/>
          </cell>
          <cell r="E11" t="str">
            <v/>
          </cell>
          <cell r="F11" t="str">
            <v/>
          </cell>
          <cell r="G11" t="str">
            <v/>
          </cell>
          <cell r="H11" t="str">
            <v/>
          </cell>
          <cell r="I11" t="str">
            <v/>
          </cell>
          <cell r="J11" t="str">
            <v/>
          </cell>
          <cell r="K11" t="str">
            <v/>
          </cell>
          <cell r="L11" t="str">
            <v/>
          </cell>
          <cell r="M11" t="str">
            <v/>
          </cell>
          <cell r="N11" t="str">
            <v/>
          </cell>
          <cell r="O11" t="str">
            <v/>
          </cell>
          <cell r="P11" t="str">
            <v/>
          </cell>
          <cell r="Q11" t="str">
            <v/>
          </cell>
          <cell r="R11" t="str">
            <v/>
          </cell>
          <cell r="S11" t="str">
            <v/>
          </cell>
          <cell r="T11" t="str">
            <v/>
          </cell>
          <cell r="U11" t="str">
            <v/>
          </cell>
          <cell r="V11" t="str">
            <v/>
          </cell>
          <cell r="W11" t="str">
            <v/>
          </cell>
          <cell r="X11" t="str">
            <v/>
          </cell>
          <cell r="Y11" t="str">
            <v/>
          </cell>
          <cell r="Z11" t="str">
            <v/>
          </cell>
          <cell r="AA11" t="str">
            <v/>
          </cell>
          <cell r="AB11" t="str">
            <v/>
          </cell>
          <cell r="AC11" t="str">
            <v/>
          </cell>
          <cell r="AD11" t="str">
            <v/>
          </cell>
          <cell r="AF11" t="str">
            <v>COMBOs:</v>
          </cell>
          <cell r="AG11">
            <v>0</v>
          </cell>
          <cell r="AO11">
            <v>6</v>
          </cell>
          <cell r="AP11" t="str">
            <v>EDWIN</v>
          </cell>
          <cell r="AQ11" t="str">
            <v>PROJ</v>
          </cell>
        </row>
        <row r="12">
          <cell r="C12" t="str">
            <v/>
          </cell>
          <cell r="D12" t="str">
            <v/>
          </cell>
          <cell r="E12" t="str">
            <v/>
          </cell>
          <cell r="F12" t="str">
            <v/>
          </cell>
          <cell r="G12" t="str">
            <v/>
          </cell>
          <cell r="H12" t="str">
            <v/>
          </cell>
          <cell r="I12" t="str">
            <v/>
          </cell>
          <cell r="J12" t="str">
            <v/>
          </cell>
          <cell r="K12" t="str">
            <v/>
          </cell>
          <cell r="L12" t="str">
            <v/>
          </cell>
          <cell r="M12" t="str">
            <v/>
          </cell>
          <cell r="N12" t="str">
            <v/>
          </cell>
          <cell r="O12" t="str">
            <v/>
          </cell>
          <cell r="P12" t="str">
            <v/>
          </cell>
          <cell r="Q12" t="str">
            <v/>
          </cell>
          <cell r="R12" t="str">
            <v/>
          </cell>
          <cell r="S12" t="str">
            <v/>
          </cell>
          <cell r="T12" t="str">
            <v/>
          </cell>
          <cell r="U12" t="str">
            <v/>
          </cell>
          <cell r="V12" t="str">
            <v/>
          </cell>
          <cell r="W12" t="str">
            <v/>
          </cell>
          <cell r="X12" t="str">
            <v/>
          </cell>
          <cell r="Y12" t="str">
            <v/>
          </cell>
          <cell r="Z12" t="str">
            <v/>
          </cell>
          <cell r="AA12" t="str">
            <v/>
          </cell>
          <cell r="AB12" t="str">
            <v/>
          </cell>
          <cell r="AC12" t="str">
            <v/>
          </cell>
          <cell r="AD12" t="str">
            <v/>
          </cell>
          <cell r="AF12" t="str">
            <v>AREAs:</v>
          </cell>
          <cell r="AG12">
            <v>0</v>
          </cell>
          <cell r="AO12">
            <v>7</v>
          </cell>
          <cell r="AP12" t="str">
            <v>XXXXXXXXX</v>
          </cell>
          <cell r="AQ12" t="str">
            <v>PROJ</v>
          </cell>
        </row>
        <row r="13">
          <cell r="C13" t="str">
            <v/>
          </cell>
          <cell r="D13" t="str">
            <v/>
          </cell>
          <cell r="E13" t="str">
            <v/>
          </cell>
          <cell r="F13" t="str">
            <v/>
          </cell>
          <cell r="G13" t="str">
            <v/>
          </cell>
          <cell r="H13" t="str">
            <v/>
          </cell>
          <cell r="I13" t="str">
            <v/>
          </cell>
          <cell r="J13" t="str">
            <v/>
          </cell>
          <cell r="K13" t="str">
            <v/>
          </cell>
          <cell r="L13" t="str">
            <v/>
          </cell>
          <cell r="M13" t="str">
            <v/>
          </cell>
          <cell r="N13" t="str">
            <v/>
          </cell>
          <cell r="O13" t="str">
            <v/>
          </cell>
          <cell r="P13" t="str">
            <v/>
          </cell>
          <cell r="Q13" t="str">
            <v/>
          </cell>
          <cell r="R13" t="str">
            <v/>
          </cell>
          <cell r="S13" t="str">
            <v/>
          </cell>
          <cell r="T13" t="str">
            <v/>
          </cell>
          <cell r="U13" t="str">
            <v/>
          </cell>
          <cell r="V13" t="str">
            <v/>
          </cell>
          <cell r="W13" t="str">
            <v/>
          </cell>
          <cell r="X13" t="str">
            <v/>
          </cell>
          <cell r="Y13" t="str">
            <v/>
          </cell>
          <cell r="Z13" t="str">
            <v/>
          </cell>
          <cell r="AA13" t="str">
            <v/>
          </cell>
          <cell r="AB13" t="str">
            <v/>
          </cell>
          <cell r="AC13" t="str">
            <v/>
          </cell>
          <cell r="AD13" t="str">
            <v/>
          </cell>
          <cell r="AF13" t="str">
            <v>DELIVERY TARGET:</v>
          </cell>
          <cell r="AH13">
            <v>46436</v>
          </cell>
          <cell r="AO13">
            <v>8</v>
          </cell>
          <cell r="AP13" t="str">
            <v>XXXXXXXXX</v>
          </cell>
          <cell r="AQ13" t="str">
            <v>PROJ</v>
          </cell>
        </row>
        <row r="14">
          <cell r="C14" t="str">
            <v/>
          </cell>
          <cell r="D14" t="str">
            <v/>
          </cell>
          <cell r="E14" t="str">
            <v/>
          </cell>
          <cell r="F14" t="str">
            <v/>
          </cell>
          <cell r="G14" t="str">
            <v/>
          </cell>
          <cell r="H14" t="str">
            <v/>
          </cell>
          <cell r="I14" t="str">
            <v/>
          </cell>
          <cell r="J14" t="str">
            <v/>
          </cell>
          <cell r="K14" t="str">
            <v/>
          </cell>
          <cell r="L14" t="str">
            <v/>
          </cell>
          <cell r="M14" t="str">
            <v/>
          </cell>
          <cell r="N14" t="str">
            <v/>
          </cell>
          <cell r="O14" t="str">
            <v/>
          </cell>
          <cell r="P14" t="str">
            <v/>
          </cell>
          <cell r="Q14" t="str">
            <v/>
          </cell>
          <cell r="R14" t="str">
            <v/>
          </cell>
          <cell r="S14" t="str">
            <v/>
          </cell>
          <cell r="T14" t="str">
            <v/>
          </cell>
          <cell r="U14" t="str">
            <v/>
          </cell>
          <cell r="V14" t="str">
            <v/>
          </cell>
          <cell r="W14" t="str">
            <v/>
          </cell>
          <cell r="X14" t="str">
            <v/>
          </cell>
          <cell r="Y14" t="str">
            <v/>
          </cell>
          <cell r="Z14" t="str">
            <v/>
          </cell>
          <cell r="AA14" t="str">
            <v/>
          </cell>
          <cell r="AB14" t="str">
            <v/>
          </cell>
          <cell r="AC14" t="str">
            <v/>
          </cell>
          <cell r="AD14" t="str">
            <v/>
          </cell>
          <cell r="AO14">
            <v>9</v>
          </cell>
          <cell r="AP14" t="str">
            <v>XXXXXXXXX</v>
          </cell>
          <cell r="AQ14" t="str">
            <v>PROJ</v>
          </cell>
        </row>
        <row r="15">
          <cell r="C15" t="str">
            <v/>
          </cell>
          <cell r="D15" t="str">
            <v/>
          </cell>
          <cell r="E15" t="str">
            <v/>
          </cell>
          <cell r="F15" t="str">
            <v/>
          </cell>
          <cell r="G15" t="str">
            <v/>
          </cell>
          <cell r="H15" t="str">
            <v/>
          </cell>
          <cell r="I15" t="str">
            <v/>
          </cell>
          <cell r="J15" t="str">
            <v/>
          </cell>
          <cell r="K15" t="str">
            <v/>
          </cell>
          <cell r="L15" t="str">
            <v/>
          </cell>
          <cell r="M15" t="str">
            <v/>
          </cell>
          <cell r="N15" t="str">
            <v/>
          </cell>
          <cell r="O15" t="str">
            <v/>
          </cell>
          <cell r="P15" t="str">
            <v/>
          </cell>
          <cell r="Q15" t="str">
            <v/>
          </cell>
          <cell r="R15" t="str">
            <v/>
          </cell>
          <cell r="S15" t="str">
            <v/>
          </cell>
          <cell r="T15" t="str">
            <v/>
          </cell>
          <cell r="U15" t="str">
            <v/>
          </cell>
          <cell r="V15" t="str">
            <v/>
          </cell>
          <cell r="W15" t="str">
            <v/>
          </cell>
          <cell r="X15" t="str">
            <v/>
          </cell>
          <cell r="Y15" t="str">
            <v/>
          </cell>
          <cell r="Z15" t="str">
            <v/>
          </cell>
          <cell r="AA15" t="str">
            <v/>
          </cell>
          <cell r="AB15" t="str">
            <v/>
          </cell>
          <cell r="AC15" t="str">
            <v/>
          </cell>
          <cell r="AD15" t="str">
            <v/>
          </cell>
          <cell r="AF15" t="str">
            <v>SCOPE OF WORK (DELIVERY STATUS)</v>
          </cell>
          <cell r="AO15">
            <v>10</v>
          </cell>
          <cell r="AP15" t="str">
            <v>XXXXXXXXX</v>
          </cell>
          <cell r="AQ15" t="str">
            <v>PROJ</v>
          </cell>
        </row>
        <row r="16">
          <cell r="C16" t="str">
            <v/>
          </cell>
          <cell r="D16" t="str">
            <v/>
          </cell>
          <cell r="E16" t="str">
            <v/>
          </cell>
          <cell r="F16" t="str">
            <v/>
          </cell>
          <cell r="G16" t="str">
            <v/>
          </cell>
          <cell r="H16" t="str">
            <v/>
          </cell>
          <cell r="I16" t="str">
            <v/>
          </cell>
          <cell r="J16" t="str">
            <v/>
          </cell>
          <cell r="K16" t="str">
            <v/>
          </cell>
          <cell r="L16" t="str">
            <v/>
          </cell>
          <cell r="M16" t="str">
            <v/>
          </cell>
          <cell r="N16" t="str">
            <v/>
          </cell>
          <cell r="O16" t="str">
            <v/>
          </cell>
          <cell r="P16" t="str">
            <v/>
          </cell>
          <cell r="Q16" t="str">
            <v/>
          </cell>
          <cell r="R16" t="str">
            <v/>
          </cell>
          <cell r="S16" t="str">
            <v/>
          </cell>
          <cell r="T16" t="str">
            <v/>
          </cell>
          <cell r="U16" t="str">
            <v/>
          </cell>
          <cell r="V16" t="str">
            <v/>
          </cell>
          <cell r="W16" t="str">
            <v/>
          </cell>
          <cell r="X16" t="str">
            <v/>
          </cell>
          <cell r="Y16" t="str">
            <v/>
          </cell>
          <cell r="Z16" t="str">
            <v/>
          </cell>
          <cell r="AA16" t="str">
            <v/>
          </cell>
          <cell r="AB16" t="str">
            <v/>
          </cell>
          <cell r="AC16" t="str">
            <v/>
          </cell>
          <cell r="AD16" t="str">
            <v/>
          </cell>
          <cell r="AF16">
            <v>0</v>
          </cell>
          <cell r="AG16" t="str">
            <v>OUT OF</v>
          </cell>
          <cell r="AH16">
            <v>0</v>
          </cell>
          <cell r="AI16">
            <v>0</v>
          </cell>
          <cell r="AO16">
            <v>11</v>
          </cell>
          <cell r="AP16" t="str">
            <v>XXXXXXXXX</v>
          </cell>
          <cell r="AQ16" t="str">
            <v>PROJ</v>
          </cell>
        </row>
        <row r="17">
          <cell r="C17" t="str">
            <v/>
          </cell>
          <cell r="D17" t="str">
            <v/>
          </cell>
          <cell r="E17" t="str">
            <v/>
          </cell>
          <cell r="F17" t="str">
            <v/>
          </cell>
          <cell r="G17" t="str">
            <v/>
          </cell>
          <cell r="H17" t="str">
            <v/>
          </cell>
          <cell r="I17" t="str">
            <v/>
          </cell>
          <cell r="J17" t="str">
            <v/>
          </cell>
          <cell r="K17" t="str">
            <v/>
          </cell>
          <cell r="L17" t="str">
            <v/>
          </cell>
          <cell r="M17" t="str">
            <v/>
          </cell>
          <cell r="N17" t="str">
            <v/>
          </cell>
          <cell r="O17" t="str">
            <v/>
          </cell>
          <cell r="P17" t="str">
            <v/>
          </cell>
          <cell r="Q17" t="str">
            <v/>
          </cell>
          <cell r="R17" t="str">
            <v/>
          </cell>
          <cell r="S17" t="str">
            <v/>
          </cell>
          <cell r="T17" t="str">
            <v/>
          </cell>
          <cell r="U17" t="str">
            <v/>
          </cell>
          <cell r="V17" t="str">
            <v/>
          </cell>
          <cell r="W17" t="str">
            <v/>
          </cell>
          <cell r="X17" t="str">
            <v/>
          </cell>
          <cell r="Y17" t="str">
            <v/>
          </cell>
          <cell r="Z17" t="str">
            <v/>
          </cell>
          <cell r="AA17" t="str">
            <v/>
          </cell>
          <cell r="AB17" t="str">
            <v/>
          </cell>
          <cell r="AC17" t="str">
            <v/>
          </cell>
          <cell r="AD17" t="str">
            <v/>
          </cell>
          <cell r="AF17">
            <v>0</v>
          </cell>
          <cell r="AG17" t="str">
            <v>OUT OF</v>
          </cell>
          <cell r="AH17">
            <v>0</v>
          </cell>
          <cell r="AI17">
            <v>0</v>
          </cell>
          <cell r="AO17">
            <v>12</v>
          </cell>
          <cell r="AP17" t="str">
            <v>XXXXXXXXX</v>
          </cell>
          <cell r="AQ17" t="str">
            <v>PROJ</v>
          </cell>
        </row>
        <row r="18">
          <cell r="C18" t="str">
            <v/>
          </cell>
          <cell r="D18" t="str">
            <v/>
          </cell>
          <cell r="E18" t="str">
            <v/>
          </cell>
          <cell r="F18" t="str">
            <v/>
          </cell>
          <cell r="G18" t="str">
            <v/>
          </cell>
          <cell r="H18" t="str">
            <v/>
          </cell>
          <cell r="I18" t="str">
            <v/>
          </cell>
          <cell r="J18" t="str">
            <v/>
          </cell>
          <cell r="K18" t="str">
            <v/>
          </cell>
          <cell r="L18" t="str">
            <v/>
          </cell>
          <cell r="M18" t="str">
            <v/>
          </cell>
          <cell r="N18" t="str">
            <v/>
          </cell>
          <cell r="O18" t="str">
            <v/>
          </cell>
          <cell r="P18" t="str">
            <v/>
          </cell>
          <cell r="Q18" t="str">
            <v/>
          </cell>
          <cell r="R18" t="str">
            <v/>
          </cell>
          <cell r="S18" t="str">
            <v/>
          </cell>
          <cell r="T18" t="str">
            <v/>
          </cell>
          <cell r="U18" t="str">
            <v/>
          </cell>
          <cell r="V18" t="str">
            <v/>
          </cell>
          <cell r="W18" t="str">
            <v/>
          </cell>
          <cell r="X18" t="str">
            <v/>
          </cell>
          <cell r="Y18" t="str">
            <v/>
          </cell>
          <cell r="Z18" t="str">
            <v/>
          </cell>
          <cell r="AA18" t="str">
            <v/>
          </cell>
          <cell r="AB18" t="str">
            <v/>
          </cell>
          <cell r="AC18" t="str">
            <v/>
          </cell>
          <cell r="AD18" t="str">
            <v/>
          </cell>
          <cell r="AF18">
            <v>0</v>
          </cell>
          <cell r="AG18" t="str">
            <v>OUT OF</v>
          </cell>
          <cell r="AH18">
            <v>0</v>
          </cell>
          <cell r="AI18">
            <v>0</v>
          </cell>
          <cell r="AO18">
            <v>13</v>
          </cell>
          <cell r="AP18" t="str">
            <v>XXXXXXXXX</v>
          </cell>
          <cell r="AQ18" t="str">
            <v>PROJ</v>
          </cell>
        </row>
        <row r="19">
          <cell r="C19">
            <v>7001</v>
          </cell>
          <cell r="D19">
            <v>7002</v>
          </cell>
          <cell r="E19">
            <v>7003</v>
          </cell>
          <cell r="F19">
            <v>7004</v>
          </cell>
          <cell r="G19">
            <v>7005</v>
          </cell>
          <cell r="H19">
            <v>7006</v>
          </cell>
          <cell r="I19">
            <v>7007</v>
          </cell>
          <cell r="J19">
            <v>7008</v>
          </cell>
          <cell r="K19">
            <v>7009</v>
          </cell>
          <cell r="L19">
            <v>7010</v>
          </cell>
          <cell r="M19">
            <v>7011</v>
          </cell>
          <cell r="N19">
            <v>7012</v>
          </cell>
          <cell r="O19">
            <v>7013</v>
          </cell>
          <cell r="P19">
            <v>7014</v>
          </cell>
          <cell r="Q19">
            <v>7015</v>
          </cell>
          <cell r="R19">
            <v>7016</v>
          </cell>
          <cell r="S19">
            <v>7017</v>
          </cell>
          <cell r="T19">
            <v>7018</v>
          </cell>
          <cell r="U19">
            <v>7019</v>
          </cell>
          <cell r="V19">
            <v>7020</v>
          </cell>
          <cell r="W19">
            <v>7021</v>
          </cell>
          <cell r="X19">
            <v>7022</v>
          </cell>
          <cell r="Y19">
            <v>7023</v>
          </cell>
          <cell r="Z19">
            <v>7024</v>
          </cell>
          <cell r="AA19">
            <v>7025</v>
          </cell>
          <cell r="AB19">
            <v>7026</v>
          </cell>
          <cell r="AC19">
            <v>7027</v>
          </cell>
          <cell r="AD19">
            <v>7028</v>
          </cell>
          <cell r="AF19" t="str">
            <v>7th FLOOR</v>
          </cell>
          <cell r="AO19">
            <v>14</v>
          </cell>
          <cell r="AP19" t="str">
            <v>XXXXXXXXX</v>
          </cell>
          <cell r="AQ19" t="str">
            <v>PROJ</v>
          </cell>
        </row>
        <row r="20">
          <cell r="C20" t="str">
            <v/>
          </cell>
          <cell r="D20" t="str">
            <v/>
          </cell>
          <cell r="E20" t="str">
            <v/>
          </cell>
          <cell r="F20" t="str">
            <v/>
          </cell>
          <cell r="G20" t="str">
            <v/>
          </cell>
          <cell r="H20" t="str">
            <v/>
          </cell>
          <cell r="I20" t="str">
            <v/>
          </cell>
          <cell r="J20" t="str">
            <v/>
          </cell>
          <cell r="K20" t="str">
            <v/>
          </cell>
          <cell r="L20" t="str">
            <v/>
          </cell>
          <cell r="M20" t="str">
            <v/>
          </cell>
          <cell r="N20" t="str">
            <v/>
          </cell>
          <cell r="O20" t="str">
            <v/>
          </cell>
          <cell r="P20" t="str">
            <v/>
          </cell>
          <cell r="Q20" t="str">
            <v/>
          </cell>
          <cell r="R20" t="str">
            <v/>
          </cell>
          <cell r="S20" t="str">
            <v/>
          </cell>
          <cell r="T20" t="str">
            <v/>
          </cell>
          <cell r="U20" t="str">
            <v/>
          </cell>
          <cell r="V20" t="str">
            <v/>
          </cell>
          <cell r="W20" t="str">
            <v/>
          </cell>
          <cell r="X20" t="str">
            <v/>
          </cell>
          <cell r="Y20" t="str">
            <v/>
          </cell>
          <cell r="Z20" t="str">
            <v/>
          </cell>
          <cell r="AA20" t="str">
            <v/>
          </cell>
          <cell r="AB20" t="str">
            <v/>
          </cell>
          <cell r="AC20" t="str">
            <v/>
          </cell>
          <cell r="AD20" t="str">
            <v/>
          </cell>
          <cell r="AF20" t="str">
            <v>SCOPE OF WORK (UNITS)</v>
          </cell>
          <cell r="AO20">
            <v>15</v>
          </cell>
          <cell r="AP20" t="str">
            <v>XXXXXXXXX</v>
          </cell>
          <cell r="AQ20" t="str">
            <v>PROJ</v>
          </cell>
        </row>
        <row r="21">
          <cell r="C21" t="str">
            <v/>
          </cell>
          <cell r="D21" t="str">
            <v/>
          </cell>
          <cell r="E21" t="str">
            <v/>
          </cell>
          <cell r="F21" t="str">
            <v/>
          </cell>
          <cell r="G21" t="str">
            <v/>
          </cell>
          <cell r="H21" t="str">
            <v/>
          </cell>
          <cell r="I21" t="str">
            <v/>
          </cell>
          <cell r="J21" t="str">
            <v/>
          </cell>
          <cell r="K21" t="str">
            <v/>
          </cell>
          <cell r="L21" t="str">
            <v/>
          </cell>
          <cell r="M21" t="str">
            <v/>
          </cell>
          <cell r="N21" t="str">
            <v/>
          </cell>
          <cell r="O21" t="str">
            <v/>
          </cell>
          <cell r="P21" t="str">
            <v/>
          </cell>
          <cell r="Q21" t="str">
            <v/>
          </cell>
          <cell r="R21" t="str">
            <v/>
          </cell>
          <cell r="S21" t="str">
            <v/>
          </cell>
          <cell r="T21" t="str">
            <v/>
          </cell>
          <cell r="U21" t="str">
            <v/>
          </cell>
          <cell r="V21" t="str">
            <v/>
          </cell>
          <cell r="W21" t="str">
            <v/>
          </cell>
          <cell r="X21" t="str">
            <v/>
          </cell>
          <cell r="Y21" t="str">
            <v/>
          </cell>
          <cell r="Z21" t="str">
            <v/>
          </cell>
          <cell r="AA21" t="str">
            <v/>
          </cell>
          <cell r="AB21" t="str">
            <v/>
          </cell>
          <cell r="AC21" t="str">
            <v/>
          </cell>
          <cell r="AD21" t="str">
            <v/>
          </cell>
          <cell r="AF21" t="str">
            <v>UNITs:</v>
          </cell>
          <cell r="AG21">
            <v>0</v>
          </cell>
          <cell r="AO21">
            <v>16</v>
          </cell>
          <cell r="AP21" t="str">
            <v>XXXXXXXXX</v>
          </cell>
          <cell r="AQ21" t="str">
            <v>PROJ</v>
          </cell>
        </row>
        <row r="22">
          <cell r="C22" t="str">
            <v/>
          </cell>
          <cell r="D22" t="str">
            <v/>
          </cell>
          <cell r="E22" t="str">
            <v/>
          </cell>
          <cell r="F22" t="str">
            <v/>
          </cell>
          <cell r="G22" t="str">
            <v/>
          </cell>
          <cell r="H22" t="str">
            <v/>
          </cell>
          <cell r="I22" t="str">
            <v/>
          </cell>
          <cell r="J22" t="str">
            <v/>
          </cell>
          <cell r="K22" t="str">
            <v/>
          </cell>
          <cell r="L22" t="str">
            <v/>
          </cell>
          <cell r="M22" t="str">
            <v/>
          </cell>
          <cell r="N22" t="str">
            <v/>
          </cell>
          <cell r="O22" t="str">
            <v/>
          </cell>
          <cell r="P22" t="str">
            <v/>
          </cell>
          <cell r="Q22" t="str">
            <v/>
          </cell>
          <cell r="R22" t="str">
            <v/>
          </cell>
          <cell r="S22" t="str">
            <v/>
          </cell>
          <cell r="T22" t="str">
            <v/>
          </cell>
          <cell r="U22" t="str">
            <v/>
          </cell>
          <cell r="V22" t="str">
            <v/>
          </cell>
          <cell r="W22" t="str">
            <v/>
          </cell>
          <cell r="X22" t="str">
            <v/>
          </cell>
          <cell r="Y22" t="str">
            <v/>
          </cell>
          <cell r="Z22" t="str">
            <v/>
          </cell>
          <cell r="AA22" t="str">
            <v/>
          </cell>
          <cell r="AB22" t="str">
            <v/>
          </cell>
          <cell r="AC22" t="str">
            <v/>
          </cell>
          <cell r="AD22" t="str">
            <v/>
          </cell>
          <cell r="AF22" t="str">
            <v>COMBOs:</v>
          </cell>
          <cell r="AG22">
            <v>0</v>
          </cell>
          <cell r="AO22">
            <v>17</v>
          </cell>
          <cell r="AP22" t="str">
            <v>XXXXXXXXX</v>
          </cell>
          <cell r="AQ22" t="str">
            <v>PROJ</v>
          </cell>
        </row>
        <row r="23">
          <cell r="C23" t="str">
            <v/>
          </cell>
          <cell r="D23" t="str">
            <v/>
          </cell>
          <cell r="E23" t="str">
            <v/>
          </cell>
          <cell r="F23" t="str">
            <v/>
          </cell>
          <cell r="G23" t="str">
            <v/>
          </cell>
          <cell r="H23" t="str">
            <v/>
          </cell>
          <cell r="I23" t="str">
            <v/>
          </cell>
          <cell r="J23" t="str">
            <v/>
          </cell>
          <cell r="K23" t="str">
            <v/>
          </cell>
          <cell r="L23" t="str">
            <v/>
          </cell>
          <cell r="M23" t="str">
            <v/>
          </cell>
          <cell r="N23" t="str">
            <v/>
          </cell>
          <cell r="O23" t="str">
            <v/>
          </cell>
          <cell r="P23" t="str">
            <v/>
          </cell>
          <cell r="Q23" t="str">
            <v/>
          </cell>
          <cell r="R23" t="str">
            <v/>
          </cell>
          <cell r="S23" t="str">
            <v/>
          </cell>
          <cell r="T23" t="str">
            <v/>
          </cell>
          <cell r="U23" t="str">
            <v/>
          </cell>
          <cell r="V23" t="str">
            <v/>
          </cell>
          <cell r="W23" t="str">
            <v/>
          </cell>
          <cell r="X23" t="str">
            <v/>
          </cell>
          <cell r="Y23" t="str">
            <v/>
          </cell>
          <cell r="Z23" t="str">
            <v/>
          </cell>
          <cell r="AA23" t="str">
            <v/>
          </cell>
          <cell r="AB23" t="str">
            <v/>
          </cell>
          <cell r="AC23" t="str">
            <v/>
          </cell>
          <cell r="AD23" t="str">
            <v/>
          </cell>
          <cell r="AF23" t="str">
            <v>AREAs:</v>
          </cell>
          <cell r="AG23">
            <v>0</v>
          </cell>
          <cell r="AO23">
            <v>18</v>
          </cell>
          <cell r="AP23" t="str">
            <v>XXXXXXXXX</v>
          </cell>
          <cell r="AQ23" t="str">
            <v>PROJ</v>
          </cell>
        </row>
        <row r="24">
          <cell r="C24" t="str">
            <v/>
          </cell>
          <cell r="D24" t="str">
            <v/>
          </cell>
          <cell r="E24" t="str">
            <v/>
          </cell>
          <cell r="F24" t="str">
            <v/>
          </cell>
          <cell r="G24" t="str">
            <v/>
          </cell>
          <cell r="H24" t="str">
            <v/>
          </cell>
          <cell r="I24" t="str">
            <v/>
          </cell>
          <cell r="J24" t="str">
            <v/>
          </cell>
          <cell r="K24" t="str">
            <v/>
          </cell>
          <cell r="L24" t="str">
            <v/>
          </cell>
          <cell r="M24" t="str">
            <v/>
          </cell>
          <cell r="N24" t="str">
            <v/>
          </cell>
          <cell r="O24" t="str">
            <v/>
          </cell>
          <cell r="P24" t="str">
            <v/>
          </cell>
          <cell r="Q24" t="str">
            <v/>
          </cell>
          <cell r="R24" t="str">
            <v/>
          </cell>
          <cell r="S24" t="str">
            <v/>
          </cell>
          <cell r="T24" t="str">
            <v/>
          </cell>
          <cell r="U24" t="str">
            <v/>
          </cell>
          <cell r="V24" t="str">
            <v/>
          </cell>
          <cell r="W24" t="str">
            <v/>
          </cell>
          <cell r="X24" t="str">
            <v/>
          </cell>
          <cell r="Y24" t="str">
            <v/>
          </cell>
          <cell r="Z24" t="str">
            <v/>
          </cell>
          <cell r="AA24" t="str">
            <v/>
          </cell>
          <cell r="AB24" t="str">
            <v/>
          </cell>
          <cell r="AC24" t="str">
            <v/>
          </cell>
          <cell r="AD24" t="str">
            <v/>
          </cell>
          <cell r="AF24" t="str">
            <v>DELIVERY TARGET:</v>
          </cell>
          <cell r="AH24">
            <v>46412</v>
          </cell>
          <cell r="AO24">
            <v>19</v>
          </cell>
          <cell r="AP24" t="str">
            <v>XXXXXXXXX</v>
          </cell>
          <cell r="AQ24" t="str">
            <v>PROJ</v>
          </cell>
        </row>
        <row r="25">
          <cell r="C25" t="str">
            <v/>
          </cell>
          <cell r="D25" t="str">
            <v/>
          </cell>
          <cell r="E25" t="str">
            <v/>
          </cell>
          <cell r="F25" t="str">
            <v/>
          </cell>
          <cell r="G25" t="str">
            <v/>
          </cell>
          <cell r="H25" t="str">
            <v/>
          </cell>
          <cell r="I25" t="str">
            <v/>
          </cell>
          <cell r="J25" t="str">
            <v/>
          </cell>
          <cell r="K25" t="str">
            <v/>
          </cell>
          <cell r="L25" t="str">
            <v/>
          </cell>
          <cell r="M25" t="str">
            <v/>
          </cell>
          <cell r="N25" t="str">
            <v/>
          </cell>
          <cell r="O25" t="str">
            <v/>
          </cell>
          <cell r="P25" t="str">
            <v/>
          </cell>
          <cell r="Q25" t="str">
            <v/>
          </cell>
          <cell r="R25" t="str">
            <v/>
          </cell>
          <cell r="S25" t="str">
            <v/>
          </cell>
          <cell r="T25" t="str">
            <v/>
          </cell>
          <cell r="U25" t="str">
            <v/>
          </cell>
          <cell r="V25" t="str">
            <v/>
          </cell>
          <cell r="W25" t="str">
            <v/>
          </cell>
          <cell r="X25" t="str">
            <v/>
          </cell>
          <cell r="Y25" t="str">
            <v/>
          </cell>
          <cell r="Z25" t="str">
            <v/>
          </cell>
          <cell r="AA25" t="str">
            <v/>
          </cell>
          <cell r="AB25" t="str">
            <v/>
          </cell>
          <cell r="AC25" t="str">
            <v/>
          </cell>
          <cell r="AD25" t="str">
            <v/>
          </cell>
          <cell r="AO25">
            <v>20</v>
          </cell>
          <cell r="AP25" t="str">
            <v>XXXXXXXXX</v>
          </cell>
          <cell r="AQ25" t="str">
            <v>PROJ</v>
          </cell>
        </row>
        <row r="26">
          <cell r="C26" t="str">
            <v/>
          </cell>
          <cell r="D26" t="str">
            <v/>
          </cell>
          <cell r="E26" t="str">
            <v/>
          </cell>
          <cell r="F26" t="str">
            <v/>
          </cell>
          <cell r="G26" t="str">
            <v/>
          </cell>
          <cell r="H26" t="str">
            <v/>
          </cell>
          <cell r="I26" t="str">
            <v/>
          </cell>
          <cell r="J26" t="str">
            <v/>
          </cell>
          <cell r="K26" t="str">
            <v/>
          </cell>
          <cell r="L26" t="str">
            <v/>
          </cell>
          <cell r="M26" t="str">
            <v/>
          </cell>
          <cell r="N26" t="str">
            <v/>
          </cell>
          <cell r="O26" t="str">
            <v/>
          </cell>
          <cell r="P26" t="str">
            <v/>
          </cell>
          <cell r="Q26" t="str">
            <v/>
          </cell>
          <cell r="R26" t="str">
            <v/>
          </cell>
          <cell r="S26" t="str">
            <v/>
          </cell>
          <cell r="T26" t="str">
            <v/>
          </cell>
          <cell r="U26" t="str">
            <v/>
          </cell>
          <cell r="V26" t="str">
            <v/>
          </cell>
          <cell r="W26" t="str">
            <v/>
          </cell>
          <cell r="X26" t="str">
            <v/>
          </cell>
          <cell r="Y26" t="str">
            <v/>
          </cell>
          <cell r="Z26" t="str">
            <v/>
          </cell>
          <cell r="AA26" t="str">
            <v/>
          </cell>
          <cell r="AB26" t="str">
            <v/>
          </cell>
          <cell r="AC26" t="str">
            <v/>
          </cell>
          <cell r="AD26" t="str">
            <v/>
          </cell>
          <cell r="AF26" t="str">
            <v>SCOPE OF WORK (DELIVERY STATUS)</v>
          </cell>
          <cell r="AO26">
            <v>21</v>
          </cell>
          <cell r="AP26" t="str">
            <v>XXXXXXXXX</v>
          </cell>
          <cell r="AQ26" t="str">
            <v>PROJ</v>
          </cell>
        </row>
        <row r="27">
          <cell r="C27" t="str">
            <v/>
          </cell>
          <cell r="D27" t="str">
            <v/>
          </cell>
          <cell r="E27" t="str">
            <v/>
          </cell>
          <cell r="F27" t="str">
            <v/>
          </cell>
          <cell r="G27" t="str">
            <v/>
          </cell>
          <cell r="H27" t="str">
            <v/>
          </cell>
          <cell r="I27" t="str">
            <v/>
          </cell>
          <cell r="J27" t="str">
            <v/>
          </cell>
          <cell r="K27" t="str">
            <v/>
          </cell>
          <cell r="L27" t="str">
            <v/>
          </cell>
          <cell r="M27" t="str">
            <v/>
          </cell>
          <cell r="N27" t="str">
            <v/>
          </cell>
          <cell r="O27" t="str">
            <v/>
          </cell>
          <cell r="P27" t="str">
            <v/>
          </cell>
          <cell r="Q27" t="str">
            <v/>
          </cell>
          <cell r="R27" t="str">
            <v/>
          </cell>
          <cell r="S27" t="str">
            <v/>
          </cell>
          <cell r="T27" t="str">
            <v/>
          </cell>
          <cell r="U27" t="str">
            <v/>
          </cell>
          <cell r="V27" t="str">
            <v/>
          </cell>
          <cell r="W27" t="str">
            <v/>
          </cell>
          <cell r="X27" t="str">
            <v/>
          </cell>
          <cell r="Y27" t="str">
            <v/>
          </cell>
          <cell r="Z27" t="str">
            <v/>
          </cell>
          <cell r="AA27" t="str">
            <v/>
          </cell>
          <cell r="AB27" t="str">
            <v/>
          </cell>
          <cell r="AC27" t="str">
            <v/>
          </cell>
          <cell r="AD27" t="str">
            <v/>
          </cell>
          <cell r="AF27">
            <v>0</v>
          </cell>
          <cell r="AG27" t="str">
            <v>OUT OF</v>
          </cell>
          <cell r="AH27">
            <v>0</v>
          </cell>
          <cell r="AI27">
            <v>0</v>
          </cell>
        </row>
        <row r="28">
          <cell r="C28" t="str">
            <v/>
          </cell>
          <cell r="D28" t="str">
            <v/>
          </cell>
          <cell r="E28" t="str">
            <v/>
          </cell>
          <cell r="F28" t="str">
            <v/>
          </cell>
          <cell r="G28" t="str">
            <v/>
          </cell>
          <cell r="H28" t="str">
            <v/>
          </cell>
          <cell r="I28" t="str">
            <v/>
          </cell>
          <cell r="J28" t="str">
            <v/>
          </cell>
          <cell r="K28" t="str">
            <v/>
          </cell>
          <cell r="L28" t="str">
            <v/>
          </cell>
          <cell r="M28" t="str">
            <v/>
          </cell>
          <cell r="N28" t="str">
            <v/>
          </cell>
          <cell r="O28" t="str">
            <v/>
          </cell>
          <cell r="P28" t="str">
            <v/>
          </cell>
          <cell r="Q28" t="str">
            <v/>
          </cell>
          <cell r="R28" t="str">
            <v/>
          </cell>
          <cell r="S28" t="str">
            <v/>
          </cell>
          <cell r="T28" t="str">
            <v/>
          </cell>
          <cell r="U28" t="str">
            <v/>
          </cell>
          <cell r="V28" t="str">
            <v/>
          </cell>
          <cell r="W28" t="str">
            <v/>
          </cell>
          <cell r="X28" t="str">
            <v/>
          </cell>
          <cell r="Y28" t="str">
            <v/>
          </cell>
          <cell r="Z28" t="str">
            <v/>
          </cell>
          <cell r="AA28" t="str">
            <v/>
          </cell>
          <cell r="AB28" t="str">
            <v/>
          </cell>
          <cell r="AC28" t="str">
            <v/>
          </cell>
          <cell r="AD28" t="str">
            <v/>
          </cell>
          <cell r="AF28">
            <v>0</v>
          </cell>
          <cell r="AG28" t="str">
            <v>OUT OF</v>
          </cell>
          <cell r="AH28">
            <v>0</v>
          </cell>
          <cell r="AI28">
            <v>0</v>
          </cell>
        </row>
        <row r="29">
          <cell r="C29" t="str">
            <v/>
          </cell>
          <cell r="D29" t="str">
            <v/>
          </cell>
          <cell r="E29" t="str">
            <v/>
          </cell>
          <cell r="F29" t="str">
            <v/>
          </cell>
          <cell r="G29" t="str">
            <v/>
          </cell>
          <cell r="H29" t="str">
            <v/>
          </cell>
          <cell r="I29" t="str">
            <v/>
          </cell>
          <cell r="J29" t="str">
            <v/>
          </cell>
          <cell r="K29" t="str">
            <v/>
          </cell>
          <cell r="L29" t="str">
            <v/>
          </cell>
          <cell r="M29" t="str">
            <v/>
          </cell>
          <cell r="N29" t="str">
            <v/>
          </cell>
          <cell r="O29" t="str">
            <v/>
          </cell>
          <cell r="P29" t="str">
            <v/>
          </cell>
          <cell r="Q29" t="str">
            <v/>
          </cell>
          <cell r="R29" t="str">
            <v/>
          </cell>
          <cell r="S29" t="str">
            <v/>
          </cell>
          <cell r="T29" t="str">
            <v/>
          </cell>
          <cell r="U29" t="str">
            <v/>
          </cell>
          <cell r="V29" t="str">
            <v/>
          </cell>
          <cell r="W29" t="str">
            <v/>
          </cell>
          <cell r="X29" t="str">
            <v/>
          </cell>
          <cell r="Y29" t="str">
            <v/>
          </cell>
          <cell r="Z29" t="str">
            <v/>
          </cell>
          <cell r="AA29" t="str">
            <v/>
          </cell>
          <cell r="AB29" t="str">
            <v/>
          </cell>
          <cell r="AC29" t="str">
            <v/>
          </cell>
          <cell r="AD29" t="str">
            <v/>
          </cell>
          <cell r="AF29">
            <v>0</v>
          </cell>
          <cell r="AG29" t="str">
            <v>OUT OF</v>
          </cell>
          <cell r="AH29">
            <v>0</v>
          </cell>
          <cell r="AI29">
            <v>0</v>
          </cell>
        </row>
        <row r="30">
          <cell r="C30">
            <v>6001</v>
          </cell>
          <cell r="D30">
            <v>6002</v>
          </cell>
          <cell r="E30">
            <v>6003</v>
          </cell>
          <cell r="F30">
            <v>6004</v>
          </cell>
          <cell r="G30">
            <v>6005</v>
          </cell>
          <cell r="H30">
            <v>6006</v>
          </cell>
          <cell r="I30">
            <v>6007</v>
          </cell>
          <cell r="J30">
            <v>6008</v>
          </cell>
          <cell r="K30">
            <v>6009</v>
          </cell>
          <cell r="L30">
            <v>6010</v>
          </cell>
          <cell r="M30">
            <v>6011</v>
          </cell>
          <cell r="N30">
            <v>6012</v>
          </cell>
          <cell r="O30">
            <v>6013</v>
          </cell>
          <cell r="P30">
            <v>6014</v>
          </cell>
          <cell r="Q30">
            <v>6015</v>
          </cell>
          <cell r="R30">
            <v>6016</v>
          </cell>
          <cell r="S30">
            <v>6017</v>
          </cell>
          <cell r="T30">
            <v>6018</v>
          </cell>
          <cell r="U30">
            <v>6019</v>
          </cell>
          <cell r="V30">
            <v>6020</v>
          </cell>
          <cell r="W30">
            <v>6021</v>
          </cell>
          <cell r="X30">
            <v>6022</v>
          </cell>
          <cell r="Y30">
            <v>6023</v>
          </cell>
          <cell r="Z30">
            <v>6024</v>
          </cell>
          <cell r="AA30">
            <v>6025</v>
          </cell>
          <cell r="AB30">
            <v>6026</v>
          </cell>
          <cell r="AC30">
            <v>6027</v>
          </cell>
          <cell r="AD30">
            <v>6028</v>
          </cell>
          <cell r="AF30" t="str">
            <v>6th FLOOR</v>
          </cell>
        </row>
        <row r="31">
          <cell r="C31" t="str">
            <v/>
          </cell>
          <cell r="D31" t="str">
            <v>(4) FOYER</v>
          </cell>
          <cell r="E31" t="str">
            <v/>
          </cell>
          <cell r="F31" t="str">
            <v/>
          </cell>
          <cell r="G31" t="str">
            <v/>
          </cell>
          <cell r="H31" t="str">
            <v/>
          </cell>
          <cell r="I31" t="str">
            <v>FOYER</v>
          </cell>
          <cell r="J31" t="str">
            <v/>
          </cell>
          <cell r="K31" t="str">
            <v>FOYER</v>
          </cell>
          <cell r="L31" t="str">
            <v>FOYER</v>
          </cell>
          <cell r="M31" t="str">
            <v/>
          </cell>
          <cell r="N31" t="str">
            <v/>
          </cell>
          <cell r="O31" t="str">
            <v/>
          </cell>
          <cell r="P31" t="str">
            <v/>
          </cell>
          <cell r="Q31" t="str">
            <v/>
          </cell>
          <cell r="R31" t="str">
            <v/>
          </cell>
          <cell r="S31" t="str">
            <v>UTILITY ROOM</v>
          </cell>
          <cell r="T31" t="str">
            <v/>
          </cell>
          <cell r="U31" t="str">
            <v>FOYER</v>
          </cell>
          <cell r="V31" t="str">
            <v/>
          </cell>
          <cell r="W31" t="str">
            <v/>
          </cell>
          <cell r="X31" t="str">
            <v/>
          </cell>
          <cell r="Y31" t="str">
            <v/>
          </cell>
          <cell r="Z31" t="str">
            <v/>
          </cell>
          <cell r="AA31" t="str">
            <v>FOYER</v>
          </cell>
          <cell r="AB31" t="str">
            <v/>
          </cell>
          <cell r="AC31" t="str">
            <v/>
          </cell>
          <cell r="AD31" t="str">
            <v/>
          </cell>
          <cell r="AF31" t="str">
            <v>SCOPE OF WORK (UNITS)</v>
          </cell>
        </row>
        <row r="32">
          <cell r="C32" t="str">
            <v/>
          </cell>
          <cell r="D32" t="str">
            <v>(4) UTILITY ROOM</v>
          </cell>
          <cell r="E32" t="str">
            <v/>
          </cell>
          <cell r="F32" t="str">
            <v/>
          </cell>
          <cell r="G32" t="str">
            <v/>
          </cell>
          <cell r="H32" t="str">
            <v/>
          </cell>
          <cell r="I32" t="str">
            <v>UTILITY ROOM</v>
          </cell>
          <cell r="J32" t="str">
            <v/>
          </cell>
          <cell r="K32" t="str">
            <v>UTILITY ROOM</v>
          </cell>
          <cell r="L32" t="str">
            <v>UTILITY ROOM</v>
          </cell>
          <cell r="M32" t="str">
            <v/>
          </cell>
          <cell r="N32" t="str">
            <v/>
          </cell>
          <cell r="O32" t="str">
            <v/>
          </cell>
          <cell r="P32" t="str">
            <v/>
          </cell>
          <cell r="Q32" t="str">
            <v/>
          </cell>
          <cell r="R32" t="str">
            <v/>
          </cell>
          <cell r="S32" t="str">
            <v>KITCHEN</v>
          </cell>
          <cell r="T32" t="str">
            <v/>
          </cell>
          <cell r="U32" t="str">
            <v>UTILITY ROOM</v>
          </cell>
          <cell r="V32" t="str">
            <v/>
          </cell>
          <cell r="W32" t="str">
            <v/>
          </cell>
          <cell r="X32" t="str">
            <v/>
          </cell>
          <cell r="Y32" t="str">
            <v/>
          </cell>
          <cell r="Z32" t="str">
            <v/>
          </cell>
          <cell r="AA32" t="str">
            <v>UTILITY ROOM</v>
          </cell>
          <cell r="AB32" t="str">
            <v/>
          </cell>
          <cell r="AC32" t="str">
            <v/>
          </cell>
          <cell r="AD32" t="str">
            <v/>
          </cell>
          <cell r="AF32" t="str">
            <v>UNITs:</v>
          </cell>
          <cell r="AG32">
            <v>7</v>
          </cell>
        </row>
        <row r="33">
          <cell r="C33" t="str">
            <v/>
          </cell>
          <cell r="D33" t="str">
            <v>(4) KITCHEN</v>
          </cell>
          <cell r="E33" t="str">
            <v/>
          </cell>
          <cell r="F33" t="str">
            <v/>
          </cell>
          <cell r="G33" t="str">
            <v/>
          </cell>
          <cell r="H33" t="str">
            <v/>
          </cell>
          <cell r="I33" t="str">
            <v>KITCHEN</v>
          </cell>
          <cell r="J33" t="str">
            <v/>
          </cell>
          <cell r="K33" t="str">
            <v>KITCHEN</v>
          </cell>
          <cell r="L33" t="str">
            <v>KITCHEN</v>
          </cell>
          <cell r="M33" t="str">
            <v/>
          </cell>
          <cell r="N33" t="str">
            <v/>
          </cell>
          <cell r="O33" t="str">
            <v/>
          </cell>
          <cell r="P33" t="str">
            <v/>
          </cell>
          <cell r="Q33" t="str">
            <v/>
          </cell>
          <cell r="R33" t="str">
            <v/>
          </cell>
          <cell r="S33" t="str">
            <v>PRIM BATH</v>
          </cell>
          <cell r="T33" t="str">
            <v/>
          </cell>
          <cell r="U33" t="str">
            <v>BEV CENTER</v>
          </cell>
          <cell r="V33" t="str">
            <v/>
          </cell>
          <cell r="W33" t="str">
            <v/>
          </cell>
          <cell r="X33" t="str">
            <v/>
          </cell>
          <cell r="Y33" t="str">
            <v/>
          </cell>
          <cell r="Z33" t="str">
            <v/>
          </cell>
          <cell r="AA33" t="str">
            <v>KITCHEN</v>
          </cell>
          <cell r="AB33" t="str">
            <v/>
          </cell>
          <cell r="AC33" t="str">
            <v/>
          </cell>
          <cell r="AD33" t="str">
            <v/>
          </cell>
          <cell r="AF33" t="str">
            <v>COMBOs:</v>
          </cell>
          <cell r="AG33">
            <v>3</v>
          </cell>
        </row>
        <row r="34">
          <cell r="C34" t="str">
            <v/>
          </cell>
          <cell r="D34" t="str">
            <v>(4) PRIM BATH</v>
          </cell>
          <cell r="E34" t="str">
            <v/>
          </cell>
          <cell r="F34" t="str">
            <v/>
          </cell>
          <cell r="G34" t="str">
            <v/>
          </cell>
          <cell r="H34" t="str">
            <v/>
          </cell>
          <cell r="I34" t="str">
            <v>PRIM BATH</v>
          </cell>
          <cell r="J34" t="str">
            <v/>
          </cell>
          <cell r="K34" t="str">
            <v>PRIM BATH</v>
          </cell>
          <cell r="L34" t="str">
            <v>PRIM BATH</v>
          </cell>
          <cell r="M34" t="str">
            <v/>
          </cell>
          <cell r="N34" t="str">
            <v/>
          </cell>
          <cell r="O34" t="str">
            <v/>
          </cell>
          <cell r="P34" t="str">
            <v/>
          </cell>
          <cell r="Q34" t="str">
            <v/>
          </cell>
          <cell r="R34" t="str">
            <v/>
          </cell>
          <cell r="S34" t="str">
            <v>BATH 2</v>
          </cell>
          <cell r="T34" t="str">
            <v/>
          </cell>
          <cell r="U34" t="str">
            <v>KITCHEN</v>
          </cell>
          <cell r="V34" t="str">
            <v/>
          </cell>
          <cell r="W34" t="str">
            <v/>
          </cell>
          <cell r="X34" t="str">
            <v/>
          </cell>
          <cell r="Y34" t="str">
            <v/>
          </cell>
          <cell r="Z34" t="str">
            <v/>
          </cell>
          <cell r="AA34" t="str">
            <v>PRIM BATH</v>
          </cell>
          <cell r="AB34" t="str">
            <v/>
          </cell>
          <cell r="AC34" t="str">
            <v/>
          </cell>
          <cell r="AD34" t="str">
            <v/>
          </cell>
          <cell r="AF34" t="str">
            <v>AREAs:</v>
          </cell>
          <cell r="AG34">
            <v>43</v>
          </cell>
        </row>
        <row r="35">
          <cell r="C35" t="str">
            <v/>
          </cell>
          <cell r="D35" t="str">
            <v>(4) BATH 2</v>
          </cell>
          <cell r="E35" t="str">
            <v/>
          </cell>
          <cell r="F35" t="str">
            <v/>
          </cell>
          <cell r="G35" t="str">
            <v/>
          </cell>
          <cell r="H35" t="str">
            <v/>
          </cell>
          <cell r="I35" t="str">
            <v/>
          </cell>
          <cell r="J35" t="str">
            <v/>
          </cell>
          <cell r="K35" t="str">
            <v>PRIM BED</v>
          </cell>
          <cell r="L35" t="str">
            <v>BATH 2</v>
          </cell>
          <cell r="M35" t="str">
            <v/>
          </cell>
          <cell r="N35" t="str">
            <v/>
          </cell>
          <cell r="O35" t="str">
            <v/>
          </cell>
          <cell r="P35" t="str">
            <v/>
          </cell>
          <cell r="Q35" t="str">
            <v/>
          </cell>
          <cell r="R35" t="str">
            <v/>
          </cell>
          <cell r="S35" t="str">
            <v>BATH 3</v>
          </cell>
          <cell r="T35" t="str">
            <v/>
          </cell>
          <cell r="U35" t="str">
            <v>GREAT ROOM</v>
          </cell>
          <cell r="V35" t="str">
            <v/>
          </cell>
          <cell r="W35" t="str">
            <v/>
          </cell>
          <cell r="X35" t="str">
            <v/>
          </cell>
          <cell r="Y35" t="str">
            <v/>
          </cell>
          <cell r="Z35" t="str">
            <v/>
          </cell>
          <cell r="AA35" t="str">
            <v>BATH 2</v>
          </cell>
          <cell r="AB35" t="str">
            <v/>
          </cell>
          <cell r="AC35" t="str">
            <v/>
          </cell>
          <cell r="AD35" t="str">
            <v/>
          </cell>
          <cell r="AF35" t="str">
            <v>DELIVERY TARGET:</v>
          </cell>
          <cell r="AH35">
            <v>46384</v>
          </cell>
        </row>
        <row r="36">
          <cell r="C36" t="str">
            <v/>
          </cell>
          <cell r="D36" t="str">
            <v>(4) BATH 3</v>
          </cell>
          <cell r="E36" t="str">
            <v/>
          </cell>
          <cell r="F36" t="str">
            <v/>
          </cell>
          <cell r="G36" t="str">
            <v/>
          </cell>
          <cell r="H36" t="str">
            <v/>
          </cell>
          <cell r="I36" t="str">
            <v/>
          </cell>
          <cell r="J36" t="str">
            <v/>
          </cell>
          <cell r="K36" t="str">
            <v/>
          </cell>
          <cell r="L36" t="str">
            <v/>
          </cell>
          <cell r="M36" t="str">
            <v/>
          </cell>
          <cell r="N36" t="str">
            <v/>
          </cell>
          <cell r="O36" t="str">
            <v/>
          </cell>
          <cell r="P36" t="str">
            <v/>
          </cell>
          <cell r="Q36" t="str">
            <v/>
          </cell>
          <cell r="R36" t="str">
            <v/>
          </cell>
          <cell r="S36" t="str">
            <v>BATH 4</v>
          </cell>
          <cell r="T36" t="str">
            <v/>
          </cell>
          <cell r="U36" t="str">
            <v>PRIM BATH</v>
          </cell>
          <cell r="V36" t="str">
            <v/>
          </cell>
          <cell r="W36" t="str">
            <v/>
          </cell>
          <cell r="X36" t="str">
            <v/>
          </cell>
          <cell r="Y36" t="str">
            <v/>
          </cell>
          <cell r="Z36" t="str">
            <v/>
          </cell>
          <cell r="AA36" t="str">
            <v>BED 2</v>
          </cell>
          <cell r="AB36" t="str">
            <v/>
          </cell>
          <cell r="AC36" t="str">
            <v/>
          </cell>
          <cell r="AD36" t="str">
            <v/>
          </cell>
        </row>
        <row r="37">
          <cell r="C37" t="str">
            <v/>
          </cell>
          <cell r="D37" t="str">
            <v>(4) BATH 4</v>
          </cell>
          <cell r="E37" t="str">
            <v/>
          </cell>
          <cell r="F37" t="str">
            <v/>
          </cell>
          <cell r="G37" t="str">
            <v/>
          </cell>
          <cell r="H37" t="str">
            <v/>
          </cell>
          <cell r="I37" t="str">
            <v/>
          </cell>
          <cell r="J37" t="str">
            <v/>
          </cell>
          <cell r="K37" t="str">
            <v/>
          </cell>
          <cell r="L37" t="str">
            <v/>
          </cell>
          <cell r="M37" t="str">
            <v/>
          </cell>
          <cell r="N37" t="str">
            <v/>
          </cell>
          <cell r="O37" t="str">
            <v/>
          </cell>
          <cell r="P37" t="str">
            <v/>
          </cell>
          <cell r="Q37" t="str">
            <v/>
          </cell>
          <cell r="R37" t="str">
            <v/>
          </cell>
          <cell r="S37" t="str">
            <v>BED 2</v>
          </cell>
          <cell r="T37" t="str">
            <v/>
          </cell>
          <cell r="U37" t="str">
            <v>BATH 2</v>
          </cell>
          <cell r="V37" t="str">
            <v/>
          </cell>
          <cell r="W37" t="str">
            <v/>
          </cell>
          <cell r="X37" t="str">
            <v/>
          </cell>
          <cell r="Y37" t="str">
            <v/>
          </cell>
          <cell r="Z37" t="str">
            <v/>
          </cell>
          <cell r="AA37" t="str">
            <v/>
          </cell>
          <cell r="AB37" t="str">
            <v/>
          </cell>
          <cell r="AC37" t="str">
            <v/>
          </cell>
          <cell r="AD37" t="str">
            <v/>
          </cell>
          <cell r="AF37" t="str">
            <v>SCOPE OF WORK (DELIVERY STATUS)</v>
          </cell>
        </row>
        <row r="38">
          <cell r="C38" t="str">
            <v/>
          </cell>
          <cell r="D38" t="str">
            <v>(4) BED 2</v>
          </cell>
          <cell r="E38" t="str">
            <v/>
          </cell>
          <cell r="F38" t="str">
            <v/>
          </cell>
          <cell r="G38" t="str">
            <v/>
          </cell>
          <cell r="H38" t="str">
            <v/>
          </cell>
          <cell r="I38" t="str">
            <v/>
          </cell>
          <cell r="J38" t="str">
            <v/>
          </cell>
          <cell r="K38" t="str">
            <v/>
          </cell>
          <cell r="L38" t="str">
            <v/>
          </cell>
          <cell r="M38" t="str">
            <v/>
          </cell>
          <cell r="N38" t="str">
            <v/>
          </cell>
          <cell r="O38" t="str">
            <v/>
          </cell>
          <cell r="P38" t="str">
            <v/>
          </cell>
          <cell r="Q38" t="str">
            <v/>
          </cell>
          <cell r="R38" t="str">
            <v/>
          </cell>
          <cell r="S38" t="str">
            <v/>
          </cell>
          <cell r="T38" t="str">
            <v/>
          </cell>
          <cell r="U38" t="str">
            <v>BED 2</v>
          </cell>
          <cell r="V38" t="str">
            <v/>
          </cell>
          <cell r="W38" t="str">
            <v/>
          </cell>
          <cell r="X38" t="str">
            <v/>
          </cell>
          <cell r="Y38" t="str">
            <v/>
          </cell>
          <cell r="Z38" t="str">
            <v/>
          </cell>
          <cell r="AA38" t="str">
            <v/>
          </cell>
          <cell r="AB38" t="str">
            <v/>
          </cell>
          <cell r="AC38" t="str">
            <v/>
          </cell>
          <cell r="AD38" t="str">
            <v/>
          </cell>
          <cell r="AF38">
            <v>0</v>
          </cell>
          <cell r="AG38" t="str">
            <v>OUT OF</v>
          </cell>
          <cell r="AH38">
            <v>43</v>
          </cell>
          <cell r="AI38">
            <v>0</v>
          </cell>
        </row>
        <row r="39">
          <cell r="C39" t="str">
            <v/>
          </cell>
          <cell r="D39" t="str">
            <v/>
          </cell>
          <cell r="E39" t="str">
            <v/>
          </cell>
          <cell r="F39" t="str">
            <v/>
          </cell>
          <cell r="G39" t="str">
            <v/>
          </cell>
          <cell r="H39" t="str">
            <v/>
          </cell>
          <cell r="I39" t="str">
            <v/>
          </cell>
          <cell r="J39" t="str">
            <v/>
          </cell>
          <cell r="K39" t="str">
            <v/>
          </cell>
          <cell r="L39" t="str">
            <v/>
          </cell>
          <cell r="M39" t="str">
            <v/>
          </cell>
          <cell r="N39" t="str">
            <v/>
          </cell>
          <cell r="O39" t="str">
            <v/>
          </cell>
          <cell r="P39" t="str">
            <v/>
          </cell>
          <cell r="Q39" t="str">
            <v/>
          </cell>
          <cell r="R39" t="str">
            <v/>
          </cell>
          <cell r="S39" t="str">
            <v/>
          </cell>
          <cell r="T39" t="str">
            <v/>
          </cell>
          <cell r="U39" t="str">
            <v/>
          </cell>
          <cell r="V39" t="str">
            <v/>
          </cell>
          <cell r="W39" t="str">
            <v/>
          </cell>
          <cell r="X39" t="str">
            <v/>
          </cell>
          <cell r="Y39" t="str">
            <v/>
          </cell>
          <cell r="Z39" t="str">
            <v/>
          </cell>
          <cell r="AA39" t="str">
            <v/>
          </cell>
          <cell r="AB39" t="str">
            <v/>
          </cell>
          <cell r="AC39" t="str">
            <v/>
          </cell>
          <cell r="AD39" t="str">
            <v/>
          </cell>
          <cell r="AF39" t="e">
            <v>#VALUE!</v>
          </cell>
          <cell r="AG39" t="str">
            <v>OUT OF</v>
          </cell>
          <cell r="AH39">
            <v>7</v>
          </cell>
          <cell r="AI39" t="e">
            <v>#VALUE!</v>
          </cell>
        </row>
        <row r="40">
          <cell r="C40" t="str">
            <v/>
          </cell>
          <cell r="D40" t="str">
            <v/>
          </cell>
          <cell r="E40" t="str">
            <v/>
          </cell>
          <cell r="F40" t="str">
            <v/>
          </cell>
          <cell r="G40" t="str">
            <v/>
          </cell>
          <cell r="H40" t="str">
            <v/>
          </cell>
          <cell r="I40" t="str">
            <v/>
          </cell>
          <cell r="J40" t="str">
            <v/>
          </cell>
          <cell r="K40" t="str">
            <v/>
          </cell>
          <cell r="L40" t="str">
            <v/>
          </cell>
          <cell r="M40" t="str">
            <v/>
          </cell>
          <cell r="N40" t="str">
            <v/>
          </cell>
          <cell r="O40" t="str">
            <v/>
          </cell>
          <cell r="P40" t="str">
            <v/>
          </cell>
          <cell r="Q40" t="str">
            <v/>
          </cell>
          <cell r="R40" t="str">
            <v/>
          </cell>
          <cell r="S40" t="str">
            <v/>
          </cell>
          <cell r="T40" t="str">
            <v/>
          </cell>
          <cell r="U40" t="str">
            <v/>
          </cell>
          <cell r="V40" t="str">
            <v/>
          </cell>
          <cell r="W40" t="str">
            <v/>
          </cell>
          <cell r="X40" t="str">
            <v/>
          </cell>
          <cell r="Y40" t="str">
            <v/>
          </cell>
          <cell r="Z40" t="str">
            <v/>
          </cell>
          <cell r="AA40" t="str">
            <v/>
          </cell>
          <cell r="AB40" t="str">
            <v/>
          </cell>
          <cell r="AC40" t="str">
            <v/>
          </cell>
          <cell r="AD40" t="str">
            <v/>
          </cell>
          <cell r="AF40" t="e">
            <v>#VALUE!</v>
          </cell>
          <cell r="AG40" t="str">
            <v>OUT OF</v>
          </cell>
          <cell r="AH40">
            <v>3</v>
          </cell>
          <cell r="AI40" t="e">
            <v>#VALUE!</v>
          </cell>
        </row>
        <row r="41">
          <cell r="C41">
            <v>5001</v>
          </cell>
          <cell r="D41">
            <v>5002</v>
          </cell>
          <cell r="E41">
            <v>5003</v>
          </cell>
          <cell r="F41">
            <v>5004</v>
          </cell>
          <cell r="G41">
            <v>5005</v>
          </cell>
          <cell r="H41">
            <v>5006</v>
          </cell>
          <cell r="I41">
            <v>5007</v>
          </cell>
          <cell r="J41">
            <v>5008</v>
          </cell>
          <cell r="K41">
            <v>5009</v>
          </cell>
          <cell r="L41">
            <v>5010</v>
          </cell>
          <cell r="M41">
            <v>5011</v>
          </cell>
          <cell r="N41">
            <v>5012</v>
          </cell>
          <cell r="O41">
            <v>5013</v>
          </cell>
          <cell r="P41">
            <v>5014</v>
          </cell>
          <cell r="Q41">
            <v>5015</v>
          </cell>
          <cell r="R41">
            <v>5016</v>
          </cell>
          <cell r="S41">
            <v>5017</v>
          </cell>
          <cell r="T41">
            <v>5018</v>
          </cell>
          <cell r="U41">
            <v>5019</v>
          </cell>
          <cell r="V41">
            <v>5020</v>
          </cell>
          <cell r="W41">
            <v>5021</v>
          </cell>
          <cell r="X41">
            <v>5022</v>
          </cell>
          <cell r="Y41">
            <v>5023</v>
          </cell>
          <cell r="Z41">
            <v>5024</v>
          </cell>
          <cell r="AA41">
            <v>5025</v>
          </cell>
          <cell r="AB41">
            <v>5026</v>
          </cell>
          <cell r="AC41">
            <v>5027</v>
          </cell>
          <cell r="AD41">
            <v>5028</v>
          </cell>
          <cell r="AF41" t="str">
            <v>5th FLOOR</v>
          </cell>
        </row>
        <row r="42">
          <cell r="C42" t="str">
            <v/>
          </cell>
          <cell r="D42" t="str">
            <v/>
          </cell>
          <cell r="E42" t="str">
            <v/>
          </cell>
          <cell r="F42" t="str">
            <v/>
          </cell>
          <cell r="G42" t="str">
            <v/>
          </cell>
          <cell r="H42" t="str">
            <v/>
          </cell>
          <cell r="I42" t="str">
            <v/>
          </cell>
          <cell r="J42" t="str">
            <v>(3) FOYER</v>
          </cell>
          <cell r="K42" t="str">
            <v/>
          </cell>
          <cell r="L42" t="str">
            <v/>
          </cell>
          <cell r="M42" t="str">
            <v/>
          </cell>
          <cell r="N42" t="str">
            <v/>
          </cell>
          <cell r="O42" t="str">
            <v/>
          </cell>
          <cell r="P42" t="str">
            <v/>
          </cell>
          <cell r="Q42" t="str">
            <v/>
          </cell>
          <cell r="R42" t="str">
            <v/>
          </cell>
          <cell r="S42" t="str">
            <v/>
          </cell>
          <cell r="T42" t="str">
            <v/>
          </cell>
          <cell r="U42" t="str">
            <v>(3) FOYER</v>
          </cell>
          <cell r="V42" t="str">
            <v>(4) FOYER</v>
          </cell>
          <cell r="W42" t="str">
            <v>(4) FOYER</v>
          </cell>
          <cell r="X42" t="str">
            <v/>
          </cell>
          <cell r="Y42" t="str">
            <v/>
          </cell>
          <cell r="Z42" t="str">
            <v/>
          </cell>
          <cell r="AA42" t="str">
            <v>(4) FOYER</v>
          </cell>
          <cell r="AB42" t="str">
            <v/>
          </cell>
          <cell r="AC42" t="str">
            <v/>
          </cell>
          <cell r="AD42" t="str">
            <v/>
          </cell>
          <cell r="AF42" t="str">
            <v>SCOPE OF WORK (UNITS)</v>
          </cell>
        </row>
        <row r="43">
          <cell r="C43" t="str">
            <v/>
          </cell>
          <cell r="D43" t="str">
            <v/>
          </cell>
          <cell r="E43" t="str">
            <v/>
          </cell>
          <cell r="F43" t="str">
            <v/>
          </cell>
          <cell r="G43" t="str">
            <v/>
          </cell>
          <cell r="H43" t="str">
            <v/>
          </cell>
          <cell r="I43" t="str">
            <v/>
          </cell>
          <cell r="J43" t="str">
            <v>(3) UTILITY ROOM</v>
          </cell>
          <cell r="K43" t="str">
            <v/>
          </cell>
          <cell r="L43" t="str">
            <v/>
          </cell>
          <cell r="M43" t="str">
            <v/>
          </cell>
          <cell r="N43" t="str">
            <v/>
          </cell>
          <cell r="O43" t="str">
            <v/>
          </cell>
          <cell r="P43" t="str">
            <v/>
          </cell>
          <cell r="Q43" t="str">
            <v/>
          </cell>
          <cell r="R43" t="str">
            <v/>
          </cell>
          <cell r="S43" t="str">
            <v/>
          </cell>
          <cell r="T43" t="str">
            <v/>
          </cell>
          <cell r="U43" t="str">
            <v>(3) UTILITY ROOM</v>
          </cell>
          <cell r="V43" t="str">
            <v>(4) UTILITY ROOM</v>
          </cell>
          <cell r="W43" t="str">
            <v>(4) HALL</v>
          </cell>
          <cell r="X43" t="str">
            <v/>
          </cell>
          <cell r="Y43" t="str">
            <v/>
          </cell>
          <cell r="Z43" t="str">
            <v/>
          </cell>
          <cell r="AA43" t="str">
            <v>(4) UTILITY ROOM</v>
          </cell>
          <cell r="AB43" t="str">
            <v/>
          </cell>
          <cell r="AC43" t="str">
            <v/>
          </cell>
          <cell r="AD43" t="str">
            <v/>
          </cell>
          <cell r="AF43" t="str">
            <v>UNITs:</v>
          </cell>
          <cell r="AG43">
            <v>5</v>
          </cell>
        </row>
        <row r="44">
          <cell r="C44" t="str">
            <v/>
          </cell>
          <cell r="D44" t="str">
            <v/>
          </cell>
          <cell r="E44" t="str">
            <v/>
          </cell>
          <cell r="F44" t="str">
            <v/>
          </cell>
          <cell r="G44" t="str">
            <v/>
          </cell>
          <cell r="H44" t="str">
            <v/>
          </cell>
          <cell r="I44" t="str">
            <v/>
          </cell>
          <cell r="J44" t="str">
            <v>(3) CLOSET</v>
          </cell>
          <cell r="K44" t="str">
            <v/>
          </cell>
          <cell r="L44" t="str">
            <v/>
          </cell>
          <cell r="M44" t="str">
            <v/>
          </cell>
          <cell r="N44" t="str">
            <v/>
          </cell>
          <cell r="O44" t="str">
            <v/>
          </cell>
          <cell r="P44" t="str">
            <v/>
          </cell>
          <cell r="Q44" t="str">
            <v/>
          </cell>
          <cell r="R44" t="str">
            <v/>
          </cell>
          <cell r="S44" t="str">
            <v/>
          </cell>
          <cell r="T44" t="str">
            <v/>
          </cell>
          <cell r="U44" t="str">
            <v>(3) BEV CENTER</v>
          </cell>
          <cell r="V44" t="str">
            <v>(4) KITCHEN</v>
          </cell>
          <cell r="W44" t="str">
            <v>(4) UTILITY ROOM</v>
          </cell>
          <cell r="X44" t="str">
            <v/>
          </cell>
          <cell r="Y44" t="str">
            <v/>
          </cell>
          <cell r="Z44" t="str">
            <v/>
          </cell>
          <cell r="AA44" t="str">
            <v>(4) KITCHEN</v>
          </cell>
          <cell r="AB44" t="str">
            <v/>
          </cell>
          <cell r="AC44" t="str">
            <v/>
          </cell>
          <cell r="AD44" t="str">
            <v/>
          </cell>
          <cell r="AF44" t="str">
            <v>COMBOs:</v>
          </cell>
          <cell r="AG44">
            <v>1</v>
          </cell>
        </row>
        <row r="45">
          <cell r="C45" t="str">
            <v/>
          </cell>
          <cell r="D45" t="str">
            <v/>
          </cell>
          <cell r="E45" t="str">
            <v/>
          </cell>
          <cell r="F45" t="str">
            <v/>
          </cell>
          <cell r="G45" t="str">
            <v/>
          </cell>
          <cell r="H45" t="str">
            <v/>
          </cell>
          <cell r="I45" t="str">
            <v/>
          </cell>
          <cell r="J45" t="str">
            <v>(3) KITCHEN</v>
          </cell>
          <cell r="K45" t="str">
            <v/>
          </cell>
          <cell r="L45" t="str">
            <v/>
          </cell>
          <cell r="M45" t="str">
            <v/>
          </cell>
          <cell r="N45" t="str">
            <v/>
          </cell>
          <cell r="O45" t="str">
            <v/>
          </cell>
          <cell r="P45" t="str">
            <v/>
          </cell>
          <cell r="Q45" t="str">
            <v/>
          </cell>
          <cell r="R45" t="str">
            <v/>
          </cell>
          <cell r="S45" t="str">
            <v/>
          </cell>
          <cell r="T45" t="str">
            <v/>
          </cell>
          <cell r="U45" t="str">
            <v>(3) KITCHEN</v>
          </cell>
          <cell r="V45" t="str">
            <v>(4) PRIM BATH</v>
          </cell>
          <cell r="W45" t="str">
            <v>(4) KITCHEN</v>
          </cell>
          <cell r="X45" t="str">
            <v/>
          </cell>
          <cell r="Y45" t="str">
            <v/>
          </cell>
          <cell r="Z45" t="str">
            <v/>
          </cell>
          <cell r="AA45" t="str">
            <v>(4) PRIM BATH</v>
          </cell>
          <cell r="AB45" t="str">
            <v/>
          </cell>
          <cell r="AC45" t="str">
            <v/>
          </cell>
          <cell r="AD45" t="str">
            <v/>
          </cell>
          <cell r="AF45" t="str">
            <v>AREAs:</v>
          </cell>
          <cell r="AG45">
            <v>34</v>
          </cell>
        </row>
        <row r="46">
          <cell r="C46" t="str">
            <v/>
          </cell>
          <cell r="D46" t="str">
            <v/>
          </cell>
          <cell r="E46" t="str">
            <v/>
          </cell>
          <cell r="F46" t="str">
            <v/>
          </cell>
          <cell r="G46" t="str">
            <v/>
          </cell>
          <cell r="H46" t="str">
            <v/>
          </cell>
          <cell r="I46" t="str">
            <v/>
          </cell>
          <cell r="J46" t="str">
            <v>(3) PRIM BATH</v>
          </cell>
          <cell r="K46" t="str">
            <v/>
          </cell>
          <cell r="L46" t="str">
            <v/>
          </cell>
          <cell r="M46" t="str">
            <v/>
          </cell>
          <cell r="N46" t="str">
            <v/>
          </cell>
          <cell r="O46" t="str">
            <v/>
          </cell>
          <cell r="P46" t="str">
            <v/>
          </cell>
          <cell r="Q46" t="str">
            <v/>
          </cell>
          <cell r="R46" t="str">
            <v/>
          </cell>
          <cell r="S46" t="str">
            <v/>
          </cell>
          <cell r="T46" t="str">
            <v/>
          </cell>
          <cell r="U46" t="str">
            <v>(3) GREAT ROOM</v>
          </cell>
          <cell r="V46" t="str">
            <v/>
          </cell>
          <cell r="W46" t="str">
            <v>(4) PRIM BATH</v>
          </cell>
          <cell r="X46" t="str">
            <v/>
          </cell>
          <cell r="Y46" t="str">
            <v/>
          </cell>
          <cell r="Z46" t="str">
            <v/>
          </cell>
          <cell r="AA46" t="str">
            <v>(4) BATH 2</v>
          </cell>
          <cell r="AB46" t="str">
            <v/>
          </cell>
          <cell r="AC46" t="str">
            <v/>
          </cell>
          <cell r="AD46" t="str">
            <v/>
          </cell>
          <cell r="AF46" t="str">
            <v>DELIVERY TARGET:</v>
          </cell>
          <cell r="AH46">
            <v>46356</v>
          </cell>
        </row>
        <row r="47">
          <cell r="C47" t="str">
            <v/>
          </cell>
          <cell r="D47" t="str">
            <v/>
          </cell>
          <cell r="E47" t="str">
            <v/>
          </cell>
          <cell r="F47" t="str">
            <v/>
          </cell>
          <cell r="G47" t="str">
            <v/>
          </cell>
          <cell r="H47" t="str">
            <v/>
          </cell>
          <cell r="I47" t="str">
            <v/>
          </cell>
          <cell r="J47" t="str">
            <v>(3) BATH 2</v>
          </cell>
          <cell r="K47" t="str">
            <v/>
          </cell>
          <cell r="L47" t="str">
            <v/>
          </cell>
          <cell r="M47" t="str">
            <v/>
          </cell>
          <cell r="N47" t="str">
            <v/>
          </cell>
          <cell r="O47" t="str">
            <v/>
          </cell>
          <cell r="P47" t="str">
            <v/>
          </cell>
          <cell r="Q47" t="str">
            <v/>
          </cell>
          <cell r="R47" t="str">
            <v/>
          </cell>
          <cell r="S47" t="str">
            <v/>
          </cell>
          <cell r="T47" t="str">
            <v/>
          </cell>
          <cell r="U47" t="str">
            <v>(3) PRIM BATH</v>
          </cell>
          <cell r="V47" t="str">
            <v/>
          </cell>
          <cell r="W47" t="str">
            <v>(4) BATH 2</v>
          </cell>
          <cell r="X47" t="str">
            <v/>
          </cell>
          <cell r="Y47" t="str">
            <v/>
          </cell>
          <cell r="Z47" t="str">
            <v/>
          </cell>
          <cell r="AA47" t="str">
            <v>(4) BED 2</v>
          </cell>
          <cell r="AB47" t="str">
            <v/>
          </cell>
          <cell r="AC47" t="str">
            <v/>
          </cell>
          <cell r="AD47" t="str">
            <v/>
          </cell>
        </row>
        <row r="48">
          <cell r="C48" t="str">
            <v/>
          </cell>
          <cell r="D48" t="str">
            <v/>
          </cell>
          <cell r="E48" t="str">
            <v/>
          </cell>
          <cell r="F48" t="str">
            <v/>
          </cell>
          <cell r="G48" t="str">
            <v/>
          </cell>
          <cell r="H48" t="str">
            <v/>
          </cell>
          <cell r="I48" t="str">
            <v/>
          </cell>
          <cell r="J48" t="str">
            <v>(3) BATH 3</v>
          </cell>
          <cell r="K48" t="str">
            <v/>
          </cell>
          <cell r="L48" t="str">
            <v/>
          </cell>
          <cell r="M48" t="str">
            <v/>
          </cell>
          <cell r="N48" t="str">
            <v/>
          </cell>
          <cell r="O48" t="str">
            <v/>
          </cell>
          <cell r="P48" t="str">
            <v/>
          </cell>
          <cell r="Q48" t="str">
            <v/>
          </cell>
          <cell r="R48" t="str">
            <v/>
          </cell>
          <cell r="S48" t="str">
            <v/>
          </cell>
          <cell r="T48" t="str">
            <v/>
          </cell>
          <cell r="U48" t="str">
            <v>(3) BATH 2</v>
          </cell>
          <cell r="V48" t="str">
            <v/>
          </cell>
          <cell r="W48" t="str">
            <v/>
          </cell>
          <cell r="X48" t="str">
            <v/>
          </cell>
          <cell r="Y48" t="str">
            <v/>
          </cell>
          <cell r="Z48" t="str">
            <v/>
          </cell>
          <cell r="AA48" t="str">
            <v/>
          </cell>
          <cell r="AB48" t="str">
            <v/>
          </cell>
          <cell r="AC48" t="str">
            <v/>
          </cell>
          <cell r="AD48" t="str">
            <v/>
          </cell>
          <cell r="AF48" t="str">
            <v>SCOPE OF WORK (DELIVERY STATUS)</v>
          </cell>
        </row>
        <row r="49">
          <cell r="C49" t="str">
            <v/>
          </cell>
          <cell r="D49" t="str">
            <v/>
          </cell>
          <cell r="E49" t="str">
            <v/>
          </cell>
          <cell r="F49" t="str">
            <v/>
          </cell>
          <cell r="G49" t="str">
            <v/>
          </cell>
          <cell r="H49" t="str">
            <v/>
          </cell>
          <cell r="I49" t="str">
            <v/>
          </cell>
          <cell r="J49" t="str">
            <v>(3) BED 3</v>
          </cell>
          <cell r="K49" t="str">
            <v/>
          </cell>
          <cell r="L49" t="str">
            <v/>
          </cell>
          <cell r="M49" t="str">
            <v/>
          </cell>
          <cell r="N49" t="str">
            <v/>
          </cell>
          <cell r="O49" t="str">
            <v/>
          </cell>
          <cell r="P49" t="str">
            <v/>
          </cell>
          <cell r="Q49" t="str">
            <v/>
          </cell>
          <cell r="R49" t="str">
            <v/>
          </cell>
          <cell r="S49" t="str">
            <v/>
          </cell>
          <cell r="T49" t="str">
            <v/>
          </cell>
          <cell r="U49" t="str">
            <v>(3) BATH 3</v>
          </cell>
          <cell r="V49" t="str">
            <v/>
          </cell>
          <cell r="W49" t="str">
            <v/>
          </cell>
          <cell r="X49" t="str">
            <v/>
          </cell>
          <cell r="Y49" t="str">
            <v/>
          </cell>
          <cell r="Z49" t="str">
            <v/>
          </cell>
          <cell r="AA49" t="str">
            <v/>
          </cell>
          <cell r="AB49" t="str">
            <v/>
          </cell>
          <cell r="AC49" t="str">
            <v/>
          </cell>
          <cell r="AD49" t="str">
            <v/>
          </cell>
          <cell r="AF49">
            <v>0</v>
          </cell>
          <cell r="AG49" t="str">
            <v>OUT OF</v>
          </cell>
          <cell r="AH49">
            <v>34</v>
          </cell>
          <cell r="AI49">
            <v>0</v>
          </cell>
        </row>
        <row r="50">
          <cell r="C50" t="str">
            <v/>
          </cell>
          <cell r="D50" t="str">
            <v/>
          </cell>
          <cell r="E50" t="str">
            <v/>
          </cell>
          <cell r="F50" t="str">
            <v/>
          </cell>
          <cell r="G50" t="str">
            <v/>
          </cell>
          <cell r="H50" t="str">
            <v/>
          </cell>
          <cell r="I50" t="str">
            <v/>
          </cell>
          <cell r="J50" t="str">
            <v/>
          </cell>
          <cell r="K50" t="str">
            <v/>
          </cell>
          <cell r="L50" t="str">
            <v/>
          </cell>
          <cell r="M50" t="str">
            <v/>
          </cell>
          <cell r="N50" t="str">
            <v/>
          </cell>
          <cell r="O50" t="str">
            <v/>
          </cell>
          <cell r="P50" t="str">
            <v/>
          </cell>
          <cell r="Q50" t="str">
            <v/>
          </cell>
          <cell r="R50" t="str">
            <v/>
          </cell>
          <cell r="S50" t="str">
            <v/>
          </cell>
          <cell r="T50" t="str">
            <v/>
          </cell>
          <cell r="U50" t="str">
            <v>(3) BED 2</v>
          </cell>
          <cell r="V50" t="str">
            <v/>
          </cell>
          <cell r="W50" t="str">
            <v/>
          </cell>
          <cell r="X50" t="str">
            <v/>
          </cell>
          <cell r="Y50" t="str">
            <v/>
          </cell>
          <cell r="Z50" t="str">
            <v/>
          </cell>
          <cell r="AA50" t="str">
            <v/>
          </cell>
          <cell r="AB50" t="str">
            <v/>
          </cell>
          <cell r="AC50" t="str">
            <v/>
          </cell>
          <cell r="AD50" t="str">
            <v/>
          </cell>
          <cell r="AF50">
            <v>0</v>
          </cell>
          <cell r="AG50" t="str">
            <v>OUT OF</v>
          </cell>
          <cell r="AH50">
            <v>5</v>
          </cell>
          <cell r="AI50">
            <v>0</v>
          </cell>
        </row>
        <row r="51">
          <cell r="C51" t="str">
            <v/>
          </cell>
          <cell r="D51" t="str">
            <v/>
          </cell>
          <cell r="E51" t="str">
            <v/>
          </cell>
          <cell r="F51" t="str">
            <v/>
          </cell>
          <cell r="G51" t="str">
            <v/>
          </cell>
          <cell r="H51" t="str">
            <v/>
          </cell>
          <cell r="I51" t="str">
            <v/>
          </cell>
          <cell r="J51" t="str">
            <v/>
          </cell>
          <cell r="K51" t="str">
            <v/>
          </cell>
          <cell r="L51" t="str">
            <v/>
          </cell>
          <cell r="M51" t="str">
            <v/>
          </cell>
          <cell r="N51" t="str">
            <v/>
          </cell>
          <cell r="O51" t="str">
            <v/>
          </cell>
          <cell r="P51" t="str">
            <v/>
          </cell>
          <cell r="Q51" t="str">
            <v/>
          </cell>
          <cell r="R51" t="str">
            <v/>
          </cell>
          <cell r="S51" t="str">
            <v/>
          </cell>
          <cell r="T51" t="str">
            <v/>
          </cell>
          <cell r="U51" t="str">
            <v>(3) BED 3</v>
          </cell>
          <cell r="V51" t="str">
            <v/>
          </cell>
          <cell r="W51" t="str">
            <v/>
          </cell>
          <cell r="X51" t="str">
            <v/>
          </cell>
          <cell r="Y51" t="str">
            <v/>
          </cell>
          <cell r="Z51" t="str">
            <v/>
          </cell>
          <cell r="AA51" t="str">
            <v/>
          </cell>
          <cell r="AB51" t="str">
            <v/>
          </cell>
          <cell r="AC51" t="str">
            <v/>
          </cell>
          <cell r="AD51" t="str">
            <v/>
          </cell>
          <cell r="AF51">
            <v>0</v>
          </cell>
          <cell r="AG51" t="str">
            <v>OUT OF</v>
          </cell>
          <cell r="AH51">
            <v>1</v>
          </cell>
          <cell r="AI51">
            <v>0</v>
          </cell>
        </row>
        <row r="52">
          <cell r="C52">
            <v>4001</v>
          </cell>
          <cell r="D52">
            <v>4002</v>
          </cell>
          <cell r="E52">
            <v>4003</v>
          </cell>
          <cell r="F52">
            <v>4004</v>
          </cell>
          <cell r="G52">
            <v>4005</v>
          </cell>
          <cell r="H52">
            <v>4006</v>
          </cell>
          <cell r="I52">
            <v>4007</v>
          </cell>
          <cell r="J52">
            <v>4008</v>
          </cell>
          <cell r="K52">
            <v>4009</v>
          </cell>
          <cell r="L52">
            <v>4010</v>
          </cell>
          <cell r="M52">
            <v>4011</v>
          </cell>
          <cell r="N52">
            <v>4012</v>
          </cell>
          <cell r="O52">
            <v>4013</v>
          </cell>
          <cell r="P52">
            <v>4014</v>
          </cell>
          <cell r="Q52">
            <v>4015</v>
          </cell>
          <cell r="R52">
            <v>4016</v>
          </cell>
          <cell r="S52">
            <v>4017</v>
          </cell>
          <cell r="T52">
            <v>4018</v>
          </cell>
          <cell r="U52">
            <v>4019</v>
          </cell>
          <cell r="V52">
            <v>4020</v>
          </cell>
          <cell r="W52">
            <v>4021</v>
          </cell>
          <cell r="X52">
            <v>4022</v>
          </cell>
          <cell r="Y52">
            <v>4023</v>
          </cell>
          <cell r="Z52">
            <v>4024</v>
          </cell>
          <cell r="AA52">
            <v>4025</v>
          </cell>
          <cell r="AB52">
            <v>4026</v>
          </cell>
          <cell r="AC52">
            <v>4027</v>
          </cell>
          <cell r="AD52">
            <v>4028</v>
          </cell>
          <cell r="AF52" t="str">
            <v>4th FLOOR</v>
          </cell>
        </row>
        <row r="53">
          <cell r="C53" t="str">
            <v/>
          </cell>
          <cell r="D53" t="str">
            <v/>
          </cell>
          <cell r="E53" t="str">
            <v/>
          </cell>
          <cell r="F53" t="str">
            <v/>
          </cell>
          <cell r="G53" t="str">
            <v/>
          </cell>
          <cell r="H53" t="str">
            <v/>
          </cell>
          <cell r="I53" t="str">
            <v/>
          </cell>
          <cell r="J53" t="str">
            <v>(3) UTILITY ROOM</v>
          </cell>
          <cell r="K53" t="str">
            <v/>
          </cell>
          <cell r="L53" t="str">
            <v/>
          </cell>
          <cell r="M53" t="str">
            <v/>
          </cell>
          <cell r="N53" t="str">
            <v/>
          </cell>
          <cell r="O53" t="str">
            <v/>
          </cell>
          <cell r="P53" t="str">
            <v/>
          </cell>
          <cell r="Q53" t="str">
            <v/>
          </cell>
          <cell r="R53" t="str">
            <v/>
          </cell>
          <cell r="S53" t="str">
            <v/>
          </cell>
          <cell r="T53" t="str">
            <v/>
          </cell>
          <cell r="U53" t="str">
            <v/>
          </cell>
          <cell r="V53" t="str">
            <v/>
          </cell>
          <cell r="W53" t="str">
            <v/>
          </cell>
          <cell r="X53" t="str">
            <v/>
          </cell>
          <cell r="Y53" t="str">
            <v/>
          </cell>
          <cell r="Z53" t="str">
            <v/>
          </cell>
          <cell r="AA53" t="str">
            <v/>
          </cell>
          <cell r="AB53" t="str">
            <v/>
          </cell>
          <cell r="AC53" t="str">
            <v/>
          </cell>
          <cell r="AD53" t="str">
            <v/>
          </cell>
          <cell r="AF53" t="str">
            <v>SCOPE OF WORK (UNITS)</v>
          </cell>
        </row>
        <row r="54">
          <cell r="C54" t="str">
            <v/>
          </cell>
          <cell r="D54" t="str">
            <v/>
          </cell>
          <cell r="E54" t="str">
            <v/>
          </cell>
          <cell r="F54" t="str">
            <v/>
          </cell>
          <cell r="G54" t="str">
            <v/>
          </cell>
          <cell r="H54" t="str">
            <v/>
          </cell>
          <cell r="I54" t="str">
            <v/>
          </cell>
          <cell r="J54" t="str">
            <v>(3) KITCHEN</v>
          </cell>
          <cell r="K54" t="str">
            <v/>
          </cell>
          <cell r="L54" t="str">
            <v/>
          </cell>
          <cell r="M54" t="str">
            <v/>
          </cell>
          <cell r="N54" t="str">
            <v/>
          </cell>
          <cell r="O54" t="str">
            <v/>
          </cell>
          <cell r="P54" t="str">
            <v/>
          </cell>
          <cell r="Q54" t="str">
            <v/>
          </cell>
          <cell r="R54" t="str">
            <v/>
          </cell>
          <cell r="S54" t="str">
            <v/>
          </cell>
          <cell r="T54" t="str">
            <v/>
          </cell>
          <cell r="U54" t="str">
            <v/>
          </cell>
          <cell r="V54" t="str">
            <v/>
          </cell>
          <cell r="W54" t="str">
            <v/>
          </cell>
          <cell r="X54" t="str">
            <v/>
          </cell>
          <cell r="Y54" t="str">
            <v/>
          </cell>
          <cell r="Z54" t="str">
            <v/>
          </cell>
          <cell r="AA54" t="str">
            <v/>
          </cell>
          <cell r="AB54" t="str">
            <v/>
          </cell>
          <cell r="AC54" t="str">
            <v/>
          </cell>
          <cell r="AD54" t="str">
            <v/>
          </cell>
          <cell r="AF54" t="str">
            <v>UNITs:</v>
          </cell>
          <cell r="AG54">
            <v>1</v>
          </cell>
        </row>
        <row r="55">
          <cell r="C55" t="str">
            <v/>
          </cell>
          <cell r="D55" t="str">
            <v/>
          </cell>
          <cell r="E55" t="str">
            <v/>
          </cell>
          <cell r="F55" t="str">
            <v/>
          </cell>
          <cell r="G55" t="str">
            <v/>
          </cell>
          <cell r="H55" t="str">
            <v/>
          </cell>
          <cell r="I55" t="str">
            <v/>
          </cell>
          <cell r="J55" t="str">
            <v>(3) PRIM BATH</v>
          </cell>
          <cell r="K55" t="str">
            <v/>
          </cell>
          <cell r="L55" t="str">
            <v/>
          </cell>
          <cell r="M55" t="str">
            <v/>
          </cell>
          <cell r="N55" t="str">
            <v/>
          </cell>
          <cell r="O55" t="str">
            <v/>
          </cell>
          <cell r="P55" t="str">
            <v/>
          </cell>
          <cell r="Q55" t="str">
            <v/>
          </cell>
          <cell r="R55" t="str">
            <v/>
          </cell>
          <cell r="S55" t="str">
            <v/>
          </cell>
          <cell r="T55" t="str">
            <v/>
          </cell>
          <cell r="U55" t="str">
            <v/>
          </cell>
          <cell r="V55" t="str">
            <v/>
          </cell>
          <cell r="W55" t="str">
            <v/>
          </cell>
          <cell r="X55" t="str">
            <v/>
          </cell>
          <cell r="Y55" t="str">
            <v/>
          </cell>
          <cell r="Z55" t="str">
            <v/>
          </cell>
          <cell r="AA55" t="str">
            <v/>
          </cell>
          <cell r="AB55" t="str">
            <v/>
          </cell>
          <cell r="AC55" t="str">
            <v/>
          </cell>
          <cell r="AD55" t="str">
            <v/>
          </cell>
          <cell r="AF55" t="str">
            <v>COMBOs:</v>
          </cell>
          <cell r="AG55">
            <v>0</v>
          </cell>
        </row>
        <row r="56">
          <cell r="C56" t="str">
            <v/>
          </cell>
          <cell r="D56" t="str">
            <v/>
          </cell>
          <cell r="E56" t="str">
            <v/>
          </cell>
          <cell r="F56" t="str">
            <v/>
          </cell>
          <cell r="G56" t="str">
            <v/>
          </cell>
          <cell r="H56" t="str">
            <v/>
          </cell>
          <cell r="I56" t="str">
            <v/>
          </cell>
          <cell r="J56" t="str">
            <v>(3) BATH 2</v>
          </cell>
          <cell r="K56" t="str">
            <v/>
          </cell>
          <cell r="L56" t="str">
            <v/>
          </cell>
          <cell r="M56" t="str">
            <v/>
          </cell>
          <cell r="N56" t="str">
            <v/>
          </cell>
          <cell r="O56" t="str">
            <v/>
          </cell>
          <cell r="P56" t="str">
            <v/>
          </cell>
          <cell r="Q56" t="str">
            <v/>
          </cell>
          <cell r="R56" t="str">
            <v/>
          </cell>
          <cell r="S56" t="str">
            <v/>
          </cell>
          <cell r="T56" t="str">
            <v/>
          </cell>
          <cell r="U56" t="str">
            <v/>
          </cell>
          <cell r="V56" t="str">
            <v/>
          </cell>
          <cell r="W56" t="str">
            <v/>
          </cell>
          <cell r="X56" t="str">
            <v/>
          </cell>
          <cell r="Y56" t="str">
            <v/>
          </cell>
          <cell r="Z56" t="str">
            <v/>
          </cell>
          <cell r="AA56" t="str">
            <v/>
          </cell>
          <cell r="AB56" t="str">
            <v/>
          </cell>
          <cell r="AC56" t="str">
            <v/>
          </cell>
          <cell r="AD56" t="str">
            <v/>
          </cell>
          <cell r="AF56" t="str">
            <v>AREAs:</v>
          </cell>
          <cell r="AG56">
            <v>5</v>
          </cell>
        </row>
        <row r="57">
          <cell r="C57" t="str">
            <v/>
          </cell>
          <cell r="D57" t="str">
            <v/>
          </cell>
          <cell r="E57" t="str">
            <v/>
          </cell>
          <cell r="F57" t="str">
            <v/>
          </cell>
          <cell r="G57" t="str">
            <v/>
          </cell>
          <cell r="H57" t="str">
            <v/>
          </cell>
          <cell r="I57" t="str">
            <v/>
          </cell>
          <cell r="J57" t="str">
            <v>(3) BED 2</v>
          </cell>
          <cell r="K57" t="str">
            <v/>
          </cell>
          <cell r="L57" t="str">
            <v/>
          </cell>
          <cell r="M57" t="str">
            <v/>
          </cell>
          <cell r="N57" t="str">
            <v/>
          </cell>
          <cell r="O57" t="str">
            <v/>
          </cell>
          <cell r="P57" t="str">
            <v/>
          </cell>
          <cell r="Q57" t="str">
            <v/>
          </cell>
          <cell r="R57" t="str">
            <v/>
          </cell>
          <cell r="S57" t="str">
            <v/>
          </cell>
          <cell r="T57" t="str">
            <v/>
          </cell>
          <cell r="U57" t="str">
            <v/>
          </cell>
          <cell r="V57" t="str">
            <v/>
          </cell>
          <cell r="W57" t="str">
            <v/>
          </cell>
          <cell r="X57" t="str">
            <v/>
          </cell>
          <cell r="Y57" t="str">
            <v/>
          </cell>
          <cell r="Z57" t="str">
            <v/>
          </cell>
          <cell r="AA57" t="str">
            <v/>
          </cell>
          <cell r="AB57" t="str">
            <v/>
          </cell>
          <cell r="AC57" t="str">
            <v/>
          </cell>
          <cell r="AD57" t="str">
            <v/>
          </cell>
          <cell r="AF57" t="str">
            <v>DELIVERY TARGET:</v>
          </cell>
          <cell r="AH57">
            <v>46328</v>
          </cell>
        </row>
        <row r="58">
          <cell r="C58" t="str">
            <v/>
          </cell>
          <cell r="D58" t="str">
            <v/>
          </cell>
          <cell r="E58" t="str">
            <v/>
          </cell>
          <cell r="F58" t="str">
            <v/>
          </cell>
          <cell r="G58" t="str">
            <v/>
          </cell>
          <cell r="H58" t="str">
            <v/>
          </cell>
          <cell r="I58" t="str">
            <v/>
          </cell>
          <cell r="J58" t="str">
            <v/>
          </cell>
          <cell r="K58" t="str">
            <v/>
          </cell>
          <cell r="L58" t="str">
            <v/>
          </cell>
          <cell r="M58" t="str">
            <v/>
          </cell>
          <cell r="N58" t="str">
            <v/>
          </cell>
          <cell r="O58" t="str">
            <v/>
          </cell>
          <cell r="P58" t="str">
            <v/>
          </cell>
          <cell r="Q58" t="str">
            <v/>
          </cell>
          <cell r="R58" t="str">
            <v/>
          </cell>
          <cell r="S58" t="str">
            <v/>
          </cell>
          <cell r="T58" t="str">
            <v/>
          </cell>
          <cell r="U58" t="str">
            <v/>
          </cell>
          <cell r="V58" t="str">
            <v/>
          </cell>
          <cell r="W58" t="str">
            <v/>
          </cell>
          <cell r="X58" t="str">
            <v/>
          </cell>
          <cell r="Y58" t="str">
            <v/>
          </cell>
          <cell r="Z58" t="str">
            <v/>
          </cell>
          <cell r="AA58" t="str">
            <v/>
          </cell>
          <cell r="AB58" t="str">
            <v/>
          </cell>
          <cell r="AC58" t="str">
            <v/>
          </cell>
          <cell r="AD58" t="str">
            <v/>
          </cell>
        </row>
        <row r="59">
          <cell r="C59" t="str">
            <v/>
          </cell>
          <cell r="D59" t="str">
            <v/>
          </cell>
          <cell r="E59" t="str">
            <v/>
          </cell>
          <cell r="F59" t="str">
            <v/>
          </cell>
          <cell r="G59" t="str">
            <v/>
          </cell>
          <cell r="H59" t="str">
            <v/>
          </cell>
          <cell r="I59" t="str">
            <v/>
          </cell>
          <cell r="J59" t="str">
            <v/>
          </cell>
          <cell r="K59" t="str">
            <v/>
          </cell>
          <cell r="L59" t="str">
            <v/>
          </cell>
          <cell r="M59" t="str">
            <v/>
          </cell>
          <cell r="N59" t="str">
            <v/>
          </cell>
          <cell r="O59" t="str">
            <v/>
          </cell>
          <cell r="P59" t="str">
            <v/>
          </cell>
          <cell r="Q59" t="str">
            <v/>
          </cell>
          <cell r="R59" t="str">
            <v/>
          </cell>
          <cell r="S59" t="str">
            <v/>
          </cell>
          <cell r="T59" t="str">
            <v/>
          </cell>
          <cell r="U59" t="str">
            <v/>
          </cell>
          <cell r="V59" t="str">
            <v/>
          </cell>
          <cell r="W59" t="str">
            <v/>
          </cell>
          <cell r="X59" t="str">
            <v/>
          </cell>
          <cell r="Y59" t="str">
            <v/>
          </cell>
          <cell r="Z59" t="str">
            <v/>
          </cell>
          <cell r="AA59" t="str">
            <v/>
          </cell>
          <cell r="AB59" t="str">
            <v/>
          </cell>
          <cell r="AC59" t="str">
            <v/>
          </cell>
          <cell r="AD59" t="str">
            <v/>
          </cell>
          <cell r="AF59" t="str">
            <v>SCOPE OF WORK (DELIVERY STATUS)</v>
          </cell>
        </row>
        <row r="60">
          <cell r="C60" t="str">
            <v/>
          </cell>
          <cell r="D60" t="str">
            <v/>
          </cell>
          <cell r="E60" t="str">
            <v/>
          </cell>
          <cell r="F60" t="str">
            <v/>
          </cell>
          <cell r="G60" t="str">
            <v/>
          </cell>
          <cell r="H60" t="str">
            <v/>
          </cell>
          <cell r="I60" t="str">
            <v/>
          </cell>
          <cell r="J60" t="str">
            <v/>
          </cell>
          <cell r="K60" t="str">
            <v/>
          </cell>
          <cell r="L60" t="str">
            <v/>
          </cell>
          <cell r="M60" t="str">
            <v/>
          </cell>
          <cell r="N60" t="str">
            <v/>
          </cell>
          <cell r="O60" t="str">
            <v/>
          </cell>
          <cell r="P60" t="str">
            <v/>
          </cell>
          <cell r="Q60" t="str">
            <v/>
          </cell>
          <cell r="R60" t="str">
            <v/>
          </cell>
          <cell r="S60" t="str">
            <v/>
          </cell>
          <cell r="T60" t="str">
            <v/>
          </cell>
          <cell r="U60" t="str">
            <v/>
          </cell>
          <cell r="V60" t="str">
            <v/>
          </cell>
          <cell r="W60" t="str">
            <v/>
          </cell>
          <cell r="X60" t="str">
            <v/>
          </cell>
          <cell r="Y60" t="str">
            <v/>
          </cell>
          <cell r="Z60" t="str">
            <v/>
          </cell>
          <cell r="AA60" t="str">
            <v/>
          </cell>
          <cell r="AB60" t="str">
            <v/>
          </cell>
          <cell r="AC60" t="str">
            <v/>
          </cell>
          <cell r="AD60" t="str">
            <v/>
          </cell>
          <cell r="AF60">
            <v>0</v>
          </cell>
          <cell r="AG60" t="str">
            <v>OUT OF</v>
          </cell>
          <cell r="AH60">
            <v>5</v>
          </cell>
          <cell r="AI60">
            <v>0</v>
          </cell>
        </row>
        <row r="61">
          <cell r="C61" t="str">
            <v/>
          </cell>
          <cell r="D61" t="str">
            <v/>
          </cell>
          <cell r="E61" t="str">
            <v/>
          </cell>
          <cell r="F61" t="str">
            <v/>
          </cell>
          <cell r="G61" t="str">
            <v/>
          </cell>
          <cell r="H61" t="str">
            <v/>
          </cell>
          <cell r="I61" t="str">
            <v/>
          </cell>
          <cell r="J61" t="str">
            <v/>
          </cell>
          <cell r="K61" t="str">
            <v/>
          </cell>
          <cell r="L61" t="str">
            <v/>
          </cell>
          <cell r="M61" t="str">
            <v/>
          </cell>
          <cell r="N61" t="str">
            <v/>
          </cell>
          <cell r="O61" t="str">
            <v/>
          </cell>
          <cell r="P61" t="str">
            <v/>
          </cell>
          <cell r="Q61" t="str">
            <v/>
          </cell>
          <cell r="R61" t="str">
            <v/>
          </cell>
          <cell r="S61" t="str">
            <v/>
          </cell>
          <cell r="T61" t="str">
            <v/>
          </cell>
          <cell r="U61" t="str">
            <v/>
          </cell>
          <cell r="V61" t="str">
            <v/>
          </cell>
          <cell r="W61" t="str">
            <v/>
          </cell>
          <cell r="X61" t="str">
            <v/>
          </cell>
          <cell r="Y61" t="str">
            <v/>
          </cell>
          <cell r="Z61" t="str">
            <v/>
          </cell>
          <cell r="AA61" t="str">
            <v/>
          </cell>
          <cell r="AB61" t="str">
            <v/>
          </cell>
          <cell r="AC61" t="str">
            <v/>
          </cell>
          <cell r="AD61" t="str">
            <v/>
          </cell>
          <cell r="AF61">
            <v>0</v>
          </cell>
          <cell r="AG61" t="str">
            <v>OUT OF</v>
          </cell>
          <cell r="AH61">
            <v>1</v>
          </cell>
          <cell r="AI61">
            <v>0</v>
          </cell>
        </row>
        <row r="62">
          <cell r="C62" t="str">
            <v/>
          </cell>
          <cell r="D62" t="str">
            <v/>
          </cell>
          <cell r="E62" t="str">
            <v/>
          </cell>
          <cell r="F62" t="str">
            <v/>
          </cell>
          <cell r="G62" t="str">
            <v/>
          </cell>
          <cell r="H62" t="str">
            <v/>
          </cell>
          <cell r="I62" t="str">
            <v/>
          </cell>
          <cell r="J62" t="str">
            <v/>
          </cell>
          <cell r="K62" t="str">
            <v/>
          </cell>
          <cell r="L62" t="str">
            <v/>
          </cell>
          <cell r="M62" t="str">
            <v/>
          </cell>
          <cell r="N62" t="str">
            <v/>
          </cell>
          <cell r="O62" t="str">
            <v/>
          </cell>
          <cell r="P62" t="str">
            <v/>
          </cell>
          <cell r="Q62" t="str">
            <v/>
          </cell>
          <cell r="R62" t="str">
            <v/>
          </cell>
          <cell r="S62" t="str">
            <v/>
          </cell>
          <cell r="T62" t="str">
            <v/>
          </cell>
          <cell r="U62" t="str">
            <v/>
          </cell>
          <cell r="V62" t="str">
            <v/>
          </cell>
          <cell r="W62" t="str">
            <v/>
          </cell>
          <cell r="X62" t="str">
            <v/>
          </cell>
          <cell r="Y62" t="str">
            <v/>
          </cell>
          <cell r="Z62" t="str">
            <v/>
          </cell>
          <cell r="AA62" t="str">
            <v/>
          </cell>
          <cell r="AB62" t="str">
            <v/>
          </cell>
          <cell r="AC62" t="str">
            <v/>
          </cell>
          <cell r="AD62" t="str">
            <v/>
          </cell>
          <cell r="AF62">
            <v>0</v>
          </cell>
          <cell r="AG62" t="str">
            <v>OUT OF</v>
          </cell>
          <cell r="AH62">
            <v>0</v>
          </cell>
          <cell r="AI62">
            <v>0</v>
          </cell>
        </row>
        <row r="63">
          <cell r="C63">
            <v>3001</v>
          </cell>
          <cell r="D63">
            <v>3002</v>
          </cell>
          <cell r="E63">
            <v>3003</v>
          </cell>
          <cell r="F63">
            <v>3004</v>
          </cell>
          <cell r="G63">
            <v>3005</v>
          </cell>
          <cell r="H63">
            <v>3006</v>
          </cell>
          <cell r="I63">
            <v>3007</v>
          </cell>
          <cell r="J63">
            <v>3008</v>
          </cell>
          <cell r="K63">
            <v>3009</v>
          </cell>
          <cell r="L63">
            <v>3010</v>
          </cell>
          <cell r="M63">
            <v>3011</v>
          </cell>
          <cell r="N63">
            <v>3012</v>
          </cell>
          <cell r="O63">
            <v>3013</v>
          </cell>
          <cell r="P63">
            <v>3014</v>
          </cell>
          <cell r="Q63">
            <v>3015</v>
          </cell>
          <cell r="R63">
            <v>3016</v>
          </cell>
          <cell r="S63">
            <v>3017</v>
          </cell>
          <cell r="T63">
            <v>3018</v>
          </cell>
          <cell r="U63">
            <v>3019</v>
          </cell>
          <cell r="V63">
            <v>3020</v>
          </cell>
          <cell r="W63">
            <v>3021</v>
          </cell>
          <cell r="X63">
            <v>3022</v>
          </cell>
          <cell r="Y63">
            <v>3023</v>
          </cell>
          <cell r="Z63">
            <v>3024</v>
          </cell>
          <cell r="AA63">
            <v>3025</v>
          </cell>
          <cell r="AB63">
            <v>3026</v>
          </cell>
          <cell r="AC63">
            <v>3027</v>
          </cell>
          <cell r="AD63">
            <v>3028</v>
          </cell>
          <cell r="AF63" t="str">
            <v>3th FLOOR</v>
          </cell>
        </row>
        <row r="64">
          <cell r="C64" t="str">
            <v/>
          </cell>
          <cell r="D64" t="str">
            <v/>
          </cell>
          <cell r="E64" t="str">
            <v/>
          </cell>
          <cell r="F64" t="str">
            <v/>
          </cell>
          <cell r="G64" t="str">
            <v>(1) UTILITY ROOM</v>
          </cell>
          <cell r="H64" t="str">
            <v/>
          </cell>
          <cell r="I64" t="str">
            <v/>
          </cell>
          <cell r="J64" t="str">
            <v/>
          </cell>
          <cell r="K64" t="str">
            <v/>
          </cell>
          <cell r="L64" t="str">
            <v/>
          </cell>
          <cell r="M64" t="str">
            <v/>
          </cell>
          <cell r="N64" t="str">
            <v/>
          </cell>
          <cell r="O64" t="str">
            <v/>
          </cell>
          <cell r="P64" t="str">
            <v/>
          </cell>
          <cell r="Q64" t="str">
            <v/>
          </cell>
          <cell r="R64" t="str">
            <v/>
          </cell>
          <cell r="S64" t="str">
            <v>(2) FOYER</v>
          </cell>
          <cell r="T64" t="str">
            <v/>
          </cell>
          <cell r="U64" t="str">
            <v/>
          </cell>
          <cell r="V64" t="str">
            <v>(2) FOYER</v>
          </cell>
          <cell r="W64" t="str">
            <v/>
          </cell>
          <cell r="X64" t="str">
            <v/>
          </cell>
          <cell r="Y64" t="str">
            <v/>
          </cell>
          <cell r="Z64" t="str">
            <v/>
          </cell>
          <cell r="AA64" t="str">
            <v>(2) BEV CENTER</v>
          </cell>
          <cell r="AB64" t="str">
            <v/>
          </cell>
          <cell r="AC64" t="str">
            <v>(2) FOYER</v>
          </cell>
          <cell r="AD64" t="str">
            <v/>
          </cell>
          <cell r="AF64" t="str">
            <v>SCOPE OF WORK (UNITS)</v>
          </cell>
        </row>
        <row r="65">
          <cell r="C65" t="str">
            <v/>
          </cell>
          <cell r="D65" t="str">
            <v/>
          </cell>
          <cell r="E65" t="str">
            <v/>
          </cell>
          <cell r="F65" t="str">
            <v/>
          </cell>
          <cell r="G65" t="str">
            <v>(1) KITCHEN</v>
          </cell>
          <cell r="H65" t="str">
            <v/>
          </cell>
          <cell r="I65" t="str">
            <v/>
          </cell>
          <cell r="J65" t="str">
            <v/>
          </cell>
          <cell r="K65" t="str">
            <v/>
          </cell>
          <cell r="L65" t="str">
            <v/>
          </cell>
          <cell r="M65" t="str">
            <v/>
          </cell>
          <cell r="N65" t="str">
            <v/>
          </cell>
          <cell r="O65" t="str">
            <v/>
          </cell>
          <cell r="P65" t="str">
            <v/>
          </cell>
          <cell r="Q65" t="str">
            <v/>
          </cell>
          <cell r="R65" t="str">
            <v/>
          </cell>
          <cell r="S65" t="str">
            <v>(2) UTILITY ROOM</v>
          </cell>
          <cell r="T65" t="str">
            <v/>
          </cell>
          <cell r="U65" t="str">
            <v/>
          </cell>
          <cell r="V65" t="str">
            <v>(2) UTILITY ROOM</v>
          </cell>
          <cell r="W65" t="str">
            <v/>
          </cell>
          <cell r="X65" t="str">
            <v/>
          </cell>
          <cell r="Y65" t="str">
            <v/>
          </cell>
          <cell r="Z65" t="str">
            <v/>
          </cell>
          <cell r="AA65" t="str">
            <v>(2) KITCHEN</v>
          </cell>
          <cell r="AB65" t="str">
            <v/>
          </cell>
          <cell r="AC65" t="str">
            <v>(2) UTILITY ROOM</v>
          </cell>
          <cell r="AD65" t="str">
            <v/>
          </cell>
          <cell r="AF65" t="str">
            <v>UNITs:</v>
          </cell>
          <cell r="AG65">
            <v>5</v>
          </cell>
        </row>
        <row r="66">
          <cell r="C66" t="str">
            <v/>
          </cell>
          <cell r="D66" t="str">
            <v/>
          </cell>
          <cell r="E66" t="str">
            <v/>
          </cell>
          <cell r="F66" t="str">
            <v/>
          </cell>
          <cell r="G66" t="str">
            <v>(1) DINING</v>
          </cell>
          <cell r="H66" t="str">
            <v/>
          </cell>
          <cell r="I66" t="str">
            <v/>
          </cell>
          <cell r="J66" t="str">
            <v/>
          </cell>
          <cell r="K66" t="str">
            <v/>
          </cell>
          <cell r="L66" t="str">
            <v/>
          </cell>
          <cell r="M66" t="str">
            <v/>
          </cell>
          <cell r="N66" t="str">
            <v/>
          </cell>
          <cell r="O66" t="str">
            <v/>
          </cell>
          <cell r="P66" t="str">
            <v/>
          </cell>
          <cell r="Q66" t="str">
            <v/>
          </cell>
          <cell r="R66" t="str">
            <v/>
          </cell>
          <cell r="S66" t="str">
            <v>(2) KITCHEN</v>
          </cell>
          <cell r="T66" t="str">
            <v/>
          </cell>
          <cell r="U66" t="str">
            <v/>
          </cell>
          <cell r="V66" t="str">
            <v>(2) KITCHEN</v>
          </cell>
          <cell r="W66" t="str">
            <v/>
          </cell>
          <cell r="X66" t="str">
            <v/>
          </cell>
          <cell r="Y66" t="str">
            <v/>
          </cell>
          <cell r="Z66" t="str">
            <v/>
          </cell>
          <cell r="AA66" t="str">
            <v/>
          </cell>
          <cell r="AB66" t="str">
            <v/>
          </cell>
          <cell r="AC66" t="str">
            <v>(2) KITCHEN</v>
          </cell>
          <cell r="AD66" t="str">
            <v/>
          </cell>
          <cell r="AF66" t="str">
            <v>COMBOs:</v>
          </cell>
          <cell r="AG66">
            <v>1</v>
          </cell>
        </row>
        <row r="67">
          <cell r="C67" t="str">
            <v/>
          </cell>
          <cell r="D67" t="str">
            <v/>
          </cell>
          <cell r="E67" t="str">
            <v/>
          </cell>
          <cell r="F67" t="str">
            <v/>
          </cell>
          <cell r="G67" t="str">
            <v>(1) PRIM BATH</v>
          </cell>
          <cell r="H67" t="str">
            <v/>
          </cell>
          <cell r="I67" t="str">
            <v/>
          </cell>
          <cell r="J67" t="str">
            <v/>
          </cell>
          <cell r="K67" t="str">
            <v/>
          </cell>
          <cell r="L67" t="str">
            <v/>
          </cell>
          <cell r="M67" t="str">
            <v/>
          </cell>
          <cell r="N67" t="str">
            <v/>
          </cell>
          <cell r="O67" t="str">
            <v/>
          </cell>
          <cell r="P67" t="str">
            <v/>
          </cell>
          <cell r="Q67" t="str">
            <v/>
          </cell>
          <cell r="R67" t="str">
            <v/>
          </cell>
          <cell r="S67" t="str">
            <v>(2) PRIM BATH</v>
          </cell>
          <cell r="T67" t="str">
            <v/>
          </cell>
          <cell r="U67" t="str">
            <v/>
          </cell>
          <cell r="V67" t="str">
            <v>(2) PRIM BATH</v>
          </cell>
          <cell r="W67" t="str">
            <v/>
          </cell>
          <cell r="X67" t="str">
            <v/>
          </cell>
          <cell r="Y67" t="str">
            <v/>
          </cell>
          <cell r="Z67" t="str">
            <v/>
          </cell>
          <cell r="AA67" t="str">
            <v/>
          </cell>
          <cell r="AB67" t="str">
            <v/>
          </cell>
          <cell r="AC67" t="str">
            <v>(2) PRIM BATH</v>
          </cell>
          <cell r="AD67" t="str">
            <v/>
          </cell>
          <cell r="AF67" t="str">
            <v>AREAs:</v>
          </cell>
          <cell r="AG67">
            <v>21</v>
          </cell>
        </row>
        <row r="68">
          <cell r="C68" t="str">
            <v/>
          </cell>
          <cell r="D68" t="str">
            <v/>
          </cell>
          <cell r="E68" t="str">
            <v/>
          </cell>
          <cell r="F68" t="str">
            <v/>
          </cell>
          <cell r="G68" t="str">
            <v>(1) BATH 2</v>
          </cell>
          <cell r="H68" t="str">
            <v/>
          </cell>
          <cell r="I68" t="str">
            <v/>
          </cell>
          <cell r="J68" t="str">
            <v/>
          </cell>
          <cell r="K68" t="str">
            <v/>
          </cell>
          <cell r="L68" t="str">
            <v/>
          </cell>
          <cell r="M68" t="str">
            <v/>
          </cell>
          <cell r="N68" t="str">
            <v/>
          </cell>
          <cell r="O68" t="str">
            <v/>
          </cell>
          <cell r="P68" t="str">
            <v/>
          </cell>
          <cell r="Q68" t="str">
            <v/>
          </cell>
          <cell r="R68" t="str">
            <v/>
          </cell>
          <cell r="S68" t="str">
            <v/>
          </cell>
          <cell r="T68" t="str">
            <v/>
          </cell>
          <cell r="U68" t="str">
            <v/>
          </cell>
          <cell r="V68" t="str">
            <v/>
          </cell>
          <cell r="W68" t="str">
            <v/>
          </cell>
          <cell r="X68" t="str">
            <v/>
          </cell>
          <cell r="Y68" t="str">
            <v/>
          </cell>
          <cell r="Z68" t="str">
            <v/>
          </cell>
          <cell r="AA68" t="str">
            <v/>
          </cell>
          <cell r="AB68" t="str">
            <v/>
          </cell>
          <cell r="AC68" t="str">
            <v>(2) BATH 2</v>
          </cell>
          <cell r="AD68" t="str">
            <v/>
          </cell>
          <cell r="AF68" t="str">
            <v>DELIVERY TARGET:</v>
          </cell>
          <cell r="AH68">
            <v>46304</v>
          </cell>
        </row>
        <row r="69">
          <cell r="C69" t="str">
            <v/>
          </cell>
          <cell r="D69" t="str">
            <v/>
          </cell>
          <cell r="E69" t="str">
            <v/>
          </cell>
          <cell r="F69" t="str">
            <v/>
          </cell>
          <cell r="G69" t="str">
            <v>(1) BATH 3</v>
          </cell>
          <cell r="H69" t="str">
            <v/>
          </cell>
          <cell r="I69" t="str">
            <v/>
          </cell>
          <cell r="J69" t="str">
            <v/>
          </cell>
          <cell r="K69" t="str">
            <v/>
          </cell>
          <cell r="L69" t="str">
            <v/>
          </cell>
          <cell r="M69" t="str">
            <v/>
          </cell>
          <cell r="N69" t="str">
            <v/>
          </cell>
          <cell r="O69" t="str">
            <v/>
          </cell>
          <cell r="P69" t="str">
            <v/>
          </cell>
          <cell r="Q69" t="str">
            <v/>
          </cell>
          <cell r="R69" t="str">
            <v/>
          </cell>
          <cell r="S69" t="str">
            <v/>
          </cell>
          <cell r="T69" t="str">
            <v/>
          </cell>
          <cell r="U69" t="str">
            <v/>
          </cell>
          <cell r="V69" t="str">
            <v/>
          </cell>
          <cell r="W69" t="str">
            <v/>
          </cell>
          <cell r="X69" t="str">
            <v/>
          </cell>
          <cell r="Y69" t="str">
            <v/>
          </cell>
          <cell r="Z69" t="str">
            <v/>
          </cell>
          <cell r="AA69" t="str">
            <v/>
          </cell>
          <cell r="AB69" t="str">
            <v/>
          </cell>
          <cell r="AC69" t="str">
            <v/>
          </cell>
          <cell r="AD69" t="str">
            <v/>
          </cell>
        </row>
        <row r="70">
          <cell r="C70" t="str">
            <v/>
          </cell>
          <cell r="D70" t="str">
            <v/>
          </cell>
          <cell r="E70" t="str">
            <v/>
          </cell>
          <cell r="F70" t="str">
            <v/>
          </cell>
          <cell r="G70" t="str">
            <v/>
          </cell>
          <cell r="H70" t="str">
            <v/>
          </cell>
          <cell r="I70" t="str">
            <v/>
          </cell>
          <cell r="J70" t="str">
            <v/>
          </cell>
          <cell r="K70" t="str">
            <v/>
          </cell>
          <cell r="L70" t="str">
            <v/>
          </cell>
          <cell r="M70" t="str">
            <v/>
          </cell>
          <cell r="N70" t="str">
            <v/>
          </cell>
          <cell r="O70" t="str">
            <v/>
          </cell>
          <cell r="P70" t="str">
            <v/>
          </cell>
          <cell r="Q70" t="str">
            <v/>
          </cell>
          <cell r="R70" t="str">
            <v/>
          </cell>
          <cell r="S70" t="str">
            <v/>
          </cell>
          <cell r="T70" t="str">
            <v/>
          </cell>
          <cell r="U70" t="str">
            <v/>
          </cell>
          <cell r="V70" t="str">
            <v/>
          </cell>
          <cell r="W70" t="str">
            <v/>
          </cell>
          <cell r="X70" t="str">
            <v/>
          </cell>
          <cell r="Y70" t="str">
            <v/>
          </cell>
          <cell r="Z70" t="str">
            <v/>
          </cell>
          <cell r="AA70" t="str">
            <v/>
          </cell>
          <cell r="AB70" t="str">
            <v/>
          </cell>
          <cell r="AC70" t="str">
            <v/>
          </cell>
          <cell r="AD70" t="str">
            <v/>
          </cell>
          <cell r="AF70" t="str">
            <v>SCOPE OF WORK (DELIVERY STATUS)</v>
          </cell>
        </row>
        <row r="71">
          <cell r="C71" t="str">
            <v/>
          </cell>
          <cell r="D71" t="str">
            <v/>
          </cell>
          <cell r="E71" t="str">
            <v/>
          </cell>
          <cell r="F71" t="str">
            <v/>
          </cell>
          <cell r="G71" t="str">
            <v/>
          </cell>
          <cell r="H71" t="str">
            <v/>
          </cell>
          <cell r="I71" t="str">
            <v/>
          </cell>
          <cell r="J71" t="str">
            <v/>
          </cell>
          <cell r="K71" t="str">
            <v/>
          </cell>
          <cell r="L71" t="str">
            <v/>
          </cell>
          <cell r="M71" t="str">
            <v/>
          </cell>
          <cell r="N71" t="str">
            <v/>
          </cell>
          <cell r="O71" t="str">
            <v/>
          </cell>
          <cell r="P71" t="str">
            <v/>
          </cell>
          <cell r="Q71" t="str">
            <v/>
          </cell>
          <cell r="R71" t="str">
            <v/>
          </cell>
          <cell r="S71" t="str">
            <v/>
          </cell>
          <cell r="T71" t="str">
            <v/>
          </cell>
          <cell r="U71" t="str">
            <v/>
          </cell>
          <cell r="V71" t="str">
            <v/>
          </cell>
          <cell r="W71" t="str">
            <v/>
          </cell>
          <cell r="X71" t="str">
            <v/>
          </cell>
          <cell r="Y71" t="str">
            <v/>
          </cell>
          <cell r="Z71" t="str">
            <v/>
          </cell>
          <cell r="AA71" t="str">
            <v/>
          </cell>
          <cell r="AB71" t="str">
            <v/>
          </cell>
          <cell r="AC71" t="str">
            <v/>
          </cell>
          <cell r="AD71" t="str">
            <v/>
          </cell>
          <cell r="AF71">
            <v>0</v>
          </cell>
          <cell r="AG71" t="str">
            <v>OUT OF</v>
          </cell>
          <cell r="AH71">
            <v>21</v>
          </cell>
          <cell r="AI71">
            <v>0</v>
          </cell>
        </row>
        <row r="72">
          <cell r="C72" t="str">
            <v/>
          </cell>
          <cell r="D72" t="str">
            <v/>
          </cell>
          <cell r="E72" t="str">
            <v/>
          </cell>
          <cell r="F72" t="str">
            <v/>
          </cell>
          <cell r="G72" t="str">
            <v/>
          </cell>
          <cell r="H72" t="str">
            <v/>
          </cell>
          <cell r="I72" t="str">
            <v/>
          </cell>
          <cell r="J72" t="str">
            <v/>
          </cell>
          <cell r="K72" t="str">
            <v/>
          </cell>
          <cell r="L72" t="str">
            <v/>
          </cell>
          <cell r="M72" t="str">
            <v/>
          </cell>
          <cell r="N72" t="str">
            <v/>
          </cell>
          <cell r="O72" t="str">
            <v/>
          </cell>
          <cell r="P72" t="str">
            <v/>
          </cell>
          <cell r="Q72" t="str">
            <v/>
          </cell>
          <cell r="R72" t="str">
            <v/>
          </cell>
          <cell r="S72" t="str">
            <v/>
          </cell>
          <cell r="T72" t="str">
            <v/>
          </cell>
          <cell r="U72" t="str">
            <v/>
          </cell>
          <cell r="V72" t="str">
            <v/>
          </cell>
          <cell r="W72" t="str">
            <v/>
          </cell>
          <cell r="X72" t="str">
            <v/>
          </cell>
          <cell r="Y72" t="str">
            <v/>
          </cell>
          <cell r="Z72" t="str">
            <v/>
          </cell>
          <cell r="AA72" t="str">
            <v/>
          </cell>
          <cell r="AB72" t="str">
            <v/>
          </cell>
          <cell r="AC72" t="str">
            <v/>
          </cell>
          <cell r="AD72" t="str">
            <v/>
          </cell>
          <cell r="AF72">
            <v>0</v>
          </cell>
          <cell r="AG72" t="str">
            <v>OUT OF</v>
          </cell>
          <cell r="AH72">
            <v>5</v>
          </cell>
          <cell r="AI72">
            <v>0</v>
          </cell>
        </row>
        <row r="73">
          <cell r="C73" t="str">
            <v/>
          </cell>
          <cell r="D73" t="str">
            <v/>
          </cell>
          <cell r="E73" t="str">
            <v/>
          </cell>
          <cell r="F73" t="str">
            <v/>
          </cell>
          <cell r="G73" t="str">
            <v/>
          </cell>
          <cell r="H73" t="str">
            <v/>
          </cell>
          <cell r="I73" t="str">
            <v/>
          </cell>
          <cell r="J73" t="str">
            <v/>
          </cell>
          <cell r="K73" t="str">
            <v/>
          </cell>
          <cell r="L73" t="str">
            <v/>
          </cell>
          <cell r="M73" t="str">
            <v/>
          </cell>
          <cell r="N73" t="str">
            <v/>
          </cell>
          <cell r="O73" t="str">
            <v/>
          </cell>
          <cell r="P73" t="str">
            <v/>
          </cell>
          <cell r="Q73" t="str">
            <v/>
          </cell>
          <cell r="R73" t="str">
            <v/>
          </cell>
          <cell r="S73" t="str">
            <v/>
          </cell>
          <cell r="T73" t="str">
            <v/>
          </cell>
          <cell r="U73" t="str">
            <v/>
          </cell>
          <cell r="V73" t="str">
            <v/>
          </cell>
          <cell r="W73" t="str">
            <v/>
          </cell>
          <cell r="X73" t="str">
            <v/>
          </cell>
          <cell r="Y73" t="str">
            <v/>
          </cell>
          <cell r="Z73" t="str">
            <v/>
          </cell>
          <cell r="AA73" t="str">
            <v/>
          </cell>
          <cell r="AB73" t="str">
            <v/>
          </cell>
          <cell r="AC73" t="str">
            <v/>
          </cell>
          <cell r="AD73" t="str">
            <v/>
          </cell>
          <cell r="AF73">
            <v>0</v>
          </cell>
          <cell r="AG73" t="str">
            <v>OUT OF</v>
          </cell>
          <cell r="AH73">
            <v>1</v>
          </cell>
          <cell r="AI73">
            <v>0</v>
          </cell>
        </row>
        <row r="74">
          <cell r="C74">
            <v>2001</v>
          </cell>
          <cell r="D74">
            <v>2002</v>
          </cell>
          <cell r="E74">
            <v>2003</v>
          </cell>
          <cell r="F74">
            <v>2004</v>
          </cell>
          <cell r="G74">
            <v>2005</v>
          </cell>
          <cell r="H74">
            <v>2006</v>
          </cell>
          <cell r="I74">
            <v>2007</v>
          </cell>
          <cell r="J74">
            <v>2008</v>
          </cell>
          <cell r="K74">
            <v>2009</v>
          </cell>
          <cell r="L74">
            <v>2010</v>
          </cell>
          <cell r="M74">
            <v>2011</v>
          </cell>
          <cell r="N74">
            <v>2012</v>
          </cell>
          <cell r="O74">
            <v>2013</v>
          </cell>
          <cell r="P74">
            <v>2014</v>
          </cell>
          <cell r="Q74">
            <v>2015</v>
          </cell>
          <cell r="R74">
            <v>2016</v>
          </cell>
          <cell r="S74">
            <v>2017</v>
          </cell>
          <cell r="T74">
            <v>2018</v>
          </cell>
          <cell r="U74">
            <v>2019</v>
          </cell>
          <cell r="V74">
            <v>2020</v>
          </cell>
          <cell r="W74">
            <v>2021</v>
          </cell>
          <cell r="X74">
            <v>2022</v>
          </cell>
          <cell r="Y74">
            <v>2023</v>
          </cell>
          <cell r="Z74">
            <v>2024</v>
          </cell>
          <cell r="AA74">
            <v>2025</v>
          </cell>
          <cell r="AB74">
            <v>2026</v>
          </cell>
          <cell r="AC74">
            <v>2027</v>
          </cell>
          <cell r="AD74">
            <v>2028</v>
          </cell>
          <cell r="AF74" t="str">
            <v>2th FLOOR</v>
          </cell>
        </row>
        <row r="75">
          <cell r="C75" t="str">
            <v/>
          </cell>
          <cell r="D75" t="str">
            <v/>
          </cell>
          <cell r="E75" t="str">
            <v/>
          </cell>
          <cell r="F75" t="str">
            <v/>
          </cell>
          <cell r="G75" t="str">
            <v/>
          </cell>
          <cell r="H75" t="str">
            <v>(1) BEV CENTER</v>
          </cell>
          <cell r="I75" t="str">
            <v>(1) FOYER</v>
          </cell>
          <cell r="J75" t="str">
            <v/>
          </cell>
          <cell r="K75" t="str">
            <v/>
          </cell>
          <cell r="L75" t="str">
            <v/>
          </cell>
          <cell r="M75" t="str">
            <v/>
          </cell>
          <cell r="N75" t="str">
            <v/>
          </cell>
          <cell r="O75" t="str">
            <v/>
          </cell>
          <cell r="P75" t="str">
            <v/>
          </cell>
          <cell r="Q75" t="str">
            <v>(1) FOYER</v>
          </cell>
          <cell r="R75" t="str">
            <v/>
          </cell>
          <cell r="S75" t="str">
            <v/>
          </cell>
          <cell r="T75" t="str">
            <v/>
          </cell>
          <cell r="U75" t="str">
            <v/>
          </cell>
          <cell r="V75" t="str">
            <v/>
          </cell>
          <cell r="W75" t="str">
            <v/>
          </cell>
          <cell r="X75" t="str">
            <v/>
          </cell>
          <cell r="Y75" t="str">
            <v>(1) FOYER</v>
          </cell>
          <cell r="Z75" t="str">
            <v/>
          </cell>
          <cell r="AA75" t="str">
            <v/>
          </cell>
          <cell r="AB75" t="str">
            <v/>
          </cell>
          <cell r="AC75" t="str">
            <v/>
          </cell>
          <cell r="AD75" t="str">
            <v/>
          </cell>
          <cell r="AF75" t="str">
            <v>SCOPE OF WORK (UNITS)</v>
          </cell>
        </row>
        <row r="76">
          <cell r="C76" t="str">
            <v/>
          </cell>
          <cell r="D76" t="str">
            <v/>
          </cell>
          <cell r="E76" t="str">
            <v/>
          </cell>
          <cell r="F76" t="str">
            <v/>
          </cell>
          <cell r="G76" t="str">
            <v/>
          </cell>
          <cell r="H76" t="str">
            <v>(1) LAUNDRY CLOSET</v>
          </cell>
          <cell r="I76" t="str">
            <v>(1) UTILITY ROOM</v>
          </cell>
          <cell r="J76" t="str">
            <v/>
          </cell>
          <cell r="K76" t="str">
            <v/>
          </cell>
          <cell r="L76" t="str">
            <v/>
          </cell>
          <cell r="M76" t="str">
            <v/>
          </cell>
          <cell r="N76" t="str">
            <v/>
          </cell>
          <cell r="O76" t="str">
            <v/>
          </cell>
          <cell r="P76" t="str">
            <v/>
          </cell>
          <cell r="Q76" t="str">
            <v>(1) HALL</v>
          </cell>
          <cell r="R76" t="str">
            <v/>
          </cell>
          <cell r="S76" t="str">
            <v/>
          </cell>
          <cell r="T76" t="str">
            <v/>
          </cell>
          <cell r="U76" t="str">
            <v/>
          </cell>
          <cell r="V76" t="str">
            <v/>
          </cell>
          <cell r="W76" t="str">
            <v/>
          </cell>
          <cell r="X76" t="str">
            <v/>
          </cell>
          <cell r="Y76" t="str">
            <v>(1) HALL</v>
          </cell>
          <cell r="Z76" t="str">
            <v/>
          </cell>
          <cell r="AA76" t="str">
            <v/>
          </cell>
          <cell r="AB76" t="str">
            <v/>
          </cell>
          <cell r="AC76" t="str">
            <v/>
          </cell>
          <cell r="AD76" t="str">
            <v/>
          </cell>
          <cell r="AF76" t="str">
            <v>UNITs:</v>
          </cell>
          <cell r="AG76">
            <v>4</v>
          </cell>
        </row>
        <row r="77">
          <cell r="C77" t="str">
            <v/>
          </cell>
          <cell r="D77" t="str">
            <v/>
          </cell>
          <cell r="E77" t="str">
            <v/>
          </cell>
          <cell r="F77" t="str">
            <v/>
          </cell>
          <cell r="G77" t="str">
            <v/>
          </cell>
          <cell r="H77" t="str">
            <v/>
          </cell>
          <cell r="I77" t="str">
            <v>(1) KITCHEN</v>
          </cell>
          <cell r="J77" t="str">
            <v/>
          </cell>
          <cell r="K77" t="str">
            <v/>
          </cell>
          <cell r="L77" t="str">
            <v/>
          </cell>
          <cell r="M77" t="str">
            <v/>
          </cell>
          <cell r="N77" t="str">
            <v/>
          </cell>
          <cell r="O77" t="str">
            <v/>
          </cell>
          <cell r="P77" t="str">
            <v/>
          </cell>
          <cell r="Q77" t="str">
            <v>(1) UTILITY ROOM</v>
          </cell>
          <cell r="R77" t="str">
            <v/>
          </cell>
          <cell r="S77" t="str">
            <v/>
          </cell>
          <cell r="T77" t="str">
            <v/>
          </cell>
          <cell r="U77" t="str">
            <v/>
          </cell>
          <cell r="V77" t="str">
            <v/>
          </cell>
          <cell r="W77" t="str">
            <v/>
          </cell>
          <cell r="X77" t="str">
            <v/>
          </cell>
          <cell r="Y77" t="str">
            <v>(1) UTILITY ROOM</v>
          </cell>
          <cell r="Z77" t="str">
            <v/>
          </cell>
          <cell r="AA77" t="str">
            <v/>
          </cell>
          <cell r="AB77" t="str">
            <v/>
          </cell>
          <cell r="AC77" t="str">
            <v/>
          </cell>
          <cell r="AD77" t="str">
            <v/>
          </cell>
          <cell r="AF77" t="str">
            <v>COMBOs:</v>
          </cell>
          <cell r="AG77">
            <v>0</v>
          </cell>
        </row>
        <row r="78">
          <cell r="C78" t="str">
            <v/>
          </cell>
          <cell r="D78" t="str">
            <v/>
          </cell>
          <cell r="E78" t="str">
            <v/>
          </cell>
          <cell r="F78" t="str">
            <v/>
          </cell>
          <cell r="G78" t="str">
            <v/>
          </cell>
          <cell r="H78" t="str">
            <v/>
          </cell>
          <cell r="I78" t="str">
            <v>(1) PRIM BATH</v>
          </cell>
          <cell r="J78" t="str">
            <v/>
          </cell>
          <cell r="K78" t="str">
            <v/>
          </cell>
          <cell r="L78" t="str">
            <v/>
          </cell>
          <cell r="M78" t="str">
            <v/>
          </cell>
          <cell r="N78" t="str">
            <v/>
          </cell>
          <cell r="O78" t="str">
            <v/>
          </cell>
          <cell r="P78" t="str">
            <v/>
          </cell>
          <cell r="Q78" t="str">
            <v>(1) KITCHEN</v>
          </cell>
          <cell r="R78" t="str">
            <v/>
          </cell>
          <cell r="S78" t="str">
            <v/>
          </cell>
          <cell r="T78" t="str">
            <v/>
          </cell>
          <cell r="U78" t="str">
            <v/>
          </cell>
          <cell r="V78" t="str">
            <v/>
          </cell>
          <cell r="W78" t="str">
            <v/>
          </cell>
          <cell r="X78" t="str">
            <v/>
          </cell>
          <cell r="Y78" t="str">
            <v>(1) KITCHEN</v>
          </cell>
          <cell r="Z78" t="str">
            <v/>
          </cell>
          <cell r="AA78" t="str">
            <v/>
          </cell>
          <cell r="AB78" t="str">
            <v/>
          </cell>
          <cell r="AC78" t="str">
            <v/>
          </cell>
          <cell r="AD78" t="str">
            <v/>
          </cell>
          <cell r="AF78" t="str">
            <v>AREAs:</v>
          </cell>
          <cell r="AG78">
            <v>19</v>
          </cell>
        </row>
        <row r="79">
          <cell r="C79" t="str">
            <v/>
          </cell>
          <cell r="D79" t="str">
            <v/>
          </cell>
          <cell r="E79" t="str">
            <v/>
          </cell>
          <cell r="F79" t="str">
            <v/>
          </cell>
          <cell r="G79" t="str">
            <v/>
          </cell>
          <cell r="H79" t="str">
            <v/>
          </cell>
          <cell r="I79" t="str">
            <v/>
          </cell>
          <cell r="J79" t="str">
            <v/>
          </cell>
          <cell r="K79" t="str">
            <v/>
          </cell>
          <cell r="L79" t="str">
            <v/>
          </cell>
          <cell r="M79" t="str">
            <v/>
          </cell>
          <cell r="N79" t="str">
            <v/>
          </cell>
          <cell r="O79" t="str">
            <v/>
          </cell>
          <cell r="P79" t="str">
            <v/>
          </cell>
          <cell r="Q79" t="str">
            <v>(1) PRIM BATH</v>
          </cell>
          <cell r="R79" t="str">
            <v/>
          </cell>
          <cell r="S79" t="str">
            <v/>
          </cell>
          <cell r="T79" t="str">
            <v/>
          </cell>
          <cell r="U79" t="str">
            <v/>
          </cell>
          <cell r="V79" t="str">
            <v/>
          </cell>
          <cell r="W79" t="str">
            <v/>
          </cell>
          <cell r="X79" t="str">
            <v/>
          </cell>
          <cell r="Y79" t="str">
            <v>(1) PRIM BATH</v>
          </cell>
          <cell r="Z79" t="str">
            <v/>
          </cell>
          <cell r="AA79" t="str">
            <v/>
          </cell>
          <cell r="AB79" t="str">
            <v/>
          </cell>
          <cell r="AC79" t="str">
            <v/>
          </cell>
          <cell r="AD79" t="str">
            <v/>
          </cell>
          <cell r="AF79" t="str">
            <v>DELIVERY TARGET:</v>
          </cell>
          <cell r="AH79">
            <v>46281</v>
          </cell>
        </row>
        <row r="80">
          <cell r="C80" t="str">
            <v/>
          </cell>
          <cell r="D80" t="str">
            <v/>
          </cell>
          <cell r="E80" t="str">
            <v/>
          </cell>
          <cell r="F80" t="str">
            <v/>
          </cell>
          <cell r="G80" t="str">
            <v/>
          </cell>
          <cell r="H80" t="str">
            <v/>
          </cell>
          <cell r="I80" t="str">
            <v/>
          </cell>
          <cell r="J80" t="str">
            <v/>
          </cell>
          <cell r="K80" t="str">
            <v/>
          </cell>
          <cell r="L80" t="str">
            <v/>
          </cell>
          <cell r="M80" t="str">
            <v/>
          </cell>
          <cell r="N80" t="str">
            <v/>
          </cell>
          <cell r="O80" t="str">
            <v/>
          </cell>
          <cell r="P80" t="str">
            <v/>
          </cell>
          <cell r="Q80" t="str">
            <v>(1) BATH 2</v>
          </cell>
          <cell r="R80" t="str">
            <v/>
          </cell>
          <cell r="S80" t="str">
            <v/>
          </cell>
          <cell r="T80" t="str">
            <v/>
          </cell>
          <cell r="U80" t="str">
            <v/>
          </cell>
          <cell r="V80" t="str">
            <v/>
          </cell>
          <cell r="W80" t="str">
            <v/>
          </cell>
          <cell r="X80" t="str">
            <v/>
          </cell>
          <cell r="Y80" t="str">
            <v>(1) BATH 2</v>
          </cell>
          <cell r="Z80" t="str">
            <v/>
          </cell>
          <cell r="AA80" t="str">
            <v/>
          </cell>
          <cell r="AB80" t="str">
            <v/>
          </cell>
          <cell r="AC80" t="str">
            <v/>
          </cell>
          <cell r="AD80" t="str">
            <v/>
          </cell>
        </row>
        <row r="81">
          <cell r="C81" t="str">
            <v/>
          </cell>
          <cell r="D81" t="str">
            <v/>
          </cell>
          <cell r="E81" t="str">
            <v/>
          </cell>
          <cell r="F81" t="str">
            <v/>
          </cell>
          <cell r="G81" t="str">
            <v/>
          </cell>
          <cell r="H81" t="str">
            <v/>
          </cell>
          <cell r="I81" t="str">
            <v/>
          </cell>
          <cell r="J81" t="str">
            <v/>
          </cell>
          <cell r="K81" t="str">
            <v/>
          </cell>
          <cell r="L81" t="str">
            <v/>
          </cell>
          <cell r="M81" t="str">
            <v/>
          </cell>
          <cell r="N81" t="str">
            <v/>
          </cell>
          <cell r="O81" t="str">
            <v/>
          </cell>
          <cell r="P81" t="str">
            <v/>
          </cell>
          <cell r="Q81" t="str">
            <v/>
          </cell>
          <cell r="R81" t="str">
            <v/>
          </cell>
          <cell r="S81" t="str">
            <v/>
          </cell>
          <cell r="T81" t="str">
            <v/>
          </cell>
          <cell r="U81" t="str">
            <v/>
          </cell>
          <cell r="V81" t="str">
            <v/>
          </cell>
          <cell r="W81" t="str">
            <v/>
          </cell>
          <cell r="X81" t="str">
            <v/>
          </cell>
          <cell r="Y81" t="str">
            <v>(1) BED 2</v>
          </cell>
          <cell r="Z81" t="str">
            <v/>
          </cell>
          <cell r="AA81" t="str">
            <v/>
          </cell>
          <cell r="AB81" t="str">
            <v/>
          </cell>
          <cell r="AC81" t="str">
            <v/>
          </cell>
          <cell r="AD81" t="str">
            <v/>
          </cell>
          <cell r="AF81" t="str">
            <v>SCOPE OF WORK (DELIVERY STATUS)</v>
          </cell>
        </row>
        <row r="82">
          <cell r="C82" t="str">
            <v/>
          </cell>
          <cell r="D82" t="str">
            <v/>
          </cell>
          <cell r="E82" t="str">
            <v/>
          </cell>
          <cell r="F82" t="str">
            <v/>
          </cell>
          <cell r="G82" t="str">
            <v/>
          </cell>
          <cell r="H82" t="str">
            <v/>
          </cell>
          <cell r="I82" t="str">
            <v/>
          </cell>
          <cell r="J82" t="str">
            <v/>
          </cell>
          <cell r="K82" t="str">
            <v/>
          </cell>
          <cell r="L82" t="str">
            <v/>
          </cell>
          <cell r="M82" t="str">
            <v/>
          </cell>
          <cell r="N82" t="str">
            <v/>
          </cell>
          <cell r="O82" t="str">
            <v/>
          </cell>
          <cell r="P82" t="str">
            <v/>
          </cell>
          <cell r="Q82" t="str">
            <v/>
          </cell>
          <cell r="R82" t="str">
            <v/>
          </cell>
          <cell r="S82" t="str">
            <v/>
          </cell>
          <cell r="T82" t="str">
            <v/>
          </cell>
          <cell r="U82" t="str">
            <v/>
          </cell>
          <cell r="V82" t="str">
            <v/>
          </cell>
          <cell r="W82" t="str">
            <v/>
          </cell>
          <cell r="X82" t="str">
            <v/>
          </cell>
          <cell r="Y82" t="str">
            <v/>
          </cell>
          <cell r="Z82" t="str">
            <v/>
          </cell>
          <cell r="AA82" t="str">
            <v/>
          </cell>
          <cell r="AB82" t="str">
            <v/>
          </cell>
          <cell r="AC82" t="str">
            <v/>
          </cell>
          <cell r="AD82" t="str">
            <v/>
          </cell>
          <cell r="AF82">
            <v>0</v>
          </cell>
          <cell r="AG82" t="str">
            <v>OUT OF</v>
          </cell>
          <cell r="AH82">
            <v>19</v>
          </cell>
          <cell r="AI82">
            <v>0</v>
          </cell>
        </row>
        <row r="83">
          <cell r="C83" t="str">
            <v/>
          </cell>
          <cell r="D83" t="str">
            <v/>
          </cell>
          <cell r="E83" t="str">
            <v/>
          </cell>
          <cell r="F83" t="str">
            <v/>
          </cell>
          <cell r="G83" t="str">
            <v/>
          </cell>
          <cell r="H83" t="str">
            <v/>
          </cell>
          <cell r="I83" t="str">
            <v/>
          </cell>
          <cell r="J83" t="str">
            <v/>
          </cell>
          <cell r="K83" t="str">
            <v/>
          </cell>
          <cell r="L83" t="str">
            <v/>
          </cell>
          <cell r="M83" t="str">
            <v/>
          </cell>
          <cell r="N83" t="str">
            <v/>
          </cell>
          <cell r="O83" t="str">
            <v/>
          </cell>
          <cell r="P83" t="str">
            <v/>
          </cell>
          <cell r="Q83" t="str">
            <v/>
          </cell>
          <cell r="R83" t="str">
            <v/>
          </cell>
          <cell r="S83" t="str">
            <v/>
          </cell>
          <cell r="T83" t="str">
            <v/>
          </cell>
          <cell r="U83" t="str">
            <v/>
          </cell>
          <cell r="V83" t="str">
            <v/>
          </cell>
          <cell r="W83" t="str">
            <v/>
          </cell>
          <cell r="X83" t="str">
            <v/>
          </cell>
          <cell r="Y83" t="str">
            <v/>
          </cell>
          <cell r="Z83" t="str">
            <v/>
          </cell>
          <cell r="AA83" t="str">
            <v/>
          </cell>
          <cell r="AB83" t="str">
            <v/>
          </cell>
          <cell r="AC83" t="str">
            <v/>
          </cell>
          <cell r="AD83" t="str">
            <v/>
          </cell>
          <cell r="AF83">
            <v>0</v>
          </cell>
          <cell r="AG83" t="str">
            <v>OUT OF</v>
          </cell>
          <cell r="AH83">
            <v>4</v>
          </cell>
          <cell r="AI83">
            <v>0</v>
          </cell>
        </row>
        <row r="84">
          <cell r="C84" t="str">
            <v/>
          </cell>
          <cell r="D84" t="str">
            <v/>
          </cell>
          <cell r="E84" t="str">
            <v/>
          </cell>
          <cell r="F84" t="str">
            <v/>
          </cell>
          <cell r="G84" t="str">
            <v/>
          </cell>
          <cell r="H84" t="str">
            <v/>
          </cell>
          <cell r="I84" t="str">
            <v/>
          </cell>
          <cell r="J84" t="str">
            <v/>
          </cell>
          <cell r="K84" t="str">
            <v/>
          </cell>
          <cell r="L84" t="str">
            <v/>
          </cell>
          <cell r="M84" t="str">
            <v/>
          </cell>
          <cell r="N84" t="str">
            <v/>
          </cell>
          <cell r="O84" t="str">
            <v/>
          </cell>
          <cell r="P84" t="str">
            <v/>
          </cell>
          <cell r="Q84" t="str">
            <v/>
          </cell>
          <cell r="R84" t="str">
            <v/>
          </cell>
          <cell r="S84" t="str">
            <v/>
          </cell>
          <cell r="T84" t="str">
            <v/>
          </cell>
          <cell r="U84" t="str">
            <v/>
          </cell>
          <cell r="V84" t="str">
            <v/>
          </cell>
          <cell r="W84" t="str">
            <v/>
          </cell>
          <cell r="X84" t="str">
            <v/>
          </cell>
          <cell r="Y84" t="str">
            <v/>
          </cell>
          <cell r="Z84" t="str">
            <v/>
          </cell>
          <cell r="AA84" t="str">
            <v/>
          </cell>
          <cell r="AB84" t="str">
            <v/>
          </cell>
          <cell r="AC84" t="str">
            <v/>
          </cell>
          <cell r="AD84" t="str">
            <v/>
          </cell>
          <cell r="AF84">
            <v>0</v>
          </cell>
          <cell r="AG84" t="str">
            <v>OUT OF</v>
          </cell>
          <cell r="AH84">
            <v>0</v>
          </cell>
          <cell r="AI84">
            <v>0</v>
          </cell>
        </row>
      </sheetData>
      <sheetData sheetId="4">
        <row r="8">
          <cell r="C8">
            <v>8001</v>
          </cell>
          <cell r="D8">
            <v>8002</v>
          </cell>
          <cell r="E8">
            <v>8003</v>
          </cell>
          <cell r="F8">
            <v>8004</v>
          </cell>
          <cell r="G8">
            <v>8005</v>
          </cell>
          <cell r="H8">
            <v>8006</v>
          </cell>
          <cell r="I8">
            <v>8007</v>
          </cell>
          <cell r="J8">
            <v>8008</v>
          </cell>
          <cell r="K8">
            <v>8009</v>
          </cell>
          <cell r="L8">
            <v>8010</v>
          </cell>
          <cell r="M8">
            <v>8011</v>
          </cell>
          <cell r="N8">
            <v>8012</v>
          </cell>
          <cell r="O8">
            <v>8013</v>
          </cell>
          <cell r="P8">
            <v>8014</v>
          </cell>
          <cell r="Q8">
            <v>8015</v>
          </cell>
          <cell r="R8">
            <v>8016</v>
          </cell>
          <cell r="S8">
            <v>8017</v>
          </cell>
          <cell r="T8">
            <v>8018</v>
          </cell>
          <cell r="U8">
            <v>8019</v>
          </cell>
          <cell r="V8">
            <v>8020</v>
          </cell>
          <cell r="W8">
            <v>8021</v>
          </cell>
          <cell r="X8">
            <v>8022</v>
          </cell>
          <cell r="Y8">
            <v>8023</v>
          </cell>
          <cell r="Z8">
            <v>8024</v>
          </cell>
          <cell r="AA8">
            <v>8025</v>
          </cell>
          <cell r="AB8">
            <v>8026</v>
          </cell>
          <cell r="AC8">
            <v>8027</v>
          </cell>
          <cell r="AD8">
            <v>8028</v>
          </cell>
          <cell r="AF8" t="str">
            <v>8th FLOOR</v>
          </cell>
        </row>
        <row r="9">
          <cell r="C9" t="str">
            <v/>
          </cell>
          <cell r="D9" t="str">
            <v/>
          </cell>
          <cell r="E9" t="str">
            <v/>
          </cell>
          <cell r="F9" t="str">
            <v/>
          </cell>
          <cell r="G9" t="str">
            <v/>
          </cell>
          <cell r="H9" t="str">
            <v/>
          </cell>
          <cell r="I9" t="str">
            <v/>
          </cell>
          <cell r="J9" t="str">
            <v/>
          </cell>
          <cell r="K9" t="str">
            <v/>
          </cell>
          <cell r="L9" t="str">
            <v/>
          </cell>
          <cell r="M9" t="str">
            <v/>
          </cell>
          <cell r="N9" t="str">
            <v/>
          </cell>
          <cell r="O9" t="str">
            <v/>
          </cell>
          <cell r="P9" t="str">
            <v/>
          </cell>
          <cell r="Q9" t="str">
            <v/>
          </cell>
          <cell r="R9" t="str">
            <v/>
          </cell>
          <cell r="S9" t="str">
            <v/>
          </cell>
          <cell r="T9" t="str">
            <v/>
          </cell>
          <cell r="U9" t="str">
            <v/>
          </cell>
          <cell r="V9" t="str">
            <v/>
          </cell>
          <cell r="W9" t="str">
            <v/>
          </cell>
          <cell r="X9" t="str">
            <v/>
          </cell>
          <cell r="Y9" t="str">
            <v/>
          </cell>
          <cell r="Z9" t="str">
            <v/>
          </cell>
          <cell r="AA9" t="str">
            <v/>
          </cell>
          <cell r="AB9" t="str">
            <v/>
          </cell>
          <cell r="AC9" t="str">
            <v/>
          </cell>
          <cell r="AD9" t="str">
            <v/>
          </cell>
          <cell r="AF9" t="str">
            <v>SCOPE OF WORK:</v>
          </cell>
        </row>
        <row r="10">
          <cell r="C10" t="str">
            <v/>
          </cell>
          <cell r="D10" t="str">
            <v/>
          </cell>
          <cell r="E10" t="str">
            <v/>
          </cell>
          <cell r="F10" t="str">
            <v/>
          </cell>
          <cell r="G10" t="str">
            <v/>
          </cell>
          <cell r="H10" t="str">
            <v/>
          </cell>
          <cell r="I10" t="str">
            <v/>
          </cell>
          <cell r="J10" t="str">
            <v/>
          </cell>
          <cell r="K10" t="str">
            <v/>
          </cell>
          <cell r="L10" t="str">
            <v/>
          </cell>
          <cell r="M10" t="str">
            <v/>
          </cell>
          <cell r="N10" t="str">
            <v/>
          </cell>
          <cell r="O10" t="str">
            <v/>
          </cell>
          <cell r="P10" t="str">
            <v/>
          </cell>
          <cell r="Q10" t="str">
            <v/>
          </cell>
          <cell r="R10" t="str">
            <v/>
          </cell>
          <cell r="S10" t="str">
            <v/>
          </cell>
          <cell r="T10" t="str">
            <v/>
          </cell>
          <cell r="U10" t="str">
            <v/>
          </cell>
          <cell r="V10" t="str">
            <v/>
          </cell>
          <cell r="W10" t="str">
            <v/>
          </cell>
          <cell r="X10" t="str">
            <v/>
          </cell>
          <cell r="Y10" t="str">
            <v/>
          </cell>
          <cell r="Z10" t="str">
            <v/>
          </cell>
          <cell r="AA10" t="str">
            <v/>
          </cell>
          <cell r="AB10" t="str">
            <v/>
          </cell>
          <cell r="AC10" t="str">
            <v/>
          </cell>
          <cell r="AD10" t="str">
            <v/>
          </cell>
          <cell r="AF10" t="str">
            <v>SCOPE OF WORK:</v>
          </cell>
          <cell r="AG10" t="str">
            <v>0 AREAS TO DELIVER</v>
          </cell>
        </row>
        <row r="11">
          <cell r="C11" t="str">
            <v/>
          </cell>
          <cell r="D11" t="str">
            <v/>
          </cell>
          <cell r="E11" t="str">
            <v/>
          </cell>
          <cell r="F11" t="str">
            <v/>
          </cell>
          <cell r="G11" t="str">
            <v/>
          </cell>
          <cell r="H11" t="str">
            <v/>
          </cell>
          <cell r="I11" t="str">
            <v/>
          </cell>
          <cell r="J11" t="str">
            <v/>
          </cell>
          <cell r="K11" t="str">
            <v/>
          </cell>
          <cell r="L11" t="str">
            <v/>
          </cell>
          <cell r="M11" t="str">
            <v/>
          </cell>
          <cell r="N11" t="str">
            <v/>
          </cell>
          <cell r="O11" t="str">
            <v/>
          </cell>
          <cell r="P11" t="str">
            <v/>
          </cell>
          <cell r="Q11" t="str">
            <v/>
          </cell>
          <cell r="R11" t="str">
            <v/>
          </cell>
          <cell r="S11" t="str">
            <v/>
          </cell>
          <cell r="T11" t="str">
            <v/>
          </cell>
          <cell r="U11" t="str">
            <v/>
          </cell>
          <cell r="V11" t="str">
            <v/>
          </cell>
          <cell r="W11" t="str">
            <v/>
          </cell>
          <cell r="X11" t="str">
            <v/>
          </cell>
          <cell r="Y11" t="str">
            <v/>
          </cell>
          <cell r="Z11" t="str">
            <v/>
          </cell>
          <cell r="AA11" t="str">
            <v/>
          </cell>
          <cell r="AB11" t="str">
            <v/>
          </cell>
          <cell r="AC11" t="str">
            <v/>
          </cell>
          <cell r="AD11" t="str">
            <v/>
          </cell>
          <cell r="AF11" t="str">
            <v>UNITS IN SCOPE:</v>
          </cell>
          <cell r="AG11" t="str">
            <v>0 UNITS (0 COMBO)</v>
          </cell>
        </row>
        <row r="12">
          <cell r="C12" t="str">
            <v/>
          </cell>
          <cell r="D12" t="str">
            <v/>
          </cell>
          <cell r="E12" t="str">
            <v/>
          </cell>
          <cell r="F12" t="str">
            <v/>
          </cell>
          <cell r="G12" t="str">
            <v/>
          </cell>
          <cell r="H12" t="str">
            <v/>
          </cell>
          <cell r="I12" t="str">
            <v/>
          </cell>
          <cell r="J12" t="str">
            <v/>
          </cell>
          <cell r="K12" t="str">
            <v/>
          </cell>
          <cell r="L12" t="str">
            <v/>
          </cell>
          <cell r="M12" t="str">
            <v/>
          </cell>
          <cell r="N12" t="str">
            <v/>
          </cell>
          <cell r="O12" t="str">
            <v/>
          </cell>
          <cell r="P12" t="str">
            <v/>
          </cell>
          <cell r="Q12" t="str">
            <v/>
          </cell>
          <cell r="R12" t="str">
            <v/>
          </cell>
          <cell r="S12" t="str">
            <v/>
          </cell>
          <cell r="T12" t="str">
            <v/>
          </cell>
          <cell r="U12" t="str">
            <v/>
          </cell>
          <cell r="V12" t="str">
            <v/>
          </cell>
          <cell r="W12" t="str">
            <v/>
          </cell>
          <cell r="X12" t="str">
            <v/>
          </cell>
          <cell r="Y12" t="str">
            <v/>
          </cell>
          <cell r="Z12" t="str">
            <v/>
          </cell>
          <cell r="AA12" t="str">
            <v/>
          </cell>
          <cell r="AB12" t="str">
            <v/>
          </cell>
          <cell r="AC12" t="str">
            <v/>
          </cell>
          <cell r="AD12" t="str">
            <v/>
          </cell>
          <cell r="AF12" t="str">
            <v>DELIVERY SCHEDULE</v>
          </cell>
        </row>
        <row r="13">
          <cell r="C13" t="str">
            <v/>
          </cell>
          <cell r="D13" t="str">
            <v/>
          </cell>
          <cell r="E13" t="str">
            <v/>
          </cell>
          <cell r="F13" t="str">
            <v/>
          </cell>
          <cell r="G13" t="str">
            <v/>
          </cell>
          <cell r="H13" t="str">
            <v/>
          </cell>
          <cell r="I13" t="str">
            <v/>
          </cell>
          <cell r="J13" t="str">
            <v/>
          </cell>
          <cell r="K13" t="str">
            <v/>
          </cell>
          <cell r="L13" t="str">
            <v/>
          </cell>
          <cell r="M13" t="str">
            <v/>
          </cell>
          <cell r="N13" t="str">
            <v/>
          </cell>
          <cell r="O13" t="str">
            <v/>
          </cell>
          <cell r="P13" t="str">
            <v/>
          </cell>
          <cell r="Q13" t="str">
            <v/>
          </cell>
          <cell r="R13" t="str">
            <v/>
          </cell>
          <cell r="S13" t="str">
            <v/>
          </cell>
          <cell r="T13" t="str">
            <v/>
          </cell>
          <cell r="U13" t="str">
            <v/>
          </cell>
          <cell r="V13" t="str">
            <v/>
          </cell>
          <cell r="W13" t="str">
            <v/>
          </cell>
          <cell r="X13" t="str">
            <v/>
          </cell>
          <cell r="Y13" t="str">
            <v/>
          </cell>
          <cell r="Z13" t="str">
            <v/>
          </cell>
          <cell r="AA13" t="str">
            <v/>
          </cell>
          <cell r="AB13" t="str">
            <v/>
          </cell>
          <cell r="AC13" t="str">
            <v/>
          </cell>
          <cell r="AD13" t="str">
            <v/>
          </cell>
          <cell r="AF13" t="str">
            <v>DELIVERY GR 1:</v>
          </cell>
          <cell r="AG13">
            <v>46436</v>
          </cell>
        </row>
        <row r="14">
          <cell r="C14" t="str">
            <v/>
          </cell>
          <cell r="D14" t="str">
            <v/>
          </cell>
          <cell r="E14" t="str">
            <v/>
          </cell>
          <cell r="F14" t="str">
            <v/>
          </cell>
          <cell r="G14" t="str">
            <v/>
          </cell>
          <cell r="H14" t="str">
            <v/>
          </cell>
          <cell r="I14" t="str">
            <v/>
          </cell>
          <cell r="J14" t="str">
            <v/>
          </cell>
          <cell r="K14" t="str">
            <v/>
          </cell>
          <cell r="L14" t="str">
            <v/>
          </cell>
          <cell r="M14" t="str">
            <v/>
          </cell>
          <cell r="N14" t="str">
            <v/>
          </cell>
          <cell r="O14" t="str">
            <v/>
          </cell>
          <cell r="P14" t="str">
            <v/>
          </cell>
          <cell r="Q14" t="str">
            <v/>
          </cell>
          <cell r="R14" t="str">
            <v/>
          </cell>
          <cell r="S14" t="str">
            <v/>
          </cell>
          <cell r="T14" t="str">
            <v/>
          </cell>
          <cell r="U14" t="str">
            <v/>
          </cell>
          <cell r="V14" t="str">
            <v/>
          </cell>
          <cell r="W14" t="str">
            <v/>
          </cell>
          <cell r="X14" t="str">
            <v/>
          </cell>
          <cell r="Y14" t="str">
            <v/>
          </cell>
          <cell r="Z14" t="str">
            <v/>
          </cell>
          <cell r="AA14" t="str">
            <v/>
          </cell>
          <cell r="AB14" t="str">
            <v/>
          </cell>
          <cell r="AC14" t="str">
            <v/>
          </cell>
          <cell r="AD14" t="str">
            <v/>
          </cell>
          <cell r="AF14" t="str">
            <v>DELIVERY GR 2:</v>
          </cell>
          <cell r="AG14">
            <v>46441</v>
          </cell>
        </row>
        <row r="15">
          <cell r="C15" t="str">
            <v/>
          </cell>
          <cell r="D15" t="str">
            <v/>
          </cell>
          <cell r="E15" t="str">
            <v/>
          </cell>
          <cell r="F15" t="str">
            <v/>
          </cell>
          <cell r="G15" t="str">
            <v/>
          </cell>
          <cell r="H15" t="str">
            <v/>
          </cell>
          <cell r="I15" t="str">
            <v/>
          </cell>
          <cell r="J15" t="str">
            <v/>
          </cell>
          <cell r="K15" t="str">
            <v/>
          </cell>
          <cell r="L15" t="str">
            <v/>
          </cell>
          <cell r="M15" t="str">
            <v/>
          </cell>
          <cell r="N15" t="str">
            <v/>
          </cell>
          <cell r="O15" t="str">
            <v/>
          </cell>
          <cell r="P15" t="str">
            <v/>
          </cell>
          <cell r="Q15" t="str">
            <v/>
          </cell>
          <cell r="R15" t="str">
            <v/>
          </cell>
          <cell r="S15" t="str">
            <v/>
          </cell>
          <cell r="T15" t="str">
            <v/>
          </cell>
          <cell r="U15" t="str">
            <v/>
          </cell>
          <cell r="V15" t="str">
            <v/>
          </cell>
          <cell r="W15" t="str">
            <v/>
          </cell>
          <cell r="X15" t="str">
            <v/>
          </cell>
          <cell r="Y15" t="str">
            <v/>
          </cell>
          <cell r="Z15" t="str">
            <v/>
          </cell>
          <cell r="AA15" t="str">
            <v/>
          </cell>
          <cell r="AB15" t="str">
            <v/>
          </cell>
          <cell r="AC15" t="str">
            <v/>
          </cell>
          <cell r="AD15" t="str">
            <v/>
          </cell>
          <cell r="AF15" t="str">
            <v>DELIVERY GR 3:</v>
          </cell>
          <cell r="AG15">
            <v>46444</v>
          </cell>
        </row>
        <row r="16">
          <cell r="C16" t="str">
            <v/>
          </cell>
          <cell r="D16" t="str">
            <v/>
          </cell>
          <cell r="E16" t="str">
            <v/>
          </cell>
          <cell r="F16" t="str">
            <v/>
          </cell>
          <cell r="G16" t="str">
            <v/>
          </cell>
          <cell r="H16" t="str">
            <v/>
          </cell>
          <cell r="I16" t="str">
            <v/>
          </cell>
          <cell r="J16" t="str">
            <v/>
          </cell>
          <cell r="K16" t="str">
            <v/>
          </cell>
          <cell r="L16" t="str">
            <v/>
          </cell>
          <cell r="M16" t="str">
            <v/>
          </cell>
          <cell r="N16" t="str">
            <v/>
          </cell>
          <cell r="O16" t="str">
            <v/>
          </cell>
          <cell r="P16" t="str">
            <v/>
          </cell>
          <cell r="Q16" t="str">
            <v/>
          </cell>
          <cell r="R16" t="str">
            <v/>
          </cell>
          <cell r="S16" t="str">
            <v/>
          </cell>
          <cell r="T16" t="str">
            <v/>
          </cell>
          <cell r="U16" t="str">
            <v/>
          </cell>
          <cell r="V16" t="str">
            <v/>
          </cell>
          <cell r="W16" t="str">
            <v/>
          </cell>
          <cell r="X16" t="str">
            <v/>
          </cell>
          <cell r="Y16" t="str">
            <v/>
          </cell>
          <cell r="Z16" t="str">
            <v/>
          </cell>
          <cell r="AA16" t="str">
            <v/>
          </cell>
          <cell r="AB16" t="str">
            <v/>
          </cell>
          <cell r="AC16" t="str">
            <v/>
          </cell>
          <cell r="AD16" t="str">
            <v/>
          </cell>
          <cell r="AF16" t="str">
            <v>DELIVERY GR 4:</v>
          </cell>
          <cell r="AG16">
            <v>46449</v>
          </cell>
        </row>
        <row r="17">
          <cell r="C17" t="str">
            <v/>
          </cell>
          <cell r="D17" t="str">
            <v/>
          </cell>
          <cell r="E17" t="str">
            <v/>
          </cell>
          <cell r="F17" t="str">
            <v/>
          </cell>
          <cell r="G17" t="str">
            <v/>
          </cell>
          <cell r="H17" t="str">
            <v/>
          </cell>
          <cell r="I17" t="str">
            <v/>
          </cell>
          <cell r="J17" t="str">
            <v/>
          </cell>
          <cell r="K17" t="str">
            <v/>
          </cell>
          <cell r="L17" t="str">
            <v/>
          </cell>
          <cell r="M17" t="str">
            <v/>
          </cell>
          <cell r="N17" t="str">
            <v/>
          </cell>
          <cell r="O17" t="str">
            <v/>
          </cell>
          <cell r="P17" t="str">
            <v/>
          </cell>
          <cell r="Q17" t="str">
            <v/>
          </cell>
          <cell r="R17" t="str">
            <v/>
          </cell>
          <cell r="S17" t="str">
            <v/>
          </cell>
          <cell r="T17" t="str">
            <v/>
          </cell>
          <cell r="U17" t="str">
            <v/>
          </cell>
          <cell r="V17" t="str">
            <v/>
          </cell>
          <cell r="W17" t="str">
            <v/>
          </cell>
          <cell r="X17" t="str">
            <v/>
          </cell>
          <cell r="Y17" t="str">
            <v/>
          </cell>
          <cell r="Z17" t="str">
            <v/>
          </cell>
          <cell r="AA17" t="str">
            <v/>
          </cell>
          <cell r="AB17" t="str">
            <v/>
          </cell>
          <cell r="AC17" t="str">
            <v/>
          </cell>
          <cell r="AD17" t="str">
            <v/>
          </cell>
          <cell r="AF17" t="str">
            <v>DELIVERY GR 5:</v>
          </cell>
          <cell r="AG17">
            <v>46454</v>
          </cell>
        </row>
        <row r="18">
          <cell r="C18" t="str">
            <v/>
          </cell>
          <cell r="D18" t="str">
            <v/>
          </cell>
          <cell r="E18" t="str">
            <v/>
          </cell>
          <cell r="F18" t="str">
            <v/>
          </cell>
          <cell r="G18" t="str">
            <v/>
          </cell>
          <cell r="H18" t="str">
            <v/>
          </cell>
          <cell r="I18" t="str">
            <v/>
          </cell>
          <cell r="J18" t="str">
            <v/>
          </cell>
          <cell r="K18" t="str">
            <v/>
          </cell>
          <cell r="L18" t="str">
            <v/>
          </cell>
          <cell r="M18" t="str">
            <v/>
          </cell>
          <cell r="N18" t="str">
            <v/>
          </cell>
          <cell r="O18" t="str">
            <v/>
          </cell>
          <cell r="P18" t="str">
            <v/>
          </cell>
          <cell r="Q18" t="str">
            <v/>
          </cell>
          <cell r="R18" t="str">
            <v/>
          </cell>
          <cell r="S18" t="str">
            <v/>
          </cell>
          <cell r="T18" t="str">
            <v/>
          </cell>
          <cell r="U18" t="str">
            <v/>
          </cell>
          <cell r="V18" t="str">
            <v/>
          </cell>
          <cell r="W18" t="str">
            <v/>
          </cell>
          <cell r="X18" t="str">
            <v/>
          </cell>
          <cell r="Y18" t="str">
            <v/>
          </cell>
          <cell r="Z18" t="str">
            <v/>
          </cell>
          <cell r="AA18" t="str">
            <v/>
          </cell>
          <cell r="AB18" t="str">
            <v/>
          </cell>
          <cell r="AC18" t="str">
            <v/>
          </cell>
          <cell r="AD18" t="str">
            <v/>
          </cell>
          <cell r="AF18" t="str">
            <v>DELIVERY GR 6:</v>
          </cell>
          <cell r="AG18">
            <v>46457</v>
          </cell>
        </row>
        <row r="19">
          <cell r="C19">
            <v>7001</v>
          </cell>
          <cell r="D19">
            <v>7002</v>
          </cell>
          <cell r="E19">
            <v>7003</v>
          </cell>
          <cell r="F19">
            <v>7004</v>
          </cell>
          <cell r="G19">
            <v>7005</v>
          </cell>
          <cell r="H19">
            <v>7006</v>
          </cell>
          <cell r="I19">
            <v>7007</v>
          </cell>
          <cell r="J19">
            <v>7008</v>
          </cell>
          <cell r="K19">
            <v>7009</v>
          </cell>
          <cell r="L19">
            <v>7010</v>
          </cell>
          <cell r="M19">
            <v>7011</v>
          </cell>
          <cell r="N19">
            <v>7012</v>
          </cell>
          <cell r="O19">
            <v>7013</v>
          </cell>
          <cell r="P19">
            <v>7014</v>
          </cell>
          <cell r="Q19">
            <v>7015</v>
          </cell>
          <cell r="R19">
            <v>7016</v>
          </cell>
          <cell r="S19">
            <v>7017</v>
          </cell>
          <cell r="T19">
            <v>7018</v>
          </cell>
          <cell r="U19">
            <v>7019</v>
          </cell>
          <cell r="V19">
            <v>7020</v>
          </cell>
          <cell r="W19">
            <v>7021</v>
          </cell>
          <cell r="X19">
            <v>7022</v>
          </cell>
          <cell r="Y19">
            <v>7023</v>
          </cell>
          <cell r="Z19">
            <v>7024</v>
          </cell>
          <cell r="AA19">
            <v>7025</v>
          </cell>
          <cell r="AB19">
            <v>7026</v>
          </cell>
          <cell r="AC19">
            <v>7027</v>
          </cell>
          <cell r="AD19">
            <v>7028</v>
          </cell>
          <cell r="AF19" t="str">
            <v>7th FLOOR</v>
          </cell>
        </row>
        <row r="20">
          <cell r="C20" t="str">
            <v/>
          </cell>
          <cell r="D20" t="str">
            <v/>
          </cell>
          <cell r="E20" t="str">
            <v/>
          </cell>
          <cell r="F20" t="str">
            <v/>
          </cell>
          <cell r="G20" t="str">
            <v/>
          </cell>
          <cell r="H20" t="str">
            <v/>
          </cell>
          <cell r="I20" t="str">
            <v/>
          </cell>
          <cell r="J20" t="str">
            <v/>
          </cell>
          <cell r="K20" t="str">
            <v/>
          </cell>
          <cell r="L20" t="str">
            <v/>
          </cell>
          <cell r="M20" t="str">
            <v/>
          </cell>
          <cell r="N20" t="str">
            <v/>
          </cell>
          <cell r="O20" t="str">
            <v/>
          </cell>
          <cell r="P20" t="str">
            <v/>
          </cell>
          <cell r="Q20" t="str">
            <v/>
          </cell>
          <cell r="R20" t="str">
            <v/>
          </cell>
          <cell r="S20" t="str">
            <v/>
          </cell>
          <cell r="T20" t="str">
            <v/>
          </cell>
          <cell r="U20" t="str">
            <v/>
          </cell>
          <cell r="V20" t="str">
            <v/>
          </cell>
          <cell r="W20" t="str">
            <v/>
          </cell>
          <cell r="X20" t="str">
            <v/>
          </cell>
          <cell r="Y20" t="str">
            <v/>
          </cell>
          <cell r="Z20" t="str">
            <v/>
          </cell>
          <cell r="AA20" t="str">
            <v/>
          </cell>
          <cell r="AB20" t="str">
            <v/>
          </cell>
          <cell r="AC20" t="str">
            <v/>
          </cell>
          <cell r="AD20" t="str">
            <v/>
          </cell>
          <cell r="AF20" t="str">
            <v>SCOPE OF WORK:</v>
          </cell>
        </row>
        <row r="21">
          <cell r="C21" t="str">
            <v/>
          </cell>
          <cell r="D21" t="str">
            <v/>
          </cell>
          <cell r="E21" t="str">
            <v/>
          </cell>
          <cell r="F21" t="str">
            <v/>
          </cell>
          <cell r="G21" t="str">
            <v/>
          </cell>
          <cell r="H21" t="str">
            <v/>
          </cell>
          <cell r="I21" t="str">
            <v/>
          </cell>
          <cell r="J21" t="str">
            <v/>
          </cell>
          <cell r="K21" t="str">
            <v/>
          </cell>
          <cell r="L21" t="str">
            <v/>
          </cell>
          <cell r="M21" t="str">
            <v/>
          </cell>
          <cell r="N21" t="str">
            <v/>
          </cell>
          <cell r="O21" t="str">
            <v/>
          </cell>
          <cell r="P21" t="str">
            <v/>
          </cell>
          <cell r="Q21" t="str">
            <v/>
          </cell>
          <cell r="R21" t="str">
            <v/>
          </cell>
          <cell r="S21" t="str">
            <v/>
          </cell>
          <cell r="T21" t="str">
            <v/>
          </cell>
          <cell r="U21" t="str">
            <v/>
          </cell>
          <cell r="V21" t="str">
            <v/>
          </cell>
          <cell r="W21" t="str">
            <v/>
          </cell>
          <cell r="X21" t="str">
            <v/>
          </cell>
          <cell r="Y21" t="str">
            <v/>
          </cell>
          <cell r="Z21" t="str">
            <v/>
          </cell>
          <cell r="AA21" t="str">
            <v/>
          </cell>
          <cell r="AB21" t="str">
            <v/>
          </cell>
          <cell r="AC21" t="str">
            <v/>
          </cell>
          <cell r="AD21" t="str">
            <v/>
          </cell>
          <cell r="AF21" t="str">
            <v>SCOPE OF WORK:</v>
          </cell>
          <cell r="AG21" t="str">
            <v>0 AREAS TO DELIVER</v>
          </cell>
        </row>
        <row r="22">
          <cell r="C22" t="str">
            <v/>
          </cell>
          <cell r="D22" t="str">
            <v/>
          </cell>
          <cell r="E22" t="str">
            <v/>
          </cell>
          <cell r="F22" t="str">
            <v/>
          </cell>
          <cell r="G22" t="str">
            <v/>
          </cell>
          <cell r="H22" t="str">
            <v/>
          </cell>
          <cell r="I22" t="str">
            <v/>
          </cell>
          <cell r="J22" t="str">
            <v/>
          </cell>
          <cell r="K22" t="str">
            <v/>
          </cell>
          <cell r="L22" t="str">
            <v/>
          </cell>
          <cell r="M22" t="str">
            <v/>
          </cell>
          <cell r="N22" t="str">
            <v/>
          </cell>
          <cell r="O22" t="str">
            <v/>
          </cell>
          <cell r="P22" t="str">
            <v/>
          </cell>
          <cell r="Q22" t="str">
            <v/>
          </cell>
          <cell r="R22" t="str">
            <v/>
          </cell>
          <cell r="S22" t="str">
            <v/>
          </cell>
          <cell r="T22" t="str">
            <v/>
          </cell>
          <cell r="U22" t="str">
            <v/>
          </cell>
          <cell r="V22" t="str">
            <v/>
          </cell>
          <cell r="W22" t="str">
            <v/>
          </cell>
          <cell r="X22" t="str">
            <v/>
          </cell>
          <cell r="Y22" t="str">
            <v/>
          </cell>
          <cell r="Z22" t="str">
            <v/>
          </cell>
          <cell r="AA22" t="str">
            <v/>
          </cell>
          <cell r="AB22" t="str">
            <v/>
          </cell>
          <cell r="AC22" t="str">
            <v/>
          </cell>
          <cell r="AD22" t="str">
            <v/>
          </cell>
          <cell r="AF22" t="str">
            <v>UNITS IN SCOPE:</v>
          </cell>
          <cell r="AG22" t="str">
            <v>0 UNITS (0 COMBO)</v>
          </cell>
        </row>
        <row r="23">
          <cell r="C23" t="str">
            <v/>
          </cell>
          <cell r="D23" t="str">
            <v/>
          </cell>
          <cell r="E23" t="str">
            <v/>
          </cell>
          <cell r="F23" t="str">
            <v/>
          </cell>
          <cell r="G23" t="str">
            <v/>
          </cell>
          <cell r="H23" t="str">
            <v/>
          </cell>
          <cell r="I23" t="str">
            <v/>
          </cell>
          <cell r="J23" t="str">
            <v/>
          </cell>
          <cell r="K23" t="str">
            <v/>
          </cell>
          <cell r="L23" t="str">
            <v/>
          </cell>
          <cell r="M23" t="str">
            <v/>
          </cell>
          <cell r="N23" t="str">
            <v/>
          </cell>
          <cell r="O23" t="str">
            <v/>
          </cell>
          <cell r="P23" t="str">
            <v/>
          </cell>
          <cell r="Q23" t="str">
            <v/>
          </cell>
          <cell r="R23" t="str">
            <v/>
          </cell>
          <cell r="S23" t="str">
            <v/>
          </cell>
          <cell r="T23" t="str">
            <v/>
          </cell>
          <cell r="U23" t="str">
            <v/>
          </cell>
          <cell r="V23" t="str">
            <v/>
          </cell>
          <cell r="W23" t="str">
            <v/>
          </cell>
          <cell r="X23" t="str">
            <v/>
          </cell>
          <cell r="Y23" t="str">
            <v/>
          </cell>
          <cell r="Z23" t="str">
            <v/>
          </cell>
          <cell r="AA23" t="str">
            <v/>
          </cell>
          <cell r="AB23" t="str">
            <v/>
          </cell>
          <cell r="AC23" t="str">
            <v/>
          </cell>
          <cell r="AD23" t="str">
            <v/>
          </cell>
          <cell r="AF23" t="str">
            <v>DELIVERY SCHEDULE</v>
          </cell>
        </row>
        <row r="24">
          <cell r="C24" t="str">
            <v/>
          </cell>
          <cell r="D24" t="str">
            <v/>
          </cell>
          <cell r="E24" t="str">
            <v/>
          </cell>
          <cell r="F24" t="str">
            <v/>
          </cell>
          <cell r="G24" t="str">
            <v/>
          </cell>
          <cell r="H24" t="str">
            <v/>
          </cell>
          <cell r="I24" t="str">
            <v/>
          </cell>
          <cell r="J24" t="str">
            <v/>
          </cell>
          <cell r="K24" t="str">
            <v/>
          </cell>
          <cell r="L24" t="str">
            <v/>
          </cell>
          <cell r="M24" t="str">
            <v/>
          </cell>
          <cell r="N24" t="str">
            <v/>
          </cell>
          <cell r="O24" t="str">
            <v/>
          </cell>
          <cell r="P24" t="str">
            <v/>
          </cell>
          <cell r="Q24" t="str">
            <v/>
          </cell>
          <cell r="R24" t="str">
            <v/>
          </cell>
          <cell r="S24" t="str">
            <v/>
          </cell>
          <cell r="T24" t="str">
            <v/>
          </cell>
          <cell r="U24" t="str">
            <v/>
          </cell>
          <cell r="V24" t="str">
            <v/>
          </cell>
          <cell r="W24" t="str">
            <v/>
          </cell>
          <cell r="X24" t="str">
            <v/>
          </cell>
          <cell r="Y24" t="str">
            <v/>
          </cell>
          <cell r="Z24" t="str">
            <v/>
          </cell>
          <cell r="AA24" t="str">
            <v/>
          </cell>
          <cell r="AB24" t="str">
            <v/>
          </cell>
          <cell r="AC24" t="str">
            <v/>
          </cell>
          <cell r="AD24" t="str">
            <v/>
          </cell>
          <cell r="AF24" t="str">
            <v>DELIVERY GR 1:</v>
          </cell>
          <cell r="AG24">
            <v>46412</v>
          </cell>
        </row>
        <row r="25">
          <cell r="C25" t="str">
            <v/>
          </cell>
          <cell r="D25" t="str">
            <v/>
          </cell>
          <cell r="E25" t="str">
            <v/>
          </cell>
          <cell r="F25" t="str">
            <v/>
          </cell>
          <cell r="G25" t="str">
            <v/>
          </cell>
          <cell r="H25" t="str">
            <v/>
          </cell>
          <cell r="I25" t="str">
            <v/>
          </cell>
          <cell r="J25" t="str">
            <v/>
          </cell>
          <cell r="K25" t="str">
            <v/>
          </cell>
          <cell r="L25" t="str">
            <v/>
          </cell>
          <cell r="M25" t="str">
            <v/>
          </cell>
          <cell r="N25" t="str">
            <v/>
          </cell>
          <cell r="O25" t="str">
            <v/>
          </cell>
          <cell r="P25" t="str">
            <v/>
          </cell>
          <cell r="Q25" t="str">
            <v/>
          </cell>
          <cell r="R25" t="str">
            <v/>
          </cell>
          <cell r="S25" t="str">
            <v/>
          </cell>
          <cell r="T25" t="str">
            <v/>
          </cell>
          <cell r="U25" t="str">
            <v/>
          </cell>
          <cell r="V25" t="str">
            <v/>
          </cell>
          <cell r="W25" t="str">
            <v/>
          </cell>
          <cell r="X25" t="str">
            <v/>
          </cell>
          <cell r="Y25" t="str">
            <v/>
          </cell>
          <cell r="Z25" t="str">
            <v/>
          </cell>
          <cell r="AA25" t="str">
            <v/>
          </cell>
          <cell r="AB25" t="str">
            <v/>
          </cell>
          <cell r="AC25" t="str">
            <v/>
          </cell>
          <cell r="AD25" t="str">
            <v/>
          </cell>
          <cell r="AF25" t="str">
            <v>DELIVERY GR 2:</v>
          </cell>
          <cell r="AG25">
            <v>46415</v>
          </cell>
        </row>
        <row r="26">
          <cell r="C26" t="str">
            <v/>
          </cell>
          <cell r="D26" t="str">
            <v/>
          </cell>
          <cell r="E26" t="str">
            <v/>
          </cell>
          <cell r="F26" t="str">
            <v/>
          </cell>
          <cell r="G26" t="str">
            <v/>
          </cell>
          <cell r="H26" t="str">
            <v/>
          </cell>
          <cell r="I26" t="str">
            <v/>
          </cell>
          <cell r="J26" t="str">
            <v/>
          </cell>
          <cell r="K26" t="str">
            <v/>
          </cell>
          <cell r="L26" t="str">
            <v/>
          </cell>
          <cell r="M26" t="str">
            <v/>
          </cell>
          <cell r="N26" t="str">
            <v/>
          </cell>
          <cell r="O26" t="str">
            <v/>
          </cell>
          <cell r="P26" t="str">
            <v/>
          </cell>
          <cell r="Q26" t="str">
            <v/>
          </cell>
          <cell r="R26" t="str">
            <v/>
          </cell>
          <cell r="S26" t="str">
            <v/>
          </cell>
          <cell r="T26" t="str">
            <v/>
          </cell>
          <cell r="U26" t="str">
            <v/>
          </cell>
          <cell r="V26" t="str">
            <v/>
          </cell>
          <cell r="W26" t="str">
            <v/>
          </cell>
          <cell r="X26" t="str">
            <v/>
          </cell>
          <cell r="Y26" t="str">
            <v/>
          </cell>
          <cell r="Z26" t="str">
            <v/>
          </cell>
          <cell r="AA26" t="str">
            <v/>
          </cell>
          <cell r="AB26" t="str">
            <v/>
          </cell>
          <cell r="AC26" t="str">
            <v/>
          </cell>
          <cell r="AD26" t="str">
            <v/>
          </cell>
          <cell r="AF26" t="str">
            <v>DELIVERY GR 3:</v>
          </cell>
          <cell r="AG26">
            <v>46420</v>
          </cell>
        </row>
        <row r="27">
          <cell r="C27" t="str">
            <v/>
          </cell>
          <cell r="D27" t="str">
            <v/>
          </cell>
          <cell r="E27" t="str">
            <v/>
          </cell>
          <cell r="F27" t="str">
            <v/>
          </cell>
          <cell r="G27" t="str">
            <v/>
          </cell>
          <cell r="H27" t="str">
            <v/>
          </cell>
          <cell r="I27" t="str">
            <v/>
          </cell>
          <cell r="J27" t="str">
            <v/>
          </cell>
          <cell r="K27" t="str">
            <v/>
          </cell>
          <cell r="L27" t="str">
            <v/>
          </cell>
          <cell r="M27" t="str">
            <v/>
          </cell>
          <cell r="N27" t="str">
            <v/>
          </cell>
          <cell r="O27" t="str">
            <v/>
          </cell>
          <cell r="P27" t="str">
            <v/>
          </cell>
          <cell r="Q27" t="str">
            <v/>
          </cell>
          <cell r="R27" t="str">
            <v/>
          </cell>
          <cell r="S27" t="str">
            <v/>
          </cell>
          <cell r="T27" t="str">
            <v/>
          </cell>
          <cell r="U27" t="str">
            <v/>
          </cell>
          <cell r="V27" t="str">
            <v/>
          </cell>
          <cell r="W27" t="str">
            <v/>
          </cell>
          <cell r="X27" t="str">
            <v/>
          </cell>
          <cell r="Y27" t="str">
            <v/>
          </cell>
          <cell r="Z27" t="str">
            <v/>
          </cell>
          <cell r="AA27" t="str">
            <v/>
          </cell>
          <cell r="AB27" t="str">
            <v/>
          </cell>
          <cell r="AC27" t="str">
            <v/>
          </cell>
          <cell r="AD27" t="str">
            <v/>
          </cell>
          <cell r="AF27" t="str">
            <v>DELIVERY GR 4:</v>
          </cell>
          <cell r="AG27">
            <v>46423</v>
          </cell>
        </row>
        <row r="28">
          <cell r="C28" t="str">
            <v/>
          </cell>
          <cell r="D28" t="str">
            <v/>
          </cell>
          <cell r="E28" t="str">
            <v/>
          </cell>
          <cell r="F28" t="str">
            <v/>
          </cell>
          <cell r="G28" t="str">
            <v/>
          </cell>
          <cell r="H28" t="str">
            <v/>
          </cell>
          <cell r="I28" t="str">
            <v/>
          </cell>
          <cell r="J28" t="str">
            <v/>
          </cell>
          <cell r="K28" t="str">
            <v/>
          </cell>
          <cell r="L28" t="str">
            <v/>
          </cell>
          <cell r="M28" t="str">
            <v/>
          </cell>
          <cell r="N28" t="str">
            <v/>
          </cell>
          <cell r="O28" t="str">
            <v/>
          </cell>
          <cell r="P28" t="str">
            <v/>
          </cell>
          <cell r="Q28" t="str">
            <v/>
          </cell>
          <cell r="R28" t="str">
            <v/>
          </cell>
          <cell r="S28" t="str">
            <v/>
          </cell>
          <cell r="T28" t="str">
            <v/>
          </cell>
          <cell r="U28" t="str">
            <v/>
          </cell>
          <cell r="V28" t="str">
            <v/>
          </cell>
          <cell r="W28" t="str">
            <v/>
          </cell>
          <cell r="X28" t="str">
            <v/>
          </cell>
          <cell r="Y28" t="str">
            <v/>
          </cell>
          <cell r="Z28" t="str">
            <v/>
          </cell>
          <cell r="AA28" t="str">
            <v/>
          </cell>
          <cell r="AB28" t="str">
            <v/>
          </cell>
          <cell r="AC28" t="str">
            <v/>
          </cell>
          <cell r="AD28" t="str">
            <v/>
          </cell>
          <cell r="AF28" t="str">
            <v>DELIVERY GR 5:</v>
          </cell>
          <cell r="AG28">
            <v>46428</v>
          </cell>
        </row>
        <row r="29">
          <cell r="C29" t="str">
            <v/>
          </cell>
          <cell r="D29" t="str">
            <v/>
          </cell>
          <cell r="E29" t="str">
            <v/>
          </cell>
          <cell r="F29" t="str">
            <v/>
          </cell>
          <cell r="G29" t="str">
            <v/>
          </cell>
          <cell r="H29" t="str">
            <v/>
          </cell>
          <cell r="I29" t="str">
            <v/>
          </cell>
          <cell r="J29" t="str">
            <v/>
          </cell>
          <cell r="K29" t="str">
            <v/>
          </cell>
          <cell r="L29" t="str">
            <v/>
          </cell>
          <cell r="M29" t="str">
            <v/>
          </cell>
          <cell r="N29" t="str">
            <v/>
          </cell>
          <cell r="O29" t="str">
            <v/>
          </cell>
          <cell r="P29" t="str">
            <v/>
          </cell>
          <cell r="Q29" t="str">
            <v/>
          </cell>
          <cell r="R29" t="str">
            <v/>
          </cell>
          <cell r="S29" t="str">
            <v/>
          </cell>
          <cell r="T29" t="str">
            <v/>
          </cell>
          <cell r="U29" t="str">
            <v/>
          </cell>
          <cell r="V29" t="str">
            <v/>
          </cell>
          <cell r="W29" t="str">
            <v/>
          </cell>
          <cell r="X29" t="str">
            <v/>
          </cell>
          <cell r="Y29" t="str">
            <v/>
          </cell>
          <cell r="Z29" t="str">
            <v/>
          </cell>
          <cell r="AA29" t="str">
            <v/>
          </cell>
          <cell r="AB29" t="str">
            <v/>
          </cell>
          <cell r="AC29" t="str">
            <v/>
          </cell>
          <cell r="AD29" t="str">
            <v/>
          </cell>
          <cell r="AF29" t="str">
            <v>DELIVERY GR 6:</v>
          </cell>
          <cell r="AG29">
            <v>46433</v>
          </cell>
        </row>
        <row r="30">
          <cell r="C30">
            <v>6001</v>
          </cell>
          <cell r="D30">
            <v>6002</v>
          </cell>
          <cell r="E30">
            <v>6003</v>
          </cell>
          <cell r="F30">
            <v>6004</v>
          </cell>
          <cell r="G30">
            <v>6005</v>
          </cell>
          <cell r="H30">
            <v>6006</v>
          </cell>
          <cell r="I30">
            <v>6007</v>
          </cell>
          <cell r="J30">
            <v>6008</v>
          </cell>
          <cell r="K30">
            <v>6009</v>
          </cell>
          <cell r="L30">
            <v>6010</v>
          </cell>
          <cell r="M30">
            <v>6011</v>
          </cell>
          <cell r="N30">
            <v>6012</v>
          </cell>
          <cell r="O30">
            <v>6013</v>
          </cell>
          <cell r="P30">
            <v>6014</v>
          </cell>
          <cell r="Q30">
            <v>6015</v>
          </cell>
          <cell r="R30">
            <v>6016</v>
          </cell>
          <cell r="S30">
            <v>6017</v>
          </cell>
          <cell r="T30">
            <v>6018</v>
          </cell>
          <cell r="U30">
            <v>6019</v>
          </cell>
          <cell r="V30">
            <v>6020</v>
          </cell>
          <cell r="W30">
            <v>6021</v>
          </cell>
          <cell r="X30">
            <v>6022</v>
          </cell>
          <cell r="Y30">
            <v>6023</v>
          </cell>
          <cell r="Z30">
            <v>6024</v>
          </cell>
          <cell r="AA30">
            <v>6025</v>
          </cell>
          <cell r="AB30">
            <v>6026</v>
          </cell>
          <cell r="AC30">
            <v>6027</v>
          </cell>
          <cell r="AD30">
            <v>6028</v>
          </cell>
          <cell r="AF30" t="str">
            <v>6th FLOOR</v>
          </cell>
        </row>
        <row r="31">
          <cell r="C31" t="str">
            <v/>
          </cell>
          <cell r="D31" t="str">
            <v>FOYER</v>
          </cell>
          <cell r="E31" t="str">
            <v/>
          </cell>
          <cell r="F31" t="str">
            <v/>
          </cell>
          <cell r="G31" t="str">
            <v/>
          </cell>
          <cell r="H31" t="str">
            <v/>
          </cell>
          <cell r="I31" t="str">
            <v>FOYER</v>
          </cell>
          <cell r="J31" t="str">
            <v/>
          </cell>
          <cell r="K31" t="str">
            <v>FOYER</v>
          </cell>
          <cell r="L31" t="str">
            <v>FOYER</v>
          </cell>
          <cell r="M31" t="str">
            <v/>
          </cell>
          <cell r="N31" t="str">
            <v/>
          </cell>
          <cell r="O31" t="str">
            <v/>
          </cell>
          <cell r="P31" t="str">
            <v/>
          </cell>
          <cell r="Q31" t="str">
            <v/>
          </cell>
          <cell r="R31" t="str">
            <v/>
          </cell>
          <cell r="S31" t="str">
            <v>UTILITY ROOM</v>
          </cell>
          <cell r="T31" t="str">
            <v/>
          </cell>
          <cell r="U31" t="str">
            <v>FOYER</v>
          </cell>
          <cell r="V31" t="str">
            <v/>
          </cell>
          <cell r="W31" t="str">
            <v/>
          </cell>
          <cell r="X31" t="str">
            <v/>
          </cell>
          <cell r="Y31" t="str">
            <v/>
          </cell>
          <cell r="Z31" t="str">
            <v/>
          </cell>
          <cell r="AA31" t="str">
            <v>FOYER</v>
          </cell>
          <cell r="AB31" t="str">
            <v/>
          </cell>
          <cell r="AC31" t="str">
            <v/>
          </cell>
          <cell r="AD31" t="str">
            <v/>
          </cell>
          <cell r="AF31" t="str">
            <v>SCOPE OF WORK:</v>
          </cell>
        </row>
        <row r="32">
          <cell r="C32" t="str">
            <v/>
          </cell>
          <cell r="D32" t="str">
            <v>UTILITY ROOM</v>
          </cell>
          <cell r="E32" t="str">
            <v/>
          </cell>
          <cell r="F32" t="str">
            <v/>
          </cell>
          <cell r="G32" t="str">
            <v/>
          </cell>
          <cell r="H32" t="str">
            <v/>
          </cell>
          <cell r="I32" t="str">
            <v>UTILITY ROOM</v>
          </cell>
          <cell r="J32" t="str">
            <v/>
          </cell>
          <cell r="K32" t="str">
            <v>UTILITY ROOM</v>
          </cell>
          <cell r="L32" t="str">
            <v>UTILITY ROOM</v>
          </cell>
          <cell r="M32" t="str">
            <v/>
          </cell>
          <cell r="N32" t="str">
            <v/>
          </cell>
          <cell r="O32" t="str">
            <v/>
          </cell>
          <cell r="P32" t="str">
            <v/>
          </cell>
          <cell r="Q32" t="str">
            <v/>
          </cell>
          <cell r="R32" t="str">
            <v/>
          </cell>
          <cell r="S32" t="str">
            <v>KITCHEN</v>
          </cell>
          <cell r="T32" t="str">
            <v/>
          </cell>
          <cell r="U32" t="str">
            <v>UTILITY ROOM</v>
          </cell>
          <cell r="V32" t="str">
            <v/>
          </cell>
          <cell r="W32" t="str">
            <v/>
          </cell>
          <cell r="X32" t="str">
            <v/>
          </cell>
          <cell r="Y32" t="str">
            <v/>
          </cell>
          <cell r="Z32" t="str">
            <v/>
          </cell>
          <cell r="AA32" t="str">
            <v>UTILITY ROOM</v>
          </cell>
          <cell r="AB32" t="str">
            <v/>
          </cell>
          <cell r="AC32" t="str">
            <v/>
          </cell>
          <cell r="AD32" t="str">
            <v/>
          </cell>
          <cell r="AF32" t="str">
            <v>SCOPE OF WORK:</v>
          </cell>
          <cell r="AG32" t="str">
            <v>43 AREAS TO DELIVER</v>
          </cell>
        </row>
        <row r="33">
          <cell r="C33" t="str">
            <v/>
          </cell>
          <cell r="D33" t="str">
            <v>KITCHEN</v>
          </cell>
          <cell r="E33" t="str">
            <v/>
          </cell>
          <cell r="F33" t="str">
            <v/>
          </cell>
          <cell r="G33" t="str">
            <v/>
          </cell>
          <cell r="H33" t="str">
            <v/>
          </cell>
          <cell r="I33" t="str">
            <v>KITCHEN</v>
          </cell>
          <cell r="J33" t="str">
            <v/>
          </cell>
          <cell r="K33" t="str">
            <v>KITCHEN</v>
          </cell>
          <cell r="L33" t="str">
            <v>KITCHEN</v>
          </cell>
          <cell r="M33" t="str">
            <v/>
          </cell>
          <cell r="N33" t="str">
            <v/>
          </cell>
          <cell r="O33" t="str">
            <v/>
          </cell>
          <cell r="P33" t="str">
            <v/>
          </cell>
          <cell r="Q33" t="str">
            <v/>
          </cell>
          <cell r="R33" t="str">
            <v/>
          </cell>
          <cell r="S33" t="str">
            <v>PRIM BATH</v>
          </cell>
          <cell r="T33" t="str">
            <v/>
          </cell>
          <cell r="U33" t="str">
            <v>BEV CENTER</v>
          </cell>
          <cell r="V33" t="str">
            <v/>
          </cell>
          <cell r="W33" t="str">
            <v/>
          </cell>
          <cell r="X33" t="str">
            <v/>
          </cell>
          <cell r="Y33" t="str">
            <v/>
          </cell>
          <cell r="Z33" t="str">
            <v/>
          </cell>
          <cell r="AA33" t="str">
            <v>KITCHEN</v>
          </cell>
          <cell r="AB33" t="str">
            <v/>
          </cell>
          <cell r="AC33" t="str">
            <v/>
          </cell>
          <cell r="AD33" t="str">
            <v/>
          </cell>
          <cell r="AF33" t="str">
            <v>UNITS IN SCOPE:</v>
          </cell>
          <cell r="AG33" t="str">
            <v>7 UNITS (3 COMBO)</v>
          </cell>
        </row>
        <row r="34">
          <cell r="C34" t="str">
            <v/>
          </cell>
          <cell r="D34" t="str">
            <v>PRIM BATH</v>
          </cell>
          <cell r="E34" t="str">
            <v/>
          </cell>
          <cell r="F34" t="str">
            <v/>
          </cell>
          <cell r="G34" t="str">
            <v/>
          </cell>
          <cell r="H34" t="str">
            <v/>
          </cell>
          <cell r="I34" t="str">
            <v>PRIM BATH</v>
          </cell>
          <cell r="J34" t="str">
            <v/>
          </cell>
          <cell r="K34" t="str">
            <v>PRIM BATH</v>
          </cell>
          <cell r="L34" t="str">
            <v>PRIM BATH</v>
          </cell>
          <cell r="M34" t="str">
            <v/>
          </cell>
          <cell r="N34" t="str">
            <v/>
          </cell>
          <cell r="O34" t="str">
            <v/>
          </cell>
          <cell r="P34" t="str">
            <v/>
          </cell>
          <cell r="Q34" t="str">
            <v/>
          </cell>
          <cell r="R34" t="str">
            <v/>
          </cell>
          <cell r="S34" t="str">
            <v>BATH 2</v>
          </cell>
          <cell r="T34" t="str">
            <v/>
          </cell>
          <cell r="U34" t="str">
            <v>KITCHEN</v>
          </cell>
          <cell r="V34" t="str">
            <v/>
          </cell>
          <cell r="W34" t="str">
            <v/>
          </cell>
          <cell r="X34" t="str">
            <v/>
          </cell>
          <cell r="Y34" t="str">
            <v/>
          </cell>
          <cell r="Z34" t="str">
            <v/>
          </cell>
          <cell r="AA34" t="str">
            <v>PRIM BATH</v>
          </cell>
          <cell r="AB34" t="str">
            <v/>
          </cell>
          <cell r="AC34" t="str">
            <v/>
          </cell>
          <cell r="AD34" t="str">
            <v/>
          </cell>
          <cell r="AF34" t="str">
            <v>DELIVERY SCHEDULE</v>
          </cell>
        </row>
        <row r="35">
          <cell r="C35" t="str">
            <v/>
          </cell>
          <cell r="D35" t="str">
            <v>BATH 2</v>
          </cell>
          <cell r="E35" t="str">
            <v/>
          </cell>
          <cell r="F35" t="str">
            <v/>
          </cell>
          <cell r="G35" t="str">
            <v/>
          </cell>
          <cell r="H35" t="str">
            <v/>
          </cell>
          <cell r="I35" t="str">
            <v/>
          </cell>
          <cell r="J35" t="str">
            <v/>
          </cell>
          <cell r="K35" t="str">
            <v>PRIM BED</v>
          </cell>
          <cell r="L35" t="str">
            <v>BATH 2</v>
          </cell>
          <cell r="M35" t="str">
            <v/>
          </cell>
          <cell r="N35" t="str">
            <v/>
          </cell>
          <cell r="O35" t="str">
            <v/>
          </cell>
          <cell r="P35" t="str">
            <v/>
          </cell>
          <cell r="Q35" t="str">
            <v/>
          </cell>
          <cell r="R35" t="str">
            <v/>
          </cell>
          <cell r="S35" t="str">
            <v>BATH 3</v>
          </cell>
          <cell r="T35" t="str">
            <v/>
          </cell>
          <cell r="U35" t="str">
            <v>GREAT ROOM</v>
          </cell>
          <cell r="V35" t="str">
            <v/>
          </cell>
          <cell r="W35" t="str">
            <v/>
          </cell>
          <cell r="X35" t="str">
            <v/>
          </cell>
          <cell r="Y35" t="str">
            <v/>
          </cell>
          <cell r="Z35" t="str">
            <v/>
          </cell>
          <cell r="AA35" t="str">
            <v>BATH 2</v>
          </cell>
          <cell r="AB35" t="str">
            <v/>
          </cell>
          <cell r="AC35" t="str">
            <v/>
          </cell>
          <cell r="AD35" t="str">
            <v/>
          </cell>
          <cell r="AF35" t="str">
            <v>DELIVERY GR 1:</v>
          </cell>
          <cell r="AG35">
            <v>46384</v>
          </cell>
        </row>
        <row r="36">
          <cell r="C36" t="str">
            <v/>
          </cell>
          <cell r="D36" t="str">
            <v>BATH 3</v>
          </cell>
          <cell r="E36" t="str">
            <v/>
          </cell>
          <cell r="F36" t="str">
            <v/>
          </cell>
          <cell r="G36" t="str">
            <v/>
          </cell>
          <cell r="H36" t="str">
            <v/>
          </cell>
          <cell r="I36" t="str">
            <v/>
          </cell>
          <cell r="J36" t="str">
            <v/>
          </cell>
          <cell r="K36" t="str">
            <v/>
          </cell>
          <cell r="L36" t="str">
            <v/>
          </cell>
          <cell r="M36" t="str">
            <v/>
          </cell>
          <cell r="N36" t="str">
            <v/>
          </cell>
          <cell r="O36" t="str">
            <v/>
          </cell>
          <cell r="P36" t="str">
            <v/>
          </cell>
          <cell r="Q36" t="str">
            <v/>
          </cell>
          <cell r="R36" t="str">
            <v/>
          </cell>
          <cell r="S36" t="str">
            <v>BATH 4</v>
          </cell>
          <cell r="T36" t="str">
            <v/>
          </cell>
          <cell r="U36" t="str">
            <v>PRIM BATH</v>
          </cell>
          <cell r="V36" t="str">
            <v/>
          </cell>
          <cell r="W36" t="str">
            <v/>
          </cell>
          <cell r="X36" t="str">
            <v/>
          </cell>
          <cell r="Y36" t="str">
            <v/>
          </cell>
          <cell r="Z36" t="str">
            <v/>
          </cell>
          <cell r="AA36" t="str">
            <v>BED 2</v>
          </cell>
          <cell r="AB36" t="str">
            <v/>
          </cell>
          <cell r="AC36" t="str">
            <v/>
          </cell>
          <cell r="AD36" t="str">
            <v/>
          </cell>
          <cell r="AF36" t="str">
            <v>DELIVERY GR 2:</v>
          </cell>
          <cell r="AG36">
            <v>46391</v>
          </cell>
        </row>
        <row r="37">
          <cell r="C37" t="str">
            <v/>
          </cell>
          <cell r="D37" t="str">
            <v>BATH 4</v>
          </cell>
          <cell r="E37" t="str">
            <v/>
          </cell>
          <cell r="F37" t="str">
            <v/>
          </cell>
          <cell r="G37" t="str">
            <v/>
          </cell>
          <cell r="H37" t="str">
            <v/>
          </cell>
          <cell r="I37" t="str">
            <v/>
          </cell>
          <cell r="J37" t="str">
            <v/>
          </cell>
          <cell r="K37" t="str">
            <v/>
          </cell>
          <cell r="L37" t="str">
            <v/>
          </cell>
          <cell r="M37" t="str">
            <v/>
          </cell>
          <cell r="N37" t="str">
            <v/>
          </cell>
          <cell r="O37" t="str">
            <v/>
          </cell>
          <cell r="P37" t="str">
            <v/>
          </cell>
          <cell r="Q37" t="str">
            <v/>
          </cell>
          <cell r="R37" t="str">
            <v/>
          </cell>
          <cell r="S37" t="str">
            <v>BED 2</v>
          </cell>
          <cell r="T37" t="str">
            <v/>
          </cell>
          <cell r="U37" t="str">
            <v>BATH 2</v>
          </cell>
          <cell r="V37" t="str">
            <v/>
          </cell>
          <cell r="W37" t="str">
            <v/>
          </cell>
          <cell r="X37" t="str">
            <v/>
          </cell>
          <cell r="Y37" t="str">
            <v/>
          </cell>
          <cell r="Z37" t="str">
            <v/>
          </cell>
          <cell r="AA37" t="str">
            <v/>
          </cell>
          <cell r="AB37" t="str">
            <v/>
          </cell>
          <cell r="AC37" t="str">
            <v/>
          </cell>
          <cell r="AD37" t="str">
            <v/>
          </cell>
          <cell r="AF37" t="str">
            <v>DELIVERY GR 3:</v>
          </cell>
          <cell r="AG37">
            <v>46394</v>
          </cell>
        </row>
        <row r="38">
          <cell r="C38" t="str">
            <v/>
          </cell>
          <cell r="D38" t="str">
            <v>BED 2</v>
          </cell>
          <cell r="E38" t="str">
            <v/>
          </cell>
          <cell r="F38" t="str">
            <v/>
          </cell>
          <cell r="G38" t="str">
            <v/>
          </cell>
          <cell r="H38" t="str">
            <v/>
          </cell>
          <cell r="I38" t="str">
            <v/>
          </cell>
          <cell r="J38" t="str">
            <v/>
          </cell>
          <cell r="K38" t="str">
            <v/>
          </cell>
          <cell r="L38" t="str">
            <v/>
          </cell>
          <cell r="M38" t="str">
            <v/>
          </cell>
          <cell r="N38" t="str">
            <v/>
          </cell>
          <cell r="O38" t="str">
            <v/>
          </cell>
          <cell r="P38" t="str">
            <v/>
          </cell>
          <cell r="Q38" t="str">
            <v/>
          </cell>
          <cell r="R38" t="str">
            <v/>
          </cell>
          <cell r="S38" t="str">
            <v/>
          </cell>
          <cell r="T38" t="str">
            <v/>
          </cell>
          <cell r="U38" t="str">
            <v>BED 2</v>
          </cell>
          <cell r="V38" t="str">
            <v/>
          </cell>
          <cell r="W38" t="str">
            <v/>
          </cell>
          <cell r="X38" t="str">
            <v/>
          </cell>
          <cell r="Y38" t="str">
            <v/>
          </cell>
          <cell r="Z38" t="str">
            <v/>
          </cell>
          <cell r="AA38" t="str">
            <v/>
          </cell>
          <cell r="AB38" t="str">
            <v/>
          </cell>
          <cell r="AC38" t="str">
            <v/>
          </cell>
          <cell r="AD38" t="str">
            <v/>
          </cell>
          <cell r="AF38" t="str">
            <v>DELIVERY GR 4:</v>
          </cell>
          <cell r="AG38">
            <v>46399</v>
          </cell>
        </row>
        <row r="39">
          <cell r="C39" t="str">
            <v/>
          </cell>
          <cell r="D39" t="str">
            <v/>
          </cell>
          <cell r="E39" t="str">
            <v/>
          </cell>
          <cell r="F39" t="str">
            <v/>
          </cell>
          <cell r="G39" t="str">
            <v/>
          </cell>
          <cell r="H39" t="str">
            <v/>
          </cell>
          <cell r="I39" t="str">
            <v/>
          </cell>
          <cell r="J39" t="str">
            <v/>
          </cell>
          <cell r="K39" t="str">
            <v/>
          </cell>
          <cell r="L39" t="str">
            <v/>
          </cell>
          <cell r="M39" t="str">
            <v/>
          </cell>
          <cell r="N39" t="str">
            <v/>
          </cell>
          <cell r="O39" t="str">
            <v/>
          </cell>
          <cell r="P39" t="str">
            <v/>
          </cell>
          <cell r="Q39" t="str">
            <v/>
          </cell>
          <cell r="R39" t="str">
            <v/>
          </cell>
          <cell r="S39" t="str">
            <v/>
          </cell>
          <cell r="T39" t="str">
            <v/>
          </cell>
          <cell r="U39" t="str">
            <v/>
          </cell>
          <cell r="V39" t="str">
            <v/>
          </cell>
          <cell r="W39" t="str">
            <v/>
          </cell>
          <cell r="X39" t="str">
            <v/>
          </cell>
          <cell r="Y39" t="str">
            <v/>
          </cell>
          <cell r="Z39" t="str">
            <v/>
          </cell>
          <cell r="AA39" t="str">
            <v/>
          </cell>
          <cell r="AB39" t="str">
            <v/>
          </cell>
          <cell r="AC39" t="str">
            <v/>
          </cell>
          <cell r="AD39" t="str">
            <v/>
          </cell>
          <cell r="AF39" t="str">
            <v>DELIVERY GR 5:</v>
          </cell>
          <cell r="AG39">
            <v>46402</v>
          </cell>
        </row>
        <row r="40">
          <cell r="C40" t="str">
            <v/>
          </cell>
          <cell r="D40" t="str">
            <v/>
          </cell>
          <cell r="E40" t="str">
            <v/>
          </cell>
          <cell r="F40" t="str">
            <v/>
          </cell>
          <cell r="G40" t="str">
            <v/>
          </cell>
          <cell r="H40" t="str">
            <v/>
          </cell>
          <cell r="I40" t="str">
            <v/>
          </cell>
          <cell r="J40" t="str">
            <v/>
          </cell>
          <cell r="K40" t="str">
            <v/>
          </cell>
          <cell r="L40" t="str">
            <v/>
          </cell>
          <cell r="M40" t="str">
            <v/>
          </cell>
          <cell r="N40" t="str">
            <v/>
          </cell>
          <cell r="O40" t="str">
            <v/>
          </cell>
          <cell r="P40" t="str">
            <v/>
          </cell>
          <cell r="Q40" t="str">
            <v/>
          </cell>
          <cell r="R40" t="str">
            <v/>
          </cell>
          <cell r="S40" t="str">
            <v/>
          </cell>
          <cell r="T40" t="str">
            <v/>
          </cell>
          <cell r="U40" t="str">
            <v/>
          </cell>
          <cell r="V40" t="str">
            <v/>
          </cell>
          <cell r="W40" t="str">
            <v/>
          </cell>
          <cell r="X40" t="str">
            <v/>
          </cell>
          <cell r="Y40" t="str">
            <v/>
          </cell>
          <cell r="Z40" t="str">
            <v/>
          </cell>
          <cell r="AA40" t="str">
            <v/>
          </cell>
          <cell r="AB40" t="str">
            <v/>
          </cell>
          <cell r="AC40" t="str">
            <v/>
          </cell>
          <cell r="AD40" t="str">
            <v/>
          </cell>
          <cell r="AF40" t="str">
            <v>DELIVERY GR 6:</v>
          </cell>
          <cell r="AG40">
            <v>46407</v>
          </cell>
        </row>
        <row r="41">
          <cell r="C41">
            <v>5001</v>
          </cell>
          <cell r="D41">
            <v>5002</v>
          </cell>
          <cell r="E41">
            <v>5003</v>
          </cell>
          <cell r="F41">
            <v>5004</v>
          </cell>
          <cell r="G41">
            <v>5005</v>
          </cell>
          <cell r="H41">
            <v>5006</v>
          </cell>
          <cell r="I41">
            <v>5007</v>
          </cell>
          <cell r="J41">
            <v>5008</v>
          </cell>
          <cell r="K41">
            <v>5009</v>
          </cell>
          <cell r="L41">
            <v>5010</v>
          </cell>
          <cell r="M41">
            <v>5011</v>
          </cell>
          <cell r="N41">
            <v>5012</v>
          </cell>
          <cell r="O41">
            <v>5013</v>
          </cell>
          <cell r="P41">
            <v>5014</v>
          </cell>
          <cell r="Q41">
            <v>5015</v>
          </cell>
          <cell r="R41">
            <v>5016</v>
          </cell>
          <cell r="S41">
            <v>5017</v>
          </cell>
          <cell r="T41">
            <v>5018</v>
          </cell>
          <cell r="U41">
            <v>5019</v>
          </cell>
          <cell r="V41">
            <v>5020</v>
          </cell>
          <cell r="W41">
            <v>5021</v>
          </cell>
          <cell r="X41">
            <v>5022</v>
          </cell>
          <cell r="Y41">
            <v>5023</v>
          </cell>
          <cell r="Z41">
            <v>5024</v>
          </cell>
          <cell r="AA41">
            <v>5025</v>
          </cell>
          <cell r="AB41">
            <v>5026</v>
          </cell>
          <cell r="AC41">
            <v>5027</v>
          </cell>
          <cell r="AD41">
            <v>5028</v>
          </cell>
          <cell r="AF41" t="str">
            <v>5th FLOOR</v>
          </cell>
        </row>
        <row r="42">
          <cell r="C42" t="str">
            <v/>
          </cell>
          <cell r="D42" t="str">
            <v/>
          </cell>
          <cell r="E42" t="str">
            <v/>
          </cell>
          <cell r="F42" t="str">
            <v/>
          </cell>
          <cell r="G42" t="str">
            <v/>
          </cell>
          <cell r="H42" t="str">
            <v/>
          </cell>
          <cell r="I42" t="str">
            <v/>
          </cell>
          <cell r="J42" t="str">
            <v>FOYER</v>
          </cell>
          <cell r="K42" t="str">
            <v/>
          </cell>
          <cell r="L42" t="str">
            <v/>
          </cell>
          <cell r="M42" t="str">
            <v/>
          </cell>
          <cell r="N42" t="str">
            <v/>
          </cell>
          <cell r="O42" t="str">
            <v/>
          </cell>
          <cell r="P42" t="str">
            <v/>
          </cell>
          <cell r="Q42" t="str">
            <v/>
          </cell>
          <cell r="R42" t="str">
            <v/>
          </cell>
          <cell r="S42" t="str">
            <v/>
          </cell>
          <cell r="T42" t="str">
            <v/>
          </cell>
          <cell r="U42" t="str">
            <v>FOYER</v>
          </cell>
          <cell r="V42" t="str">
            <v>FOYER</v>
          </cell>
          <cell r="W42" t="str">
            <v>FOYER</v>
          </cell>
          <cell r="X42" t="str">
            <v/>
          </cell>
          <cell r="Y42" t="str">
            <v/>
          </cell>
          <cell r="Z42" t="str">
            <v/>
          </cell>
          <cell r="AA42" t="str">
            <v>FOYER</v>
          </cell>
          <cell r="AB42" t="str">
            <v/>
          </cell>
          <cell r="AC42" t="str">
            <v/>
          </cell>
          <cell r="AD42" t="str">
            <v/>
          </cell>
          <cell r="AF42" t="str">
            <v>SCOPE OF WORK:</v>
          </cell>
        </row>
        <row r="43">
          <cell r="C43" t="str">
            <v/>
          </cell>
          <cell r="D43" t="str">
            <v/>
          </cell>
          <cell r="E43" t="str">
            <v/>
          </cell>
          <cell r="F43" t="str">
            <v/>
          </cell>
          <cell r="G43" t="str">
            <v/>
          </cell>
          <cell r="H43" t="str">
            <v/>
          </cell>
          <cell r="I43" t="str">
            <v/>
          </cell>
          <cell r="J43" t="str">
            <v>UTILITY ROOM</v>
          </cell>
          <cell r="K43" t="str">
            <v/>
          </cell>
          <cell r="L43" t="str">
            <v/>
          </cell>
          <cell r="M43" t="str">
            <v/>
          </cell>
          <cell r="N43" t="str">
            <v/>
          </cell>
          <cell r="O43" t="str">
            <v/>
          </cell>
          <cell r="P43" t="str">
            <v/>
          </cell>
          <cell r="Q43" t="str">
            <v/>
          </cell>
          <cell r="R43" t="str">
            <v/>
          </cell>
          <cell r="S43" t="str">
            <v/>
          </cell>
          <cell r="T43" t="str">
            <v/>
          </cell>
          <cell r="U43" t="str">
            <v>UTILITY ROOM</v>
          </cell>
          <cell r="V43" t="str">
            <v>UTILITY ROOM</v>
          </cell>
          <cell r="W43" t="str">
            <v>HALL</v>
          </cell>
          <cell r="X43" t="str">
            <v/>
          </cell>
          <cell r="Y43" t="str">
            <v/>
          </cell>
          <cell r="Z43" t="str">
            <v/>
          </cell>
          <cell r="AA43" t="str">
            <v>UTILITY ROOM</v>
          </cell>
          <cell r="AB43" t="str">
            <v/>
          </cell>
          <cell r="AC43" t="str">
            <v/>
          </cell>
          <cell r="AD43" t="str">
            <v/>
          </cell>
          <cell r="AF43" t="str">
            <v>SCOPE OF WORK:</v>
          </cell>
          <cell r="AG43" t="str">
            <v>34 AREAS TO DELIVER</v>
          </cell>
        </row>
        <row r="44">
          <cell r="C44" t="str">
            <v/>
          </cell>
          <cell r="D44" t="str">
            <v/>
          </cell>
          <cell r="E44" t="str">
            <v/>
          </cell>
          <cell r="F44" t="str">
            <v/>
          </cell>
          <cell r="G44" t="str">
            <v/>
          </cell>
          <cell r="H44" t="str">
            <v/>
          </cell>
          <cell r="I44" t="str">
            <v/>
          </cell>
          <cell r="J44" t="str">
            <v>CLOSET</v>
          </cell>
          <cell r="K44" t="str">
            <v/>
          </cell>
          <cell r="L44" t="str">
            <v/>
          </cell>
          <cell r="M44" t="str">
            <v/>
          </cell>
          <cell r="N44" t="str">
            <v/>
          </cell>
          <cell r="O44" t="str">
            <v/>
          </cell>
          <cell r="P44" t="str">
            <v/>
          </cell>
          <cell r="Q44" t="str">
            <v/>
          </cell>
          <cell r="R44" t="str">
            <v/>
          </cell>
          <cell r="S44" t="str">
            <v/>
          </cell>
          <cell r="T44" t="str">
            <v/>
          </cell>
          <cell r="U44" t="str">
            <v>BEV CENTER</v>
          </cell>
          <cell r="V44" t="str">
            <v>KITCHEN</v>
          </cell>
          <cell r="W44" t="str">
            <v>UTILITY ROOM</v>
          </cell>
          <cell r="X44" t="str">
            <v/>
          </cell>
          <cell r="Y44" t="str">
            <v/>
          </cell>
          <cell r="Z44" t="str">
            <v/>
          </cell>
          <cell r="AA44" t="str">
            <v>KITCHEN</v>
          </cell>
          <cell r="AB44" t="str">
            <v/>
          </cell>
          <cell r="AC44" t="str">
            <v/>
          </cell>
          <cell r="AD44" t="str">
            <v/>
          </cell>
          <cell r="AF44" t="str">
            <v>UNITS IN SCOPE:</v>
          </cell>
          <cell r="AG44" t="str">
            <v>5 UNITS (1 COMBO)</v>
          </cell>
        </row>
        <row r="45">
          <cell r="C45" t="str">
            <v/>
          </cell>
          <cell r="D45" t="str">
            <v/>
          </cell>
          <cell r="E45" t="str">
            <v/>
          </cell>
          <cell r="F45" t="str">
            <v/>
          </cell>
          <cell r="G45" t="str">
            <v/>
          </cell>
          <cell r="H45" t="str">
            <v/>
          </cell>
          <cell r="I45" t="str">
            <v/>
          </cell>
          <cell r="J45" t="str">
            <v>KITCHEN</v>
          </cell>
          <cell r="K45" t="str">
            <v/>
          </cell>
          <cell r="L45" t="str">
            <v/>
          </cell>
          <cell r="M45" t="str">
            <v/>
          </cell>
          <cell r="N45" t="str">
            <v/>
          </cell>
          <cell r="O45" t="str">
            <v/>
          </cell>
          <cell r="P45" t="str">
            <v/>
          </cell>
          <cell r="Q45" t="str">
            <v/>
          </cell>
          <cell r="R45" t="str">
            <v/>
          </cell>
          <cell r="S45" t="str">
            <v/>
          </cell>
          <cell r="T45" t="str">
            <v/>
          </cell>
          <cell r="U45" t="str">
            <v>KITCHEN</v>
          </cell>
          <cell r="V45" t="str">
            <v>PRIM BATH</v>
          </cell>
          <cell r="W45" t="str">
            <v>KITCHEN</v>
          </cell>
          <cell r="X45" t="str">
            <v/>
          </cell>
          <cell r="Y45" t="str">
            <v/>
          </cell>
          <cell r="Z45" t="str">
            <v/>
          </cell>
          <cell r="AA45" t="str">
            <v>PRIM BATH</v>
          </cell>
          <cell r="AB45" t="str">
            <v/>
          </cell>
          <cell r="AC45" t="str">
            <v/>
          </cell>
          <cell r="AD45" t="str">
            <v/>
          </cell>
          <cell r="AF45" t="str">
            <v>DELIVERY SCHEDULE</v>
          </cell>
        </row>
        <row r="46">
          <cell r="C46" t="str">
            <v/>
          </cell>
          <cell r="D46" t="str">
            <v/>
          </cell>
          <cell r="E46" t="str">
            <v/>
          </cell>
          <cell r="F46" t="str">
            <v/>
          </cell>
          <cell r="G46" t="str">
            <v/>
          </cell>
          <cell r="H46" t="str">
            <v/>
          </cell>
          <cell r="I46" t="str">
            <v/>
          </cell>
          <cell r="J46" t="str">
            <v>PRIM BATH</v>
          </cell>
          <cell r="K46" t="str">
            <v/>
          </cell>
          <cell r="L46" t="str">
            <v/>
          </cell>
          <cell r="M46" t="str">
            <v/>
          </cell>
          <cell r="N46" t="str">
            <v/>
          </cell>
          <cell r="O46" t="str">
            <v/>
          </cell>
          <cell r="P46" t="str">
            <v/>
          </cell>
          <cell r="Q46" t="str">
            <v/>
          </cell>
          <cell r="R46" t="str">
            <v/>
          </cell>
          <cell r="S46" t="str">
            <v/>
          </cell>
          <cell r="T46" t="str">
            <v/>
          </cell>
          <cell r="U46" t="str">
            <v>GREAT ROOM</v>
          </cell>
          <cell r="V46" t="str">
            <v/>
          </cell>
          <cell r="W46" t="str">
            <v>PRIM BATH</v>
          </cell>
          <cell r="X46" t="str">
            <v/>
          </cell>
          <cell r="Y46" t="str">
            <v/>
          </cell>
          <cell r="Z46" t="str">
            <v/>
          </cell>
          <cell r="AA46" t="str">
            <v>BATH 2</v>
          </cell>
          <cell r="AB46" t="str">
            <v/>
          </cell>
          <cell r="AC46" t="str">
            <v/>
          </cell>
          <cell r="AD46" t="str">
            <v/>
          </cell>
          <cell r="AF46" t="str">
            <v>DELIVERY GR 1:</v>
          </cell>
          <cell r="AG46">
            <v>46356</v>
          </cell>
        </row>
        <row r="47">
          <cell r="C47" t="str">
            <v/>
          </cell>
          <cell r="D47" t="str">
            <v/>
          </cell>
          <cell r="E47" t="str">
            <v/>
          </cell>
          <cell r="F47" t="str">
            <v/>
          </cell>
          <cell r="G47" t="str">
            <v/>
          </cell>
          <cell r="H47" t="str">
            <v/>
          </cell>
          <cell r="I47" t="str">
            <v/>
          </cell>
          <cell r="J47" t="str">
            <v>BATH 2</v>
          </cell>
          <cell r="K47" t="str">
            <v/>
          </cell>
          <cell r="L47" t="str">
            <v/>
          </cell>
          <cell r="M47" t="str">
            <v/>
          </cell>
          <cell r="N47" t="str">
            <v/>
          </cell>
          <cell r="O47" t="str">
            <v/>
          </cell>
          <cell r="P47" t="str">
            <v/>
          </cell>
          <cell r="Q47" t="str">
            <v/>
          </cell>
          <cell r="R47" t="str">
            <v/>
          </cell>
          <cell r="S47" t="str">
            <v/>
          </cell>
          <cell r="T47" t="str">
            <v/>
          </cell>
          <cell r="U47" t="str">
            <v>PRIM BATH</v>
          </cell>
          <cell r="V47" t="str">
            <v/>
          </cell>
          <cell r="W47" t="str">
            <v>BATH 2</v>
          </cell>
          <cell r="X47" t="str">
            <v/>
          </cell>
          <cell r="Y47" t="str">
            <v/>
          </cell>
          <cell r="Z47" t="str">
            <v/>
          </cell>
          <cell r="AA47" t="str">
            <v>BED 2</v>
          </cell>
          <cell r="AB47" t="str">
            <v/>
          </cell>
          <cell r="AC47" t="str">
            <v/>
          </cell>
          <cell r="AD47" t="str">
            <v/>
          </cell>
          <cell r="AF47" t="str">
            <v>DELIVERY GR 2:</v>
          </cell>
          <cell r="AG47">
            <v>46359</v>
          </cell>
        </row>
        <row r="48">
          <cell r="C48" t="str">
            <v/>
          </cell>
          <cell r="D48" t="str">
            <v/>
          </cell>
          <cell r="E48" t="str">
            <v/>
          </cell>
          <cell r="F48" t="str">
            <v/>
          </cell>
          <cell r="G48" t="str">
            <v/>
          </cell>
          <cell r="H48" t="str">
            <v/>
          </cell>
          <cell r="I48" t="str">
            <v/>
          </cell>
          <cell r="J48" t="str">
            <v>BATH 3</v>
          </cell>
          <cell r="K48" t="str">
            <v/>
          </cell>
          <cell r="L48" t="str">
            <v/>
          </cell>
          <cell r="M48" t="str">
            <v/>
          </cell>
          <cell r="N48" t="str">
            <v/>
          </cell>
          <cell r="O48" t="str">
            <v/>
          </cell>
          <cell r="P48" t="str">
            <v/>
          </cell>
          <cell r="Q48" t="str">
            <v/>
          </cell>
          <cell r="R48" t="str">
            <v/>
          </cell>
          <cell r="S48" t="str">
            <v/>
          </cell>
          <cell r="T48" t="str">
            <v/>
          </cell>
          <cell r="U48" t="str">
            <v>BATH 2</v>
          </cell>
          <cell r="V48" t="str">
            <v/>
          </cell>
          <cell r="W48" t="str">
            <v/>
          </cell>
          <cell r="X48" t="str">
            <v/>
          </cell>
          <cell r="Y48" t="str">
            <v/>
          </cell>
          <cell r="Z48" t="str">
            <v/>
          </cell>
          <cell r="AA48" t="str">
            <v/>
          </cell>
          <cell r="AB48" t="str">
            <v/>
          </cell>
          <cell r="AC48" t="str">
            <v/>
          </cell>
          <cell r="AD48" t="str">
            <v/>
          </cell>
          <cell r="AF48" t="str">
            <v>DELIVERY GR 3:</v>
          </cell>
          <cell r="AG48">
            <v>46364</v>
          </cell>
        </row>
        <row r="49">
          <cell r="C49" t="str">
            <v/>
          </cell>
          <cell r="D49" t="str">
            <v/>
          </cell>
          <cell r="E49" t="str">
            <v/>
          </cell>
          <cell r="F49" t="str">
            <v/>
          </cell>
          <cell r="G49" t="str">
            <v/>
          </cell>
          <cell r="H49" t="str">
            <v/>
          </cell>
          <cell r="I49" t="str">
            <v/>
          </cell>
          <cell r="J49" t="str">
            <v>BED 3</v>
          </cell>
          <cell r="K49" t="str">
            <v/>
          </cell>
          <cell r="L49" t="str">
            <v/>
          </cell>
          <cell r="M49" t="str">
            <v/>
          </cell>
          <cell r="N49" t="str">
            <v/>
          </cell>
          <cell r="O49" t="str">
            <v/>
          </cell>
          <cell r="P49" t="str">
            <v/>
          </cell>
          <cell r="Q49" t="str">
            <v/>
          </cell>
          <cell r="R49" t="str">
            <v/>
          </cell>
          <cell r="S49" t="str">
            <v/>
          </cell>
          <cell r="T49" t="str">
            <v/>
          </cell>
          <cell r="U49" t="str">
            <v>BATH 3</v>
          </cell>
          <cell r="V49" t="str">
            <v/>
          </cell>
          <cell r="W49" t="str">
            <v/>
          </cell>
          <cell r="X49" t="str">
            <v/>
          </cell>
          <cell r="Y49" t="str">
            <v/>
          </cell>
          <cell r="Z49" t="str">
            <v/>
          </cell>
          <cell r="AA49" t="str">
            <v/>
          </cell>
          <cell r="AB49" t="str">
            <v/>
          </cell>
          <cell r="AC49" t="str">
            <v/>
          </cell>
          <cell r="AD49" t="str">
            <v/>
          </cell>
          <cell r="AF49" t="str">
            <v>DELIVERY GR 4:</v>
          </cell>
          <cell r="AG49">
            <v>46367</v>
          </cell>
        </row>
        <row r="50">
          <cell r="C50" t="str">
            <v/>
          </cell>
          <cell r="D50" t="str">
            <v/>
          </cell>
          <cell r="E50" t="str">
            <v/>
          </cell>
          <cell r="F50" t="str">
            <v/>
          </cell>
          <cell r="G50" t="str">
            <v/>
          </cell>
          <cell r="H50" t="str">
            <v/>
          </cell>
          <cell r="I50" t="str">
            <v/>
          </cell>
          <cell r="J50" t="str">
            <v/>
          </cell>
          <cell r="K50" t="str">
            <v/>
          </cell>
          <cell r="L50" t="str">
            <v/>
          </cell>
          <cell r="M50" t="str">
            <v/>
          </cell>
          <cell r="N50" t="str">
            <v/>
          </cell>
          <cell r="O50" t="str">
            <v/>
          </cell>
          <cell r="P50" t="str">
            <v/>
          </cell>
          <cell r="Q50" t="str">
            <v/>
          </cell>
          <cell r="R50" t="str">
            <v/>
          </cell>
          <cell r="S50" t="str">
            <v/>
          </cell>
          <cell r="T50" t="str">
            <v/>
          </cell>
          <cell r="U50" t="str">
            <v>BED 2</v>
          </cell>
          <cell r="V50" t="str">
            <v/>
          </cell>
          <cell r="W50" t="str">
            <v/>
          </cell>
          <cell r="X50" t="str">
            <v/>
          </cell>
          <cell r="Y50" t="str">
            <v/>
          </cell>
          <cell r="Z50" t="str">
            <v/>
          </cell>
          <cell r="AA50" t="str">
            <v/>
          </cell>
          <cell r="AB50" t="str">
            <v/>
          </cell>
          <cell r="AC50" t="str">
            <v/>
          </cell>
          <cell r="AD50" t="str">
            <v/>
          </cell>
          <cell r="AF50" t="str">
            <v>DELIVERY GR 5:</v>
          </cell>
          <cell r="AG50">
            <v>46372</v>
          </cell>
        </row>
        <row r="51">
          <cell r="C51" t="str">
            <v/>
          </cell>
          <cell r="D51" t="str">
            <v/>
          </cell>
          <cell r="E51" t="str">
            <v/>
          </cell>
          <cell r="F51" t="str">
            <v/>
          </cell>
          <cell r="G51" t="str">
            <v/>
          </cell>
          <cell r="H51" t="str">
            <v/>
          </cell>
          <cell r="I51" t="str">
            <v/>
          </cell>
          <cell r="J51" t="str">
            <v/>
          </cell>
          <cell r="K51" t="str">
            <v/>
          </cell>
          <cell r="L51" t="str">
            <v/>
          </cell>
          <cell r="M51" t="str">
            <v/>
          </cell>
          <cell r="N51" t="str">
            <v/>
          </cell>
          <cell r="O51" t="str">
            <v/>
          </cell>
          <cell r="P51" t="str">
            <v/>
          </cell>
          <cell r="Q51" t="str">
            <v/>
          </cell>
          <cell r="R51" t="str">
            <v/>
          </cell>
          <cell r="S51" t="str">
            <v/>
          </cell>
          <cell r="T51" t="str">
            <v/>
          </cell>
          <cell r="U51" t="str">
            <v>BED 3</v>
          </cell>
          <cell r="V51" t="str">
            <v/>
          </cell>
          <cell r="W51" t="str">
            <v/>
          </cell>
          <cell r="X51" t="str">
            <v/>
          </cell>
          <cell r="Y51" t="str">
            <v/>
          </cell>
          <cell r="Z51" t="str">
            <v/>
          </cell>
          <cell r="AA51" t="str">
            <v/>
          </cell>
          <cell r="AB51" t="str">
            <v/>
          </cell>
          <cell r="AC51" t="str">
            <v/>
          </cell>
          <cell r="AD51" t="str">
            <v/>
          </cell>
          <cell r="AF51" t="str">
            <v>DELIVERY GR 6:</v>
          </cell>
          <cell r="AG51">
            <v>46377</v>
          </cell>
        </row>
        <row r="52">
          <cell r="C52">
            <v>4001</v>
          </cell>
          <cell r="D52">
            <v>4002</v>
          </cell>
          <cell r="E52">
            <v>4003</v>
          </cell>
          <cell r="F52">
            <v>4004</v>
          </cell>
          <cell r="G52">
            <v>4005</v>
          </cell>
          <cell r="H52">
            <v>4006</v>
          </cell>
          <cell r="I52">
            <v>4007</v>
          </cell>
          <cell r="J52">
            <v>4008</v>
          </cell>
          <cell r="K52">
            <v>4009</v>
          </cell>
          <cell r="L52">
            <v>4010</v>
          </cell>
          <cell r="M52">
            <v>4011</v>
          </cell>
          <cell r="N52">
            <v>4012</v>
          </cell>
          <cell r="O52">
            <v>4013</v>
          </cell>
          <cell r="P52">
            <v>4014</v>
          </cell>
          <cell r="Q52">
            <v>4015</v>
          </cell>
          <cell r="R52">
            <v>4016</v>
          </cell>
          <cell r="S52">
            <v>4017</v>
          </cell>
          <cell r="T52">
            <v>4018</v>
          </cell>
          <cell r="U52">
            <v>4019</v>
          </cell>
          <cell r="V52">
            <v>4020</v>
          </cell>
          <cell r="W52">
            <v>4021</v>
          </cell>
          <cell r="X52">
            <v>4022</v>
          </cell>
          <cell r="Y52">
            <v>4023</v>
          </cell>
          <cell r="Z52">
            <v>4024</v>
          </cell>
          <cell r="AA52">
            <v>4025</v>
          </cell>
          <cell r="AB52">
            <v>4026</v>
          </cell>
          <cell r="AC52">
            <v>4027</v>
          </cell>
          <cell r="AD52">
            <v>4028</v>
          </cell>
          <cell r="AF52" t="str">
            <v>4th FLOOR</v>
          </cell>
        </row>
        <row r="53">
          <cell r="C53" t="str">
            <v/>
          </cell>
          <cell r="D53" t="str">
            <v/>
          </cell>
          <cell r="E53" t="str">
            <v/>
          </cell>
          <cell r="F53" t="str">
            <v/>
          </cell>
          <cell r="G53" t="str">
            <v/>
          </cell>
          <cell r="H53" t="str">
            <v/>
          </cell>
          <cell r="I53" t="str">
            <v/>
          </cell>
          <cell r="J53" t="str">
            <v>UTILITY ROOM</v>
          </cell>
          <cell r="K53" t="str">
            <v/>
          </cell>
          <cell r="L53" t="str">
            <v/>
          </cell>
          <cell r="M53" t="str">
            <v/>
          </cell>
          <cell r="N53" t="str">
            <v/>
          </cell>
          <cell r="O53" t="str">
            <v/>
          </cell>
          <cell r="P53" t="str">
            <v/>
          </cell>
          <cell r="Q53" t="str">
            <v/>
          </cell>
          <cell r="R53" t="str">
            <v/>
          </cell>
          <cell r="S53" t="str">
            <v/>
          </cell>
          <cell r="T53" t="str">
            <v/>
          </cell>
          <cell r="U53" t="str">
            <v/>
          </cell>
          <cell r="V53" t="str">
            <v/>
          </cell>
          <cell r="W53" t="str">
            <v/>
          </cell>
          <cell r="X53" t="str">
            <v/>
          </cell>
          <cell r="Y53" t="str">
            <v/>
          </cell>
          <cell r="Z53" t="str">
            <v/>
          </cell>
          <cell r="AA53" t="str">
            <v/>
          </cell>
          <cell r="AB53" t="str">
            <v/>
          </cell>
          <cell r="AC53" t="str">
            <v/>
          </cell>
          <cell r="AD53" t="str">
            <v/>
          </cell>
          <cell r="AF53" t="str">
            <v>SCOPE OF WORK:</v>
          </cell>
        </row>
        <row r="54">
          <cell r="C54" t="str">
            <v/>
          </cell>
          <cell r="D54" t="str">
            <v/>
          </cell>
          <cell r="E54" t="str">
            <v/>
          </cell>
          <cell r="F54" t="str">
            <v/>
          </cell>
          <cell r="G54" t="str">
            <v/>
          </cell>
          <cell r="H54" t="str">
            <v/>
          </cell>
          <cell r="I54" t="str">
            <v/>
          </cell>
          <cell r="J54" t="str">
            <v>KITCHEN</v>
          </cell>
          <cell r="K54" t="str">
            <v/>
          </cell>
          <cell r="L54" t="str">
            <v/>
          </cell>
          <cell r="M54" t="str">
            <v/>
          </cell>
          <cell r="N54" t="str">
            <v/>
          </cell>
          <cell r="O54" t="str">
            <v/>
          </cell>
          <cell r="P54" t="str">
            <v/>
          </cell>
          <cell r="Q54" t="str">
            <v/>
          </cell>
          <cell r="R54" t="str">
            <v/>
          </cell>
          <cell r="S54" t="str">
            <v/>
          </cell>
          <cell r="T54" t="str">
            <v/>
          </cell>
          <cell r="U54" t="str">
            <v/>
          </cell>
          <cell r="V54" t="str">
            <v/>
          </cell>
          <cell r="W54" t="str">
            <v/>
          </cell>
          <cell r="X54" t="str">
            <v/>
          </cell>
          <cell r="Y54" t="str">
            <v/>
          </cell>
          <cell r="Z54" t="str">
            <v/>
          </cell>
          <cell r="AA54" t="str">
            <v/>
          </cell>
          <cell r="AB54" t="str">
            <v/>
          </cell>
          <cell r="AC54" t="str">
            <v/>
          </cell>
          <cell r="AD54" t="str">
            <v/>
          </cell>
          <cell r="AF54" t="str">
            <v>SCOPE OF WORK:</v>
          </cell>
          <cell r="AG54" t="str">
            <v>5 AREAS TO DELIVER</v>
          </cell>
        </row>
        <row r="55">
          <cell r="C55" t="str">
            <v/>
          </cell>
          <cell r="D55" t="str">
            <v/>
          </cell>
          <cell r="E55" t="str">
            <v/>
          </cell>
          <cell r="F55" t="str">
            <v/>
          </cell>
          <cell r="G55" t="str">
            <v/>
          </cell>
          <cell r="H55" t="str">
            <v/>
          </cell>
          <cell r="I55" t="str">
            <v/>
          </cell>
          <cell r="J55" t="str">
            <v>PRIM BATH</v>
          </cell>
          <cell r="K55" t="str">
            <v/>
          </cell>
          <cell r="L55" t="str">
            <v/>
          </cell>
          <cell r="M55" t="str">
            <v/>
          </cell>
          <cell r="N55" t="str">
            <v/>
          </cell>
          <cell r="O55" t="str">
            <v/>
          </cell>
          <cell r="P55" t="str">
            <v/>
          </cell>
          <cell r="Q55" t="str">
            <v/>
          </cell>
          <cell r="R55" t="str">
            <v/>
          </cell>
          <cell r="S55" t="str">
            <v/>
          </cell>
          <cell r="T55" t="str">
            <v/>
          </cell>
          <cell r="U55" t="str">
            <v/>
          </cell>
          <cell r="V55" t="str">
            <v/>
          </cell>
          <cell r="W55" t="str">
            <v/>
          </cell>
          <cell r="X55" t="str">
            <v/>
          </cell>
          <cell r="Y55" t="str">
            <v/>
          </cell>
          <cell r="Z55" t="str">
            <v/>
          </cell>
          <cell r="AA55" t="str">
            <v/>
          </cell>
          <cell r="AB55" t="str">
            <v/>
          </cell>
          <cell r="AC55" t="str">
            <v/>
          </cell>
          <cell r="AD55" t="str">
            <v/>
          </cell>
          <cell r="AF55" t="str">
            <v>UNITS IN SCOPE:</v>
          </cell>
          <cell r="AG55" t="str">
            <v>1 UNITS (0 COMBO)</v>
          </cell>
        </row>
        <row r="56">
          <cell r="C56" t="str">
            <v/>
          </cell>
          <cell r="D56" t="str">
            <v/>
          </cell>
          <cell r="E56" t="str">
            <v/>
          </cell>
          <cell r="F56" t="str">
            <v/>
          </cell>
          <cell r="G56" t="str">
            <v/>
          </cell>
          <cell r="H56" t="str">
            <v/>
          </cell>
          <cell r="I56" t="str">
            <v/>
          </cell>
          <cell r="J56" t="str">
            <v>BATH 2</v>
          </cell>
          <cell r="K56" t="str">
            <v/>
          </cell>
          <cell r="L56" t="str">
            <v/>
          </cell>
          <cell r="M56" t="str">
            <v/>
          </cell>
          <cell r="N56" t="str">
            <v/>
          </cell>
          <cell r="O56" t="str">
            <v/>
          </cell>
          <cell r="P56" t="str">
            <v/>
          </cell>
          <cell r="Q56" t="str">
            <v/>
          </cell>
          <cell r="R56" t="str">
            <v/>
          </cell>
          <cell r="S56" t="str">
            <v/>
          </cell>
          <cell r="T56" t="str">
            <v/>
          </cell>
          <cell r="U56" t="str">
            <v/>
          </cell>
          <cell r="V56" t="str">
            <v/>
          </cell>
          <cell r="W56" t="str">
            <v/>
          </cell>
          <cell r="X56" t="str">
            <v/>
          </cell>
          <cell r="Y56" t="str">
            <v/>
          </cell>
          <cell r="Z56" t="str">
            <v/>
          </cell>
          <cell r="AA56" t="str">
            <v/>
          </cell>
          <cell r="AB56" t="str">
            <v/>
          </cell>
          <cell r="AC56" t="str">
            <v/>
          </cell>
          <cell r="AD56" t="str">
            <v/>
          </cell>
          <cell r="AF56" t="str">
            <v>DELIVERY SCHEDULE</v>
          </cell>
        </row>
        <row r="57">
          <cell r="C57" t="str">
            <v/>
          </cell>
          <cell r="D57" t="str">
            <v/>
          </cell>
          <cell r="E57" t="str">
            <v/>
          </cell>
          <cell r="F57" t="str">
            <v/>
          </cell>
          <cell r="G57" t="str">
            <v/>
          </cell>
          <cell r="H57" t="str">
            <v/>
          </cell>
          <cell r="I57" t="str">
            <v/>
          </cell>
          <cell r="J57" t="str">
            <v>BED 2</v>
          </cell>
          <cell r="K57" t="str">
            <v/>
          </cell>
          <cell r="L57" t="str">
            <v/>
          </cell>
          <cell r="M57" t="str">
            <v/>
          </cell>
          <cell r="N57" t="str">
            <v/>
          </cell>
          <cell r="O57" t="str">
            <v/>
          </cell>
          <cell r="P57" t="str">
            <v/>
          </cell>
          <cell r="Q57" t="str">
            <v/>
          </cell>
          <cell r="R57" t="str">
            <v/>
          </cell>
          <cell r="S57" t="str">
            <v/>
          </cell>
          <cell r="T57" t="str">
            <v/>
          </cell>
          <cell r="U57" t="str">
            <v/>
          </cell>
          <cell r="V57" t="str">
            <v/>
          </cell>
          <cell r="W57" t="str">
            <v/>
          </cell>
          <cell r="X57" t="str">
            <v/>
          </cell>
          <cell r="Y57" t="str">
            <v/>
          </cell>
          <cell r="Z57" t="str">
            <v/>
          </cell>
          <cell r="AA57" t="str">
            <v/>
          </cell>
          <cell r="AB57" t="str">
            <v/>
          </cell>
          <cell r="AC57" t="str">
            <v/>
          </cell>
          <cell r="AD57" t="str">
            <v/>
          </cell>
          <cell r="AF57" t="str">
            <v>DELIVERY GR 1:</v>
          </cell>
          <cell r="AG57">
            <v>46328</v>
          </cell>
        </row>
        <row r="58">
          <cell r="C58" t="str">
            <v/>
          </cell>
          <cell r="D58" t="str">
            <v/>
          </cell>
          <cell r="E58" t="str">
            <v/>
          </cell>
          <cell r="F58" t="str">
            <v/>
          </cell>
          <cell r="G58" t="str">
            <v/>
          </cell>
          <cell r="H58" t="str">
            <v/>
          </cell>
          <cell r="I58" t="str">
            <v/>
          </cell>
          <cell r="J58" t="str">
            <v/>
          </cell>
          <cell r="K58" t="str">
            <v/>
          </cell>
          <cell r="L58" t="str">
            <v/>
          </cell>
          <cell r="M58" t="str">
            <v/>
          </cell>
          <cell r="N58" t="str">
            <v/>
          </cell>
          <cell r="O58" t="str">
            <v/>
          </cell>
          <cell r="P58" t="str">
            <v/>
          </cell>
          <cell r="Q58" t="str">
            <v/>
          </cell>
          <cell r="R58" t="str">
            <v/>
          </cell>
          <cell r="S58" t="str">
            <v/>
          </cell>
          <cell r="T58" t="str">
            <v/>
          </cell>
          <cell r="U58" t="str">
            <v/>
          </cell>
          <cell r="V58" t="str">
            <v/>
          </cell>
          <cell r="W58" t="str">
            <v/>
          </cell>
          <cell r="X58" t="str">
            <v/>
          </cell>
          <cell r="Y58" t="str">
            <v/>
          </cell>
          <cell r="Z58" t="str">
            <v/>
          </cell>
          <cell r="AA58" t="str">
            <v/>
          </cell>
          <cell r="AB58" t="str">
            <v/>
          </cell>
          <cell r="AC58" t="str">
            <v/>
          </cell>
          <cell r="AD58" t="str">
            <v/>
          </cell>
          <cell r="AF58" t="str">
            <v>DELIVERY GR 2:</v>
          </cell>
          <cell r="AG58">
            <v>46331</v>
          </cell>
        </row>
        <row r="59">
          <cell r="C59" t="str">
            <v/>
          </cell>
          <cell r="D59" t="str">
            <v/>
          </cell>
          <cell r="E59" t="str">
            <v/>
          </cell>
          <cell r="F59" t="str">
            <v/>
          </cell>
          <cell r="G59" t="str">
            <v/>
          </cell>
          <cell r="H59" t="str">
            <v/>
          </cell>
          <cell r="I59" t="str">
            <v/>
          </cell>
          <cell r="J59" t="str">
            <v/>
          </cell>
          <cell r="K59" t="str">
            <v/>
          </cell>
          <cell r="L59" t="str">
            <v/>
          </cell>
          <cell r="M59" t="str">
            <v/>
          </cell>
          <cell r="N59" t="str">
            <v/>
          </cell>
          <cell r="O59" t="str">
            <v/>
          </cell>
          <cell r="P59" t="str">
            <v/>
          </cell>
          <cell r="Q59" t="str">
            <v/>
          </cell>
          <cell r="R59" t="str">
            <v/>
          </cell>
          <cell r="S59" t="str">
            <v/>
          </cell>
          <cell r="T59" t="str">
            <v/>
          </cell>
          <cell r="U59" t="str">
            <v/>
          </cell>
          <cell r="V59" t="str">
            <v/>
          </cell>
          <cell r="W59" t="str">
            <v/>
          </cell>
          <cell r="X59" t="str">
            <v/>
          </cell>
          <cell r="Y59" t="str">
            <v/>
          </cell>
          <cell r="Z59" t="str">
            <v/>
          </cell>
          <cell r="AA59" t="str">
            <v/>
          </cell>
          <cell r="AB59" t="str">
            <v/>
          </cell>
          <cell r="AC59" t="str">
            <v/>
          </cell>
          <cell r="AD59" t="str">
            <v/>
          </cell>
          <cell r="AF59" t="str">
            <v>DELIVERY GR 3:</v>
          </cell>
          <cell r="AG59">
            <v>46336</v>
          </cell>
        </row>
        <row r="60">
          <cell r="C60" t="str">
            <v/>
          </cell>
          <cell r="D60" t="str">
            <v/>
          </cell>
          <cell r="E60" t="str">
            <v/>
          </cell>
          <cell r="F60" t="str">
            <v/>
          </cell>
          <cell r="G60" t="str">
            <v/>
          </cell>
          <cell r="H60" t="str">
            <v/>
          </cell>
          <cell r="I60" t="str">
            <v/>
          </cell>
          <cell r="J60" t="str">
            <v/>
          </cell>
          <cell r="K60" t="str">
            <v/>
          </cell>
          <cell r="L60" t="str">
            <v/>
          </cell>
          <cell r="M60" t="str">
            <v/>
          </cell>
          <cell r="N60" t="str">
            <v/>
          </cell>
          <cell r="O60" t="str">
            <v/>
          </cell>
          <cell r="P60" t="str">
            <v/>
          </cell>
          <cell r="Q60" t="str">
            <v/>
          </cell>
          <cell r="R60" t="str">
            <v/>
          </cell>
          <cell r="S60" t="str">
            <v/>
          </cell>
          <cell r="T60" t="str">
            <v/>
          </cell>
          <cell r="U60" t="str">
            <v/>
          </cell>
          <cell r="V60" t="str">
            <v/>
          </cell>
          <cell r="W60" t="str">
            <v/>
          </cell>
          <cell r="X60" t="str">
            <v/>
          </cell>
          <cell r="Y60" t="str">
            <v/>
          </cell>
          <cell r="Z60" t="str">
            <v/>
          </cell>
          <cell r="AA60" t="str">
            <v/>
          </cell>
          <cell r="AB60" t="str">
            <v/>
          </cell>
          <cell r="AC60" t="str">
            <v/>
          </cell>
          <cell r="AD60" t="str">
            <v/>
          </cell>
          <cell r="AF60" t="str">
            <v>DELIVERY GR 4:</v>
          </cell>
          <cell r="AG60">
            <v>46339</v>
          </cell>
        </row>
        <row r="61">
          <cell r="C61" t="str">
            <v/>
          </cell>
          <cell r="D61" t="str">
            <v/>
          </cell>
          <cell r="E61" t="str">
            <v/>
          </cell>
          <cell r="F61" t="str">
            <v/>
          </cell>
          <cell r="G61" t="str">
            <v/>
          </cell>
          <cell r="H61" t="str">
            <v/>
          </cell>
          <cell r="I61" t="str">
            <v/>
          </cell>
          <cell r="J61" t="str">
            <v/>
          </cell>
          <cell r="K61" t="str">
            <v/>
          </cell>
          <cell r="L61" t="str">
            <v/>
          </cell>
          <cell r="M61" t="str">
            <v/>
          </cell>
          <cell r="N61" t="str">
            <v/>
          </cell>
          <cell r="O61" t="str">
            <v/>
          </cell>
          <cell r="P61" t="str">
            <v/>
          </cell>
          <cell r="Q61" t="str">
            <v/>
          </cell>
          <cell r="R61" t="str">
            <v/>
          </cell>
          <cell r="S61" t="str">
            <v/>
          </cell>
          <cell r="T61" t="str">
            <v/>
          </cell>
          <cell r="U61" t="str">
            <v/>
          </cell>
          <cell r="V61" t="str">
            <v/>
          </cell>
          <cell r="W61" t="str">
            <v/>
          </cell>
          <cell r="X61" t="str">
            <v/>
          </cell>
          <cell r="Y61" t="str">
            <v/>
          </cell>
          <cell r="Z61" t="str">
            <v/>
          </cell>
          <cell r="AA61" t="str">
            <v/>
          </cell>
          <cell r="AB61" t="str">
            <v/>
          </cell>
          <cell r="AC61" t="str">
            <v/>
          </cell>
          <cell r="AD61" t="str">
            <v/>
          </cell>
          <cell r="AF61" t="str">
            <v>DELIVERY GR 5:</v>
          </cell>
          <cell r="AG61">
            <v>46344</v>
          </cell>
        </row>
        <row r="62">
          <cell r="C62" t="str">
            <v/>
          </cell>
          <cell r="D62" t="str">
            <v/>
          </cell>
          <cell r="E62" t="str">
            <v/>
          </cell>
          <cell r="F62" t="str">
            <v/>
          </cell>
          <cell r="G62" t="str">
            <v/>
          </cell>
          <cell r="H62" t="str">
            <v/>
          </cell>
          <cell r="I62" t="str">
            <v/>
          </cell>
          <cell r="J62" t="str">
            <v/>
          </cell>
          <cell r="K62" t="str">
            <v/>
          </cell>
          <cell r="L62" t="str">
            <v/>
          </cell>
          <cell r="M62" t="str">
            <v/>
          </cell>
          <cell r="N62" t="str">
            <v/>
          </cell>
          <cell r="O62" t="str">
            <v/>
          </cell>
          <cell r="P62" t="str">
            <v/>
          </cell>
          <cell r="Q62" t="str">
            <v/>
          </cell>
          <cell r="R62" t="str">
            <v/>
          </cell>
          <cell r="S62" t="str">
            <v/>
          </cell>
          <cell r="T62" t="str">
            <v/>
          </cell>
          <cell r="U62" t="str">
            <v/>
          </cell>
          <cell r="V62" t="str">
            <v/>
          </cell>
          <cell r="W62" t="str">
            <v/>
          </cell>
          <cell r="X62" t="str">
            <v/>
          </cell>
          <cell r="Y62" t="str">
            <v/>
          </cell>
          <cell r="Z62" t="str">
            <v/>
          </cell>
          <cell r="AA62" t="str">
            <v/>
          </cell>
          <cell r="AB62" t="str">
            <v/>
          </cell>
          <cell r="AC62" t="str">
            <v/>
          </cell>
          <cell r="AD62" t="str">
            <v/>
          </cell>
          <cell r="AF62" t="str">
            <v>DELIVERY GR 6:</v>
          </cell>
          <cell r="AG62">
            <v>46349</v>
          </cell>
        </row>
        <row r="63">
          <cell r="C63">
            <v>3001</v>
          </cell>
          <cell r="D63">
            <v>3002</v>
          </cell>
          <cell r="E63">
            <v>3003</v>
          </cell>
          <cell r="F63">
            <v>3004</v>
          </cell>
          <cell r="G63">
            <v>3005</v>
          </cell>
          <cell r="H63">
            <v>3006</v>
          </cell>
          <cell r="I63">
            <v>3007</v>
          </cell>
          <cell r="J63">
            <v>3008</v>
          </cell>
          <cell r="K63">
            <v>3009</v>
          </cell>
          <cell r="L63">
            <v>3010</v>
          </cell>
          <cell r="M63">
            <v>3011</v>
          </cell>
          <cell r="N63">
            <v>3012</v>
          </cell>
          <cell r="O63">
            <v>3013</v>
          </cell>
          <cell r="P63">
            <v>3014</v>
          </cell>
          <cell r="Q63">
            <v>3015</v>
          </cell>
          <cell r="R63">
            <v>3016</v>
          </cell>
          <cell r="S63">
            <v>3017</v>
          </cell>
          <cell r="T63">
            <v>3018</v>
          </cell>
          <cell r="U63">
            <v>3019</v>
          </cell>
          <cell r="V63">
            <v>3020</v>
          </cell>
          <cell r="W63">
            <v>3021</v>
          </cell>
          <cell r="X63">
            <v>3022</v>
          </cell>
          <cell r="Y63">
            <v>3023</v>
          </cell>
          <cell r="Z63">
            <v>3024</v>
          </cell>
          <cell r="AA63">
            <v>3025</v>
          </cell>
          <cell r="AB63">
            <v>3026</v>
          </cell>
          <cell r="AC63">
            <v>3027</v>
          </cell>
          <cell r="AD63">
            <v>3028</v>
          </cell>
          <cell r="AF63" t="str">
            <v>3th FLOOR</v>
          </cell>
        </row>
        <row r="64">
          <cell r="C64" t="str">
            <v/>
          </cell>
          <cell r="D64" t="str">
            <v/>
          </cell>
          <cell r="E64" t="str">
            <v/>
          </cell>
          <cell r="F64" t="str">
            <v/>
          </cell>
          <cell r="G64" t="str">
            <v>UTILITY ROOM</v>
          </cell>
          <cell r="H64" t="str">
            <v/>
          </cell>
          <cell r="I64" t="str">
            <v/>
          </cell>
          <cell r="J64" t="str">
            <v/>
          </cell>
          <cell r="K64" t="str">
            <v/>
          </cell>
          <cell r="L64" t="str">
            <v/>
          </cell>
          <cell r="M64" t="str">
            <v/>
          </cell>
          <cell r="N64" t="str">
            <v/>
          </cell>
          <cell r="O64" t="str">
            <v/>
          </cell>
          <cell r="P64" t="str">
            <v/>
          </cell>
          <cell r="Q64" t="str">
            <v/>
          </cell>
          <cell r="R64" t="str">
            <v/>
          </cell>
          <cell r="S64" t="str">
            <v>FOYER</v>
          </cell>
          <cell r="T64" t="str">
            <v/>
          </cell>
          <cell r="U64" t="str">
            <v/>
          </cell>
          <cell r="V64" t="str">
            <v>FOYER</v>
          </cell>
          <cell r="W64" t="str">
            <v/>
          </cell>
          <cell r="X64" t="str">
            <v/>
          </cell>
          <cell r="Y64" t="str">
            <v/>
          </cell>
          <cell r="Z64" t="str">
            <v/>
          </cell>
          <cell r="AA64" t="str">
            <v>BEV CENTER</v>
          </cell>
          <cell r="AB64" t="str">
            <v/>
          </cell>
          <cell r="AC64" t="str">
            <v>FOYER</v>
          </cell>
          <cell r="AD64" t="str">
            <v/>
          </cell>
          <cell r="AF64" t="str">
            <v>SCOPE OF WORK:</v>
          </cell>
        </row>
        <row r="65">
          <cell r="C65" t="str">
            <v/>
          </cell>
          <cell r="D65" t="str">
            <v/>
          </cell>
          <cell r="E65" t="str">
            <v/>
          </cell>
          <cell r="F65" t="str">
            <v/>
          </cell>
          <cell r="G65" t="str">
            <v>KITCHEN</v>
          </cell>
          <cell r="H65" t="str">
            <v/>
          </cell>
          <cell r="I65" t="str">
            <v/>
          </cell>
          <cell r="J65" t="str">
            <v/>
          </cell>
          <cell r="K65" t="str">
            <v/>
          </cell>
          <cell r="L65" t="str">
            <v/>
          </cell>
          <cell r="M65" t="str">
            <v/>
          </cell>
          <cell r="N65" t="str">
            <v/>
          </cell>
          <cell r="O65" t="str">
            <v/>
          </cell>
          <cell r="P65" t="str">
            <v/>
          </cell>
          <cell r="Q65" t="str">
            <v/>
          </cell>
          <cell r="R65" t="str">
            <v/>
          </cell>
          <cell r="S65" t="str">
            <v>UTILITY ROOM</v>
          </cell>
          <cell r="T65" t="str">
            <v/>
          </cell>
          <cell r="U65" t="str">
            <v/>
          </cell>
          <cell r="V65" t="str">
            <v>UTILITY ROOM</v>
          </cell>
          <cell r="W65" t="str">
            <v/>
          </cell>
          <cell r="X65" t="str">
            <v/>
          </cell>
          <cell r="Y65" t="str">
            <v/>
          </cell>
          <cell r="Z65" t="str">
            <v/>
          </cell>
          <cell r="AA65" t="str">
            <v>KITCHEN</v>
          </cell>
          <cell r="AB65" t="str">
            <v/>
          </cell>
          <cell r="AC65" t="str">
            <v>UTILITY ROOM</v>
          </cell>
          <cell r="AD65" t="str">
            <v/>
          </cell>
          <cell r="AF65" t="str">
            <v>SCOPE OF WORK:</v>
          </cell>
          <cell r="AG65" t="str">
            <v>21 AREAS TO DELIVER</v>
          </cell>
        </row>
        <row r="66">
          <cell r="C66" t="str">
            <v/>
          </cell>
          <cell r="D66" t="str">
            <v/>
          </cell>
          <cell r="E66" t="str">
            <v/>
          </cell>
          <cell r="F66" t="str">
            <v/>
          </cell>
          <cell r="G66" t="str">
            <v>DINING</v>
          </cell>
          <cell r="H66" t="str">
            <v/>
          </cell>
          <cell r="I66" t="str">
            <v/>
          </cell>
          <cell r="J66" t="str">
            <v/>
          </cell>
          <cell r="K66" t="str">
            <v/>
          </cell>
          <cell r="L66" t="str">
            <v/>
          </cell>
          <cell r="M66" t="str">
            <v/>
          </cell>
          <cell r="N66" t="str">
            <v/>
          </cell>
          <cell r="O66" t="str">
            <v/>
          </cell>
          <cell r="P66" t="str">
            <v/>
          </cell>
          <cell r="Q66" t="str">
            <v/>
          </cell>
          <cell r="R66" t="str">
            <v/>
          </cell>
          <cell r="S66" t="str">
            <v>KITCHEN</v>
          </cell>
          <cell r="T66" t="str">
            <v/>
          </cell>
          <cell r="U66" t="str">
            <v/>
          </cell>
          <cell r="V66" t="str">
            <v>KITCHEN</v>
          </cell>
          <cell r="W66" t="str">
            <v/>
          </cell>
          <cell r="X66" t="str">
            <v/>
          </cell>
          <cell r="Y66" t="str">
            <v/>
          </cell>
          <cell r="Z66" t="str">
            <v/>
          </cell>
          <cell r="AA66" t="str">
            <v/>
          </cell>
          <cell r="AB66" t="str">
            <v/>
          </cell>
          <cell r="AC66" t="str">
            <v>KITCHEN</v>
          </cell>
          <cell r="AD66" t="str">
            <v/>
          </cell>
          <cell r="AF66" t="str">
            <v>UNITS IN SCOPE:</v>
          </cell>
          <cell r="AG66" t="str">
            <v>5 UNITS (1 COMBO)</v>
          </cell>
        </row>
        <row r="67">
          <cell r="C67" t="str">
            <v/>
          </cell>
          <cell r="D67" t="str">
            <v/>
          </cell>
          <cell r="E67" t="str">
            <v/>
          </cell>
          <cell r="F67" t="str">
            <v/>
          </cell>
          <cell r="G67" t="str">
            <v>PRIM BATH</v>
          </cell>
          <cell r="H67" t="str">
            <v/>
          </cell>
          <cell r="I67" t="str">
            <v/>
          </cell>
          <cell r="J67" t="str">
            <v/>
          </cell>
          <cell r="K67" t="str">
            <v/>
          </cell>
          <cell r="L67" t="str">
            <v/>
          </cell>
          <cell r="M67" t="str">
            <v/>
          </cell>
          <cell r="N67" t="str">
            <v/>
          </cell>
          <cell r="O67" t="str">
            <v/>
          </cell>
          <cell r="P67" t="str">
            <v/>
          </cell>
          <cell r="Q67" t="str">
            <v/>
          </cell>
          <cell r="R67" t="str">
            <v/>
          </cell>
          <cell r="S67" t="str">
            <v>PRIM BATH</v>
          </cell>
          <cell r="T67" t="str">
            <v/>
          </cell>
          <cell r="U67" t="str">
            <v/>
          </cell>
          <cell r="V67" t="str">
            <v>PRIM BATH</v>
          </cell>
          <cell r="W67" t="str">
            <v/>
          </cell>
          <cell r="X67" t="str">
            <v/>
          </cell>
          <cell r="Y67" t="str">
            <v/>
          </cell>
          <cell r="Z67" t="str">
            <v/>
          </cell>
          <cell r="AA67" t="str">
            <v/>
          </cell>
          <cell r="AB67" t="str">
            <v/>
          </cell>
          <cell r="AC67" t="str">
            <v>PRIM BATH</v>
          </cell>
          <cell r="AD67" t="str">
            <v/>
          </cell>
          <cell r="AF67" t="str">
            <v>DELIVERY SCHEDULE</v>
          </cell>
        </row>
        <row r="68">
          <cell r="C68" t="str">
            <v/>
          </cell>
          <cell r="D68" t="str">
            <v/>
          </cell>
          <cell r="E68" t="str">
            <v/>
          </cell>
          <cell r="F68" t="str">
            <v/>
          </cell>
          <cell r="G68" t="str">
            <v>BATH 2</v>
          </cell>
          <cell r="H68" t="str">
            <v/>
          </cell>
          <cell r="I68" t="str">
            <v/>
          </cell>
          <cell r="J68" t="str">
            <v/>
          </cell>
          <cell r="K68" t="str">
            <v/>
          </cell>
          <cell r="L68" t="str">
            <v/>
          </cell>
          <cell r="M68" t="str">
            <v/>
          </cell>
          <cell r="N68" t="str">
            <v/>
          </cell>
          <cell r="O68" t="str">
            <v/>
          </cell>
          <cell r="P68" t="str">
            <v/>
          </cell>
          <cell r="Q68" t="str">
            <v/>
          </cell>
          <cell r="R68" t="str">
            <v/>
          </cell>
          <cell r="S68" t="str">
            <v/>
          </cell>
          <cell r="T68" t="str">
            <v/>
          </cell>
          <cell r="U68" t="str">
            <v/>
          </cell>
          <cell r="V68" t="str">
            <v/>
          </cell>
          <cell r="W68" t="str">
            <v/>
          </cell>
          <cell r="X68" t="str">
            <v/>
          </cell>
          <cell r="Y68" t="str">
            <v/>
          </cell>
          <cell r="Z68" t="str">
            <v/>
          </cell>
          <cell r="AA68" t="str">
            <v/>
          </cell>
          <cell r="AB68" t="str">
            <v/>
          </cell>
          <cell r="AC68" t="str">
            <v>BATH 2</v>
          </cell>
          <cell r="AD68" t="str">
            <v/>
          </cell>
          <cell r="AF68" t="str">
            <v>DELIVERY GR 1:</v>
          </cell>
          <cell r="AG68">
            <v>46304</v>
          </cell>
        </row>
        <row r="69">
          <cell r="C69" t="str">
            <v/>
          </cell>
          <cell r="D69" t="str">
            <v/>
          </cell>
          <cell r="E69" t="str">
            <v/>
          </cell>
          <cell r="F69" t="str">
            <v/>
          </cell>
          <cell r="G69" t="str">
            <v>BATH 3</v>
          </cell>
          <cell r="H69" t="str">
            <v/>
          </cell>
          <cell r="I69" t="str">
            <v/>
          </cell>
          <cell r="J69" t="str">
            <v/>
          </cell>
          <cell r="K69" t="str">
            <v/>
          </cell>
          <cell r="L69" t="str">
            <v/>
          </cell>
          <cell r="M69" t="str">
            <v/>
          </cell>
          <cell r="N69" t="str">
            <v/>
          </cell>
          <cell r="O69" t="str">
            <v/>
          </cell>
          <cell r="P69" t="str">
            <v/>
          </cell>
          <cell r="Q69" t="str">
            <v/>
          </cell>
          <cell r="R69" t="str">
            <v/>
          </cell>
          <cell r="S69" t="str">
            <v/>
          </cell>
          <cell r="T69" t="str">
            <v/>
          </cell>
          <cell r="U69" t="str">
            <v/>
          </cell>
          <cell r="V69" t="str">
            <v/>
          </cell>
          <cell r="W69" t="str">
            <v/>
          </cell>
          <cell r="X69" t="str">
            <v/>
          </cell>
          <cell r="Y69" t="str">
            <v/>
          </cell>
          <cell r="Z69" t="str">
            <v/>
          </cell>
          <cell r="AA69" t="str">
            <v/>
          </cell>
          <cell r="AB69" t="str">
            <v/>
          </cell>
          <cell r="AC69" t="str">
            <v/>
          </cell>
          <cell r="AD69" t="str">
            <v/>
          </cell>
          <cell r="AF69" t="str">
            <v>DELIVERY GR 2:</v>
          </cell>
          <cell r="AG69">
            <v>46309</v>
          </cell>
        </row>
        <row r="70">
          <cell r="C70" t="str">
            <v/>
          </cell>
          <cell r="D70" t="str">
            <v/>
          </cell>
          <cell r="E70" t="str">
            <v/>
          </cell>
          <cell r="F70" t="str">
            <v/>
          </cell>
          <cell r="G70" t="str">
            <v/>
          </cell>
          <cell r="H70" t="str">
            <v/>
          </cell>
          <cell r="I70" t="str">
            <v/>
          </cell>
          <cell r="J70" t="str">
            <v/>
          </cell>
          <cell r="K70" t="str">
            <v/>
          </cell>
          <cell r="L70" t="str">
            <v/>
          </cell>
          <cell r="M70" t="str">
            <v/>
          </cell>
          <cell r="N70" t="str">
            <v/>
          </cell>
          <cell r="O70" t="str">
            <v/>
          </cell>
          <cell r="P70" t="str">
            <v/>
          </cell>
          <cell r="Q70" t="str">
            <v/>
          </cell>
          <cell r="R70" t="str">
            <v/>
          </cell>
          <cell r="S70" t="str">
            <v/>
          </cell>
          <cell r="T70" t="str">
            <v/>
          </cell>
          <cell r="U70" t="str">
            <v/>
          </cell>
          <cell r="V70" t="str">
            <v/>
          </cell>
          <cell r="W70" t="str">
            <v/>
          </cell>
          <cell r="X70" t="str">
            <v/>
          </cell>
          <cell r="Y70" t="str">
            <v/>
          </cell>
          <cell r="Z70" t="str">
            <v/>
          </cell>
          <cell r="AA70" t="str">
            <v/>
          </cell>
          <cell r="AB70" t="str">
            <v/>
          </cell>
          <cell r="AC70" t="str">
            <v/>
          </cell>
          <cell r="AD70" t="str">
            <v/>
          </cell>
          <cell r="AF70" t="str">
            <v>DELIVERY GR 3:</v>
          </cell>
          <cell r="AG70">
            <v>46314</v>
          </cell>
        </row>
        <row r="71">
          <cell r="C71" t="str">
            <v/>
          </cell>
          <cell r="D71" t="str">
            <v/>
          </cell>
          <cell r="E71" t="str">
            <v/>
          </cell>
          <cell r="F71" t="str">
            <v/>
          </cell>
          <cell r="G71" t="str">
            <v/>
          </cell>
          <cell r="H71" t="str">
            <v/>
          </cell>
          <cell r="I71" t="str">
            <v/>
          </cell>
          <cell r="J71" t="str">
            <v/>
          </cell>
          <cell r="K71" t="str">
            <v/>
          </cell>
          <cell r="L71" t="str">
            <v/>
          </cell>
          <cell r="M71" t="str">
            <v/>
          </cell>
          <cell r="N71" t="str">
            <v/>
          </cell>
          <cell r="O71" t="str">
            <v/>
          </cell>
          <cell r="P71" t="str">
            <v/>
          </cell>
          <cell r="Q71" t="str">
            <v/>
          </cell>
          <cell r="R71" t="str">
            <v/>
          </cell>
          <cell r="S71" t="str">
            <v/>
          </cell>
          <cell r="T71" t="str">
            <v/>
          </cell>
          <cell r="U71" t="str">
            <v/>
          </cell>
          <cell r="V71" t="str">
            <v/>
          </cell>
          <cell r="W71" t="str">
            <v/>
          </cell>
          <cell r="X71" t="str">
            <v/>
          </cell>
          <cell r="Y71" t="str">
            <v/>
          </cell>
          <cell r="Z71" t="str">
            <v/>
          </cell>
          <cell r="AA71" t="str">
            <v/>
          </cell>
          <cell r="AB71" t="str">
            <v/>
          </cell>
          <cell r="AC71" t="str">
            <v/>
          </cell>
          <cell r="AD71" t="str">
            <v/>
          </cell>
          <cell r="AF71" t="str">
            <v>DELIVERY GR 4:</v>
          </cell>
          <cell r="AG71">
            <v>46317</v>
          </cell>
        </row>
        <row r="72">
          <cell r="C72" t="str">
            <v/>
          </cell>
          <cell r="D72" t="str">
            <v/>
          </cell>
          <cell r="E72" t="str">
            <v/>
          </cell>
          <cell r="F72" t="str">
            <v/>
          </cell>
          <cell r="G72" t="str">
            <v/>
          </cell>
          <cell r="H72" t="str">
            <v/>
          </cell>
          <cell r="I72" t="str">
            <v/>
          </cell>
          <cell r="J72" t="str">
            <v/>
          </cell>
          <cell r="K72" t="str">
            <v/>
          </cell>
          <cell r="L72" t="str">
            <v/>
          </cell>
          <cell r="M72" t="str">
            <v/>
          </cell>
          <cell r="N72" t="str">
            <v/>
          </cell>
          <cell r="O72" t="str">
            <v/>
          </cell>
          <cell r="P72" t="str">
            <v/>
          </cell>
          <cell r="Q72" t="str">
            <v/>
          </cell>
          <cell r="R72" t="str">
            <v/>
          </cell>
          <cell r="S72" t="str">
            <v/>
          </cell>
          <cell r="T72" t="str">
            <v/>
          </cell>
          <cell r="U72" t="str">
            <v/>
          </cell>
          <cell r="V72" t="str">
            <v/>
          </cell>
          <cell r="W72" t="str">
            <v/>
          </cell>
          <cell r="X72" t="str">
            <v/>
          </cell>
          <cell r="Y72" t="str">
            <v/>
          </cell>
          <cell r="Z72" t="str">
            <v/>
          </cell>
          <cell r="AA72" t="str">
            <v/>
          </cell>
          <cell r="AB72" t="str">
            <v/>
          </cell>
          <cell r="AC72" t="str">
            <v/>
          </cell>
          <cell r="AD72" t="str">
            <v/>
          </cell>
          <cell r="AF72" t="str">
            <v>DELIVERY GR 5:</v>
          </cell>
          <cell r="AG72">
            <v>46322</v>
          </cell>
        </row>
        <row r="73">
          <cell r="C73" t="str">
            <v/>
          </cell>
          <cell r="D73" t="str">
            <v/>
          </cell>
          <cell r="E73" t="str">
            <v/>
          </cell>
          <cell r="F73" t="str">
            <v/>
          </cell>
          <cell r="G73" t="str">
            <v/>
          </cell>
          <cell r="H73" t="str">
            <v/>
          </cell>
          <cell r="I73" t="str">
            <v/>
          </cell>
          <cell r="J73" t="str">
            <v/>
          </cell>
          <cell r="K73" t="str">
            <v/>
          </cell>
          <cell r="L73" t="str">
            <v/>
          </cell>
          <cell r="M73" t="str">
            <v/>
          </cell>
          <cell r="N73" t="str">
            <v/>
          </cell>
          <cell r="O73" t="str">
            <v/>
          </cell>
          <cell r="P73" t="str">
            <v/>
          </cell>
          <cell r="Q73" t="str">
            <v/>
          </cell>
          <cell r="R73" t="str">
            <v/>
          </cell>
          <cell r="S73" t="str">
            <v/>
          </cell>
          <cell r="T73" t="str">
            <v/>
          </cell>
          <cell r="U73" t="str">
            <v/>
          </cell>
          <cell r="V73" t="str">
            <v/>
          </cell>
          <cell r="W73" t="str">
            <v/>
          </cell>
          <cell r="X73" t="str">
            <v/>
          </cell>
          <cell r="Y73" t="str">
            <v/>
          </cell>
          <cell r="Z73" t="str">
            <v/>
          </cell>
          <cell r="AA73" t="str">
            <v/>
          </cell>
          <cell r="AB73" t="str">
            <v/>
          </cell>
          <cell r="AC73" t="str">
            <v/>
          </cell>
          <cell r="AD73" t="str">
            <v/>
          </cell>
          <cell r="AF73" t="str">
            <v>DELIVERY GR 6:</v>
          </cell>
          <cell r="AG73">
            <v>46325</v>
          </cell>
        </row>
        <row r="74">
          <cell r="C74">
            <v>2001</v>
          </cell>
          <cell r="D74">
            <v>2002</v>
          </cell>
          <cell r="E74">
            <v>2003</v>
          </cell>
          <cell r="F74">
            <v>2004</v>
          </cell>
          <cell r="G74">
            <v>2005</v>
          </cell>
          <cell r="H74">
            <v>2006</v>
          </cell>
          <cell r="I74">
            <v>2007</v>
          </cell>
          <cell r="J74">
            <v>2008</v>
          </cell>
          <cell r="K74">
            <v>2009</v>
          </cell>
          <cell r="L74">
            <v>2010</v>
          </cell>
          <cell r="M74">
            <v>2011</v>
          </cell>
          <cell r="N74">
            <v>2012</v>
          </cell>
          <cell r="O74">
            <v>2013</v>
          </cell>
          <cell r="P74">
            <v>2014</v>
          </cell>
          <cell r="Q74">
            <v>2015</v>
          </cell>
          <cell r="R74">
            <v>2016</v>
          </cell>
          <cell r="S74">
            <v>2017</v>
          </cell>
          <cell r="T74">
            <v>2018</v>
          </cell>
          <cell r="U74">
            <v>2019</v>
          </cell>
          <cell r="V74">
            <v>2020</v>
          </cell>
          <cell r="W74">
            <v>2021</v>
          </cell>
          <cell r="X74">
            <v>2022</v>
          </cell>
          <cell r="Y74">
            <v>2023</v>
          </cell>
          <cell r="Z74">
            <v>2024</v>
          </cell>
          <cell r="AA74">
            <v>2025</v>
          </cell>
          <cell r="AB74">
            <v>2026</v>
          </cell>
          <cell r="AC74">
            <v>2027</v>
          </cell>
          <cell r="AD74">
            <v>2028</v>
          </cell>
          <cell r="AF74" t="str">
            <v>2th FLOOR</v>
          </cell>
        </row>
        <row r="75">
          <cell r="C75" t="str">
            <v/>
          </cell>
          <cell r="D75" t="str">
            <v/>
          </cell>
          <cell r="E75" t="str">
            <v/>
          </cell>
          <cell r="F75" t="str">
            <v/>
          </cell>
          <cell r="G75" t="str">
            <v/>
          </cell>
          <cell r="H75" t="str">
            <v>BEV CENTER</v>
          </cell>
          <cell r="I75" t="str">
            <v>FOYER</v>
          </cell>
          <cell r="J75" t="str">
            <v/>
          </cell>
          <cell r="K75" t="str">
            <v/>
          </cell>
          <cell r="L75" t="str">
            <v/>
          </cell>
          <cell r="M75" t="str">
            <v/>
          </cell>
          <cell r="N75" t="str">
            <v/>
          </cell>
          <cell r="O75" t="str">
            <v/>
          </cell>
          <cell r="P75" t="str">
            <v/>
          </cell>
          <cell r="Q75" t="str">
            <v>FOYER</v>
          </cell>
          <cell r="R75" t="str">
            <v/>
          </cell>
          <cell r="S75" t="str">
            <v/>
          </cell>
          <cell r="T75" t="str">
            <v/>
          </cell>
          <cell r="U75" t="str">
            <v/>
          </cell>
          <cell r="V75" t="str">
            <v/>
          </cell>
          <cell r="W75" t="str">
            <v/>
          </cell>
          <cell r="X75" t="str">
            <v/>
          </cell>
          <cell r="Y75" t="str">
            <v>FOYER</v>
          </cell>
          <cell r="Z75" t="str">
            <v/>
          </cell>
          <cell r="AA75" t="str">
            <v/>
          </cell>
          <cell r="AB75" t="str">
            <v/>
          </cell>
          <cell r="AC75" t="str">
            <v/>
          </cell>
          <cell r="AD75" t="str">
            <v/>
          </cell>
          <cell r="AF75" t="str">
            <v>SCOPE OF WORK:</v>
          </cell>
        </row>
        <row r="76">
          <cell r="C76" t="str">
            <v/>
          </cell>
          <cell r="D76" t="str">
            <v/>
          </cell>
          <cell r="E76" t="str">
            <v/>
          </cell>
          <cell r="F76" t="str">
            <v/>
          </cell>
          <cell r="G76" t="str">
            <v/>
          </cell>
          <cell r="H76" t="str">
            <v>LAUNDRY CLOSET</v>
          </cell>
          <cell r="I76" t="str">
            <v>UTILITY ROOM</v>
          </cell>
          <cell r="J76" t="str">
            <v/>
          </cell>
          <cell r="K76" t="str">
            <v/>
          </cell>
          <cell r="L76" t="str">
            <v/>
          </cell>
          <cell r="M76" t="str">
            <v/>
          </cell>
          <cell r="N76" t="str">
            <v/>
          </cell>
          <cell r="O76" t="str">
            <v/>
          </cell>
          <cell r="P76" t="str">
            <v/>
          </cell>
          <cell r="Q76" t="str">
            <v>HALL</v>
          </cell>
          <cell r="R76" t="str">
            <v/>
          </cell>
          <cell r="S76" t="str">
            <v/>
          </cell>
          <cell r="T76" t="str">
            <v/>
          </cell>
          <cell r="U76" t="str">
            <v/>
          </cell>
          <cell r="V76" t="str">
            <v/>
          </cell>
          <cell r="W76" t="str">
            <v/>
          </cell>
          <cell r="X76" t="str">
            <v/>
          </cell>
          <cell r="Y76" t="str">
            <v>HALL</v>
          </cell>
          <cell r="Z76" t="str">
            <v/>
          </cell>
          <cell r="AA76" t="str">
            <v/>
          </cell>
          <cell r="AB76" t="str">
            <v/>
          </cell>
          <cell r="AC76" t="str">
            <v/>
          </cell>
          <cell r="AD76" t="str">
            <v/>
          </cell>
          <cell r="AF76" t="str">
            <v>SCOPE OF WORK:</v>
          </cell>
          <cell r="AG76" t="str">
            <v>19 AREAS TO DELIVER</v>
          </cell>
        </row>
        <row r="77">
          <cell r="C77" t="str">
            <v/>
          </cell>
          <cell r="D77" t="str">
            <v/>
          </cell>
          <cell r="E77" t="str">
            <v/>
          </cell>
          <cell r="F77" t="str">
            <v/>
          </cell>
          <cell r="G77" t="str">
            <v/>
          </cell>
          <cell r="H77" t="str">
            <v/>
          </cell>
          <cell r="I77" t="str">
            <v>KITCHEN</v>
          </cell>
          <cell r="J77" t="str">
            <v/>
          </cell>
          <cell r="K77" t="str">
            <v/>
          </cell>
          <cell r="L77" t="str">
            <v/>
          </cell>
          <cell r="M77" t="str">
            <v/>
          </cell>
          <cell r="N77" t="str">
            <v/>
          </cell>
          <cell r="O77" t="str">
            <v/>
          </cell>
          <cell r="P77" t="str">
            <v/>
          </cell>
          <cell r="Q77" t="str">
            <v>UTILITY ROOM</v>
          </cell>
          <cell r="R77" t="str">
            <v/>
          </cell>
          <cell r="S77" t="str">
            <v/>
          </cell>
          <cell r="T77" t="str">
            <v/>
          </cell>
          <cell r="U77" t="str">
            <v/>
          </cell>
          <cell r="V77" t="str">
            <v/>
          </cell>
          <cell r="W77" t="str">
            <v/>
          </cell>
          <cell r="X77" t="str">
            <v/>
          </cell>
          <cell r="Y77" t="str">
            <v>UTILITY ROOM</v>
          </cell>
          <cell r="Z77" t="str">
            <v/>
          </cell>
          <cell r="AA77" t="str">
            <v/>
          </cell>
          <cell r="AB77" t="str">
            <v/>
          </cell>
          <cell r="AC77" t="str">
            <v/>
          </cell>
          <cell r="AD77" t="str">
            <v/>
          </cell>
          <cell r="AF77" t="str">
            <v>UNITS IN SCOPE:</v>
          </cell>
          <cell r="AG77" t="str">
            <v>4 UNITS (0 COMBO)</v>
          </cell>
        </row>
        <row r="78">
          <cell r="C78" t="str">
            <v/>
          </cell>
          <cell r="D78" t="str">
            <v/>
          </cell>
          <cell r="E78" t="str">
            <v/>
          </cell>
          <cell r="F78" t="str">
            <v/>
          </cell>
          <cell r="G78" t="str">
            <v/>
          </cell>
          <cell r="H78" t="str">
            <v/>
          </cell>
          <cell r="I78" t="str">
            <v>PRIM BATH</v>
          </cell>
          <cell r="J78" t="str">
            <v/>
          </cell>
          <cell r="K78" t="str">
            <v/>
          </cell>
          <cell r="L78" t="str">
            <v/>
          </cell>
          <cell r="M78" t="str">
            <v/>
          </cell>
          <cell r="N78" t="str">
            <v/>
          </cell>
          <cell r="O78" t="str">
            <v/>
          </cell>
          <cell r="P78" t="str">
            <v/>
          </cell>
          <cell r="Q78" t="str">
            <v>KITCHEN</v>
          </cell>
          <cell r="R78" t="str">
            <v/>
          </cell>
          <cell r="S78" t="str">
            <v/>
          </cell>
          <cell r="T78" t="str">
            <v/>
          </cell>
          <cell r="U78" t="str">
            <v/>
          </cell>
          <cell r="V78" t="str">
            <v/>
          </cell>
          <cell r="W78" t="str">
            <v/>
          </cell>
          <cell r="X78" t="str">
            <v/>
          </cell>
          <cell r="Y78" t="str">
            <v>KITCHEN</v>
          </cell>
          <cell r="Z78" t="str">
            <v/>
          </cell>
          <cell r="AA78" t="str">
            <v/>
          </cell>
          <cell r="AB78" t="str">
            <v/>
          </cell>
          <cell r="AC78" t="str">
            <v/>
          </cell>
          <cell r="AD78" t="str">
            <v/>
          </cell>
          <cell r="AF78" t="str">
            <v>DELIVERY SCHEDULE</v>
          </cell>
        </row>
        <row r="79">
          <cell r="C79" t="str">
            <v/>
          </cell>
          <cell r="D79" t="str">
            <v/>
          </cell>
          <cell r="E79" t="str">
            <v/>
          </cell>
          <cell r="F79" t="str">
            <v/>
          </cell>
          <cell r="G79" t="str">
            <v/>
          </cell>
          <cell r="H79" t="str">
            <v/>
          </cell>
          <cell r="I79" t="str">
            <v/>
          </cell>
          <cell r="J79" t="str">
            <v/>
          </cell>
          <cell r="K79" t="str">
            <v/>
          </cell>
          <cell r="L79" t="str">
            <v/>
          </cell>
          <cell r="M79" t="str">
            <v/>
          </cell>
          <cell r="N79" t="str">
            <v/>
          </cell>
          <cell r="O79" t="str">
            <v/>
          </cell>
          <cell r="P79" t="str">
            <v/>
          </cell>
          <cell r="Q79" t="str">
            <v>PRIM BATH</v>
          </cell>
          <cell r="R79" t="str">
            <v/>
          </cell>
          <cell r="S79" t="str">
            <v/>
          </cell>
          <cell r="T79" t="str">
            <v/>
          </cell>
          <cell r="U79" t="str">
            <v/>
          </cell>
          <cell r="V79" t="str">
            <v/>
          </cell>
          <cell r="W79" t="str">
            <v/>
          </cell>
          <cell r="X79" t="str">
            <v/>
          </cell>
          <cell r="Y79" t="str">
            <v>PRIM BATH</v>
          </cell>
          <cell r="Z79" t="str">
            <v/>
          </cell>
          <cell r="AA79" t="str">
            <v/>
          </cell>
          <cell r="AB79" t="str">
            <v/>
          </cell>
          <cell r="AC79" t="str">
            <v/>
          </cell>
          <cell r="AD79" t="str">
            <v/>
          </cell>
          <cell r="AF79" t="str">
            <v>DELIVERY GR 1:</v>
          </cell>
          <cell r="AG79">
            <v>46281</v>
          </cell>
        </row>
        <row r="80">
          <cell r="C80" t="str">
            <v/>
          </cell>
          <cell r="D80" t="str">
            <v/>
          </cell>
          <cell r="E80" t="str">
            <v/>
          </cell>
          <cell r="F80" t="str">
            <v/>
          </cell>
          <cell r="G80" t="str">
            <v/>
          </cell>
          <cell r="H80" t="str">
            <v/>
          </cell>
          <cell r="I80" t="str">
            <v/>
          </cell>
          <cell r="J80" t="str">
            <v/>
          </cell>
          <cell r="K80" t="str">
            <v/>
          </cell>
          <cell r="L80" t="str">
            <v/>
          </cell>
          <cell r="M80" t="str">
            <v/>
          </cell>
          <cell r="N80" t="str">
            <v/>
          </cell>
          <cell r="O80" t="str">
            <v/>
          </cell>
          <cell r="P80" t="str">
            <v/>
          </cell>
          <cell r="Q80" t="str">
            <v>BATH 2</v>
          </cell>
          <cell r="R80" t="str">
            <v/>
          </cell>
          <cell r="S80" t="str">
            <v/>
          </cell>
          <cell r="T80" t="str">
            <v/>
          </cell>
          <cell r="U80" t="str">
            <v/>
          </cell>
          <cell r="V80" t="str">
            <v/>
          </cell>
          <cell r="W80" t="str">
            <v/>
          </cell>
          <cell r="X80" t="str">
            <v/>
          </cell>
          <cell r="Y80" t="str">
            <v>BATH 2</v>
          </cell>
          <cell r="Z80" t="str">
            <v/>
          </cell>
          <cell r="AA80" t="str">
            <v/>
          </cell>
          <cell r="AB80" t="str">
            <v/>
          </cell>
          <cell r="AC80" t="str">
            <v/>
          </cell>
          <cell r="AD80" t="str">
            <v/>
          </cell>
          <cell r="AF80" t="str">
            <v>DELIVERY GR 2:</v>
          </cell>
          <cell r="AG80">
            <v>46286</v>
          </cell>
        </row>
        <row r="81">
          <cell r="C81" t="str">
            <v/>
          </cell>
          <cell r="D81" t="str">
            <v/>
          </cell>
          <cell r="E81" t="str">
            <v/>
          </cell>
          <cell r="F81" t="str">
            <v/>
          </cell>
          <cell r="G81" t="str">
            <v/>
          </cell>
          <cell r="H81" t="str">
            <v/>
          </cell>
          <cell r="I81" t="str">
            <v/>
          </cell>
          <cell r="J81" t="str">
            <v/>
          </cell>
          <cell r="K81" t="str">
            <v/>
          </cell>
          <cell r="L81" t="str">
            <v/>
          </cell>
          <cell r="M81" t="str">
            <v/>
          </cell>
          <cell r="N81" t="str">
            <v/>
          </cell>
          <cell r="O81" t="str">
            <v/>
          </cell>
          <cell r="P81" t="str">
            <v/>
          </cell>
          <cell r="Q81" t="str">
            <v/>
          </cell>
          <cell r="R81" t="str">
            <v/>
          </cell>
          <cell r="S81" t="str">
            <v/>
          </cell>
          <cell r="T81" t="str">
            <v/>
          </cell>
          <cell r="U81" t="str">
            <v/>
          </cell>
          <cell r="V81" t="str">
            <v/>
          </cell>
          <cell r="W81" t="str">
            <v/>
          </cell>
          <cell r="X81" t="str">
            <v/>
          </cell>
          <cell r="Y81" t="str">
            <v>BED 2</v>
          </cell>
          <cell r="Z81" t="str">
            <v/>
          </cell>
          <cell r="AA81" t="str">
            <v/>
          </cell>
          <cell r="AB81" t="str">
            <v/>
          </cell>
          <cell r="AC81" t="str">
            <v/>
          </cell>
          <cell r="AD81" t="str">
            <v/>
          </cell>
          <cell r="AF81" t="str">
            <v>DELIVERY GR 3:</v>
          </cell>
          <cell r="AG81">
            <v>46289</v>
          </cell>
        </row>
        <row r="82">
          <cell r="C82" t="str">
            <v/>
          </cell>
          <cell r="D82" t="str">
            <v/>
          </cell>
          <cell r="E82" t="str">
            <v/>
          </cell>
          <cell r="F82" t="str">
            <v/>
          </cell>
          <cell r="G82" t="str">
            <v/>
          </cell>
          <cell r="H82" t="str">
            <v/>
          </cell>
          <cell r="I82" t="str">
            <v/>
          </cell>
          <cell r="J82" t="str">
            <v/>
          </cell>
          <cell r="K82" t="str">
            <v/>
          </cell>
          <cell r="L82" t="str">
            <v/>
          </cell>
          <cell r="M82" t="str">
            <v/>
          </cell>
          <cell r="N82" t="str">
            <v/>
          </cell>
          <cell r="O82" t="str">
            <v/>
          </cell>
          <cell r="P82" t="str">
            <v/>
          </cell>
          <cell r="Q82" t="str">
            <v/>
          </cell>
          <cell r="R82" t="str">
            <v/>
          </cell>
          <cell r="S82" t="str">
            <v/>
          </cell>
          <cell r="T82" t="str">
            <v/>
          </cell>
          <cell r="U82" t="str">
            <v/>
          </cell>
          <cell r="V82" t="str">
            <v/>
          </cell>
          <cell r="W82" t="str">
            <v/>
          </cell>
          <cell r="X82" t="str">
            <v/>
          </cell>
          <cell r="Y82" t="str">
            <v/>
          </cell>
          <cell r="Z82" t="str">
            <v/>
          </cell>
          <cell r="AA82" t="str">
            <v/>
          </cell>
          <cell r="AB82" t="str">
            <v/>
          </cell>
          <cell r="AC82" t="str">
            <v/>
          </cell>
          <cell r="AD82" t="str">
            <v/>
          </cell>
          <cell r="AF82" t="str">
            <v>DELIVERY GR 4:</v>
          </cell>
          <cell r="AG82">
            <v>46294</v>
          </cell>
        </row>
        <row r="83">
          <cell r="C83" t="str">
            <v/>
          </cell>
          <cell r="D83" t="str">
            <v/>
          </cell>
          <cell r="E83" t="str">
            <v/>
          </cell>
          <cell r="F83" t="str">
            <v/>
          </cell>
          <cell r="G83" t="str">
            <v/>
          </cell>
          <cell r="H83" t="str">
            <v/>
          </cell>
          <cell r="I83" t="str">
            <v/>
          </cell>
          <cell r="J83" t="str">
            <v/>
          </cell>
          <cell r="K83" t="str">
            <v/>
          </cell>
          <cell r="L83" t="str">
            <v/>
          </cell>
          <cell r="M83" t="str">
            <v/>
          </cell>
          <cell r="N83" t="str">
            <v/>
          </cell>
          <cell r="O83" t="str">
            <v/>
          </cell>
          <cell r="P83" t="str">
            <v/>
          </cell>
          <cell r="Q83" t="str">
            <v/>
          </cell>
          <cell r="R83" t="str">
            <v/>
          </cell>
          <cell r="S83" t="str">
            <v/>
          </cell>
          <cell r="T83" t="str">
            <v/>
          </cell>
          <cell r="U83" t="str">
            <v/>
          </cell>
          <cell r="V83" t="str">
            <v/>
          </cell>
          <cell r="W83" t="str">
            <v/>
          </cell>
          <cell r="X83" t="str">
            <v/>
          </cell>
          <cell r="Y83" t="str">
            <v/>
          </cell>
          <cell r="Z83" t="str">
            <v/>
          </cell>
          <cell r="AA83" t="str">
            <v/>
          </cell>
          <cell r="AB83" t="str">
            <v/>
          </cell>
          <cell r="AC83" t="str">
            <v/>
          </cell>
          <cell r="AD83" t="str">
            <v/>
          </cell>
          <cell r="AF83" t="str">
            <v>DELIVERY GR 5:</v>
          </cell>
          <cell r="AG83">
            <v>46297</v>
          </cell>
        </row>
        <row r="84">
          <cell r="C84" t="str">
            <v/>
          </cell>
          <cell r="D84" t="str">
            <v/>
          </cell>
          <cell r="E84" t="str">
            <v/>
          </cell>
          <cell r="F84" t="str">
            <v/>
          </cell>
          <cell r="G84" t="str">
            <v/>
          </cell>
          <cell r="H84" t="str">
            <v/>
          </cell>
          <cell r="I84" t="str">
            <v/>
          </cell>
          <cell r="J84" t="str">
            <v/>
          </cell>
          <cell r="K84" t="str">
            <v/>
          </cell>
          <cell r="L84" t="str">
            <v/>
          </cell>
          <cell r="M84" t="str">
            <v/>
          </cell>
          <cell r="N84" t="str">
            <v/>
          </cell>
          <cell r="O84" t="str">
            <v/>
          </cell>
          <cell r="P84" t="str">
            <v/>
          </cell>
          <cell r="Q84" t="str">
            <v/>
          </cell>
          <cell r="R84" t="str">
            <v/>
          </cell>
          <cell r="S84" t="str">
            <v/>
          </cell>
          <cell r="T84" t="str">
            <v/>
          </cell>
          <cell r="U84" t="str">
            <v/>
          </cell>
          <cell r="V84" t="str">
            <v/>
          </cell>
          <cell r="W84" t="str">
            <v/>
          </cell>
          <cell r="X84" t="str">
            <v/>
          </cell>
          <cell r="Y84" t="str">
            <v/>
          </cell>
          <cell r="Z84" t="str">
            <v/>
          </cell>
          <cell r="AA84" t="str">
            <v/>
          </cell>
          <cell r="AB84" t="str">
            <v/>
          </cell>
          <cell r="AC84" t="str">
            <v/>
          </cell>
          <cell r="AD84" t="str">
            <v/>
          </cell>
          <cell r="AF84" t="str">
            <v>DELIVERY GR 6:</v>
          </cell>
          <cell r="AG84">
            <v>46302</v>
          </cell>
        </row>
      </sheetData>
      <sheetData sheetId="5">
        <row r="11">
          <cell r="B11">
            <v>2</v>
          </cell>
          <cell r="C11">
            <v>1</v>
          </cell>
          <cell r="D11">
            <v>2001</v>
          </cell>
          <cell r="G11" t="str">
            <v>NOT IN SCOPE</v>
          </cell>
        </row>
        <row r="12">
          <cell r="B12">
            <v>2</v>
          </cell>
          <cell r="C12">
            <v>2</v>
          </cell>
          <cell r="D12">
            <v>2002</v>
          </cell>
          <cell r="G12" t="str">
            <v>NOT IN SCOPE</v>
          </cell>
        </row>
        <row r="13">
          <cell r="B13">
            <v>2</v>
          </cell>
          <cell r="C13">
            <v>3</v>
          </cell>
          <cell r="D13">
            <v>2003</v>
          </cell>
          <cell r="G13" t="str">
            <v>NOT IN SCOPE</v>
          </cell>
        </row>
        <row r="14">
          <cell r="B14">
            <v>2</v>
          </cell>
          <cell r="C14">
            <v>4</v>
          </cell>
          <cell r="D14">
            <v>2004</v>
          </cell>
          <cell r="G14" t="str">
            <v>NOT IN SCOPE</v>
          </cell>
        </row>
        <row r="15">
          <cell r="B15">
            <v>2</v>
          </cell>
          <cell r="C15">
            <v>5</v>
          </cell>
          <cell r="D15">
            <v>2005</v>
          </cell>
          <cell r="G15" t="str">
            <v>NOT IN SCOPE</v>
          </cell>
        </row>
        <row r="16">
          <cell r="B16">
            <v>2</v>
          </cell>
          <cell r="C16">
            <v>6</v>
          </cell>
          <cell r="D16">
            <v>2006</v>
          </cell>
          <cell r="E16" t="str">
            <v>NO</v>
          </cell>
          <cell r="F16" t="str">
            <v>3B-02</v>
          </cell>
          <cell r="G16" t="str">
            <v>ORDERED</v>
          </cell>
          <cell r="H16" t="str">
            <v>NO</v>
          </cell>
          <cell r="J16" t="str">
            <v>NO</v>
          </cell>
          <cell r="L16" t="str">
            <v>NO</v>
          </cell>
          <cell r="N16" t="str">
            <v>NO</v>
          </cell>
          <cell r="P16" t="str">
            <v>NO</v>
          </cell>
          <cell r="R16" t="str">
            <v>YES</v>
          </cell>
          <cell r="S16">
            <v>1</v>
          </cell>
          <cell r="T16" t="str">
            <v>YES</v>
          </cell>
          <cell r="U16">
            <v>1</v>
          </cell>
          <cell r="V16" t="str">
            <v>NO</v>
          </cell>
          <cell r="X16" t="str">
            <v>NO</v>
          </cell>
          <cell r="Z16" t="str">
            <v>NO</v>
          </cell>
          <cell r="AB16" t="str">
            <v>NO</v>
          </cell>
          <cell r="AD16" t="str">
            <v>NO</v>
          </cell>
          <cell r="AF16" t="str">
            <v>NO</v>
          </cell>
          <cell r="AH16" t="str">
            <v>NO</v>
          </cell>
          <cell r="AJ16" t="str">
            <v>NO</v>
          </cell>
          <cell r="AL16" t="str">
            <v>NO</v>
          </cell>
          <cell r="AN16" t="str">
            <v>NO</v>
          </cell>
          <cell r="AP16" t="str">
            <v>NO</v>
          </cell>
        </row>
        <row r="17">
          <cell r="B17">
            <v>2</v>
          </cell>
          <cell r="C17">
            <v>7</v>
          </cell>
          <cell r="D17">
            <v>2007</v>
          </cell>
          <cell r="E17" t="str">
            <v>NO</v>
          </cell>
          <cell r="F17" t="str">
            <v>1B-02</v>
          </cell>
          <cell r="G17" t="str">
            <v>ORDERED</v>
          </cell>
          <cell r="H17" t="str">
            <v>YES</v>
          </cell>
          <cell r="I17">
            <v>1</v>
          </cell>
          <cell r="J17" t="str">
            <v>NO</v>
          </cell>
          <cell r="L17" t="str">
            <v>NO</v>
          </cell>
          <cell r="N17" t="str">
            <v>YES</v>
          </cell>
          <cell r="O17">
            <v>1</v>
          </cell>
          <cell r="P17" t="str">
            <v>NO</v>
          </cell>
          <cell r="R17" t="str">
            <v>NO</v>
          </cell>
          <cell r="T17" t="str">
            <v>NO</v>
          </cell>
          <cell r="V17" t="str">
            <v>YES</v>
          </cell>
          <cell r="W17">
            <v>1</v>
          </cell>
          <cell r="X17" t="str">
            <v>NO</v>
          </cell>
          <cell r="Z17" t="str">
            <v>NO</v>
          </cell>
          <cell r="AB17" t="str">
            <v>YES</v>
          </cell>
          <cell r="AC17">
            <v>1</v>
          </cell>
          <cell r="AD17" t="str">
            <v>NO</v>
          </cell>
          <cell r="AF17" t="str">
            <v>NO</v>
          </cell>
          <cell r="AH17" t="str">
            <v>NO</v>
          </cell>
          <cell r="AJ17" t="str">
            <v>NO</v>
          </cell>
          <cell r="AL17" t="str">
            <v>NO</v>
          </cell>
          <cell r="AN17" t="str">
            <v>NO</v>
          </cell>
          <cell r="AP17" t="str">
            <v>NO</v>
          </cell>
        </row>
        <row r="18">
          <cell r="B18">
            <v>2</v>
          </cell>
          <cell r="C18">
            <v>8</v>
          </cell>
          <cell r="D18">
            <v>2008</v>
          </cell>
          <cell r="G18" t="str">
            <v>NOT IN SCOPE</v>
          </cell>
        </row>
        <row r="19">
          <cell r="B19">
            <v>2</v>
          </cell>
          <cell r="C19">
            <v>9</v>
          </cell>
          <cell r="D19">
            <v>2009</v>
          </cell>
          <cell r="G19" t="str">
            <v>NOT IN SCOPE</v>
          </cell>
        </row>
        <row r="20">
          <cell r="B20">
            <v>2</v>
          </cell>
          <cell r="C20">
            <v>10</v>
          </cell>
          <cell r="D20">
            <v>2010</v>
          </cell>
          <cell r="G20" t="str">
            <v>NOT IN SCOPE</v>
          </cell>
        </row>
        <row r="21">
          <cell r="B21">
            <v>2</v>
          </cell>
          <cell r="C21">
            <v>11</v>
          </cell>
          <cell r="D21">
            <v>2011</v>
          </cell>
          <cell r="G21" t="str">
            <v>NOT IN SCOPE</v>
          </cell>
        </row>
        <row r="22">
          <cell r="B22">
            <v>2</v>
          </cell>
          <cell r="C22">
            <v>12</v>
          </cell>
          <cell r="D22">
            <v>2012</v>
          </cell>
          <cell r="G22" t="str">
            <v>NOT IN SCOPE</v>
          </cell>
        </row>
        <row r="23">
          <cell r="B23">
            <v>2</v>
          </cell>
          <cell r="C23">
            <v>13</v>
          </cell>
          <cell r="D23">
            <v>2013</v>
          </cell>
          <cell r="G23" t="str">
            <v>NOT IN SCOPE</v>
          </cell>
        </row>
        <row r="24">
          <cell r="B24">
            <v>2</v>
          </cell>
          <cell r="C24">
            <v>14</v>
          </cell>
          <cell r="D24">
            <v>2014</v>
          </cell>
          <cell r="G24" t="str">
            <v>NOT IN SCOPE</v>
          </cell>
        </row>
        <row r="25">
          <cell r="B25">
            <v>2</v>
          </cell>
          <cell r="C25">
            <v>15</v>
          </cell>
          <cell r="D25">
            <v>2015</v>
          </cell>
          <cell r="E25" t="str">
            <v>NO</v>
          </cell>
          <cell r="F25" t="str">
            <v>3B-04</v>
          </cell>
          <cell r="G25" t="str">
            <v>ORDERED</v>
          </cell>
          <cell r="H25" t="str">
            <v>YES</v>
          </cell>
          <cell r="I25">
            <v>1</v>
          </cell>
          <cell r="J25" t="str">
            <v>NO</v>
          </cell>
          <cell r="L25" t="str">
            <v>YES</v>
          </cell>
          <cell r="M25">
            <v>1</v>
          </cell>
          <cell r="N25" t="str">
            <v>YES</v>
          </cell>
          <cell r="O25">
            <v>1</v>
          </cell>
          <cell r="P25" t="str">
            <v>NO</v>
          </cell>
          <cell r="R25" t="str">
            <v>NO</v>
          </cell>
          <cell r="T25" t="str">
            <v>NO</v>
          </cell>
          <cell r="V25" t="str">
            <v>YES</v>
          </cell>
          <cell r="W25">
            <v>1</v>
          </cell>
          <cell r="X25" t="str">
            <v>NO</v>
          </cell>
          <cell r="Z25" t="str">
            <v>NO</v>
          </cell>
          <cell r="AB25" t="str">
            <v>YES</v>
          </cell>
          <cell r="AC25">
            <v>1</v>
          </cell>
          <cell r="AD25" t="str">
            <v>YES</v>
          </cell>
          <cell r="AE25">
            <v>1</v>
          </cell>
          <cell r="AF25" t="str">
            <v>NO</v>
          </cell>
          <cell r="AH25" t="str">
            <v>NO</v>
          </cell>
          <cell r="AJ25" t="str">
            <v>NO</v>
          </cell>
          <cell r="AL25" t="str">
            <v>NO</v>
          </cell>
          <cell r="AN25" t="str">
            <v>NO</v>
          </cell>
          <cell r="AP25" t="str">
            <v>NO</v>
          </cell>
        </row>
        <row r="26">
          <cell r="B26">
            <v>2</v>
          </cell>
          <cell r="C26">
            <v>16</v>
          </cell>
          <cell r="D26">
            <v>2016</v>
          </cell>
          <cell r="G26" t="str">
            <v>NOT IN SCOPE</v>
          </cell>
        </row>
        <row r="27">
          <cell r="B27">
            <v>2</v>
          </cell>
          <cell r="C27">
            <v>17</v>
          </cell>
          <cell r="D27">
            <v>2017</v>
          </cell>
          <cell r="G27" t="str">
            <v>NOT IN SCOPE</v>
          </cell>
        </row>
        <row r="28">
          <cell r="B28">
            <v>2</v>
          </cell>
          <cell r="C28">
            <v>18</v>
          </cell>
          <cell r="D28">
            <v>2018</v>
          </cell>
          <cell r="G28" t="str">
            <v>NOT IN SCOPE</v>
          </cell>
        </row>
        <row r="29">
          <cell r="B29">
            <v>2</v>
          </cell>
          <cell r="C29">
            <v>19</v>
          </cell>
          <cell r="D29">
            <v>2019</v>
          </cell>
          <cell r="G29" t="str">
            <v>NOT IN SCOPE</v>
          </cell>
        </row>
        <row r="30">
          <cell r="B30">
            <v>2</v>
          </cell>
          <cell r="C30">
            <v>20</v>
          </cell>
          <cell r="D30">
            <v>2020</v>
          </cell>
          <cell r="G30" t="str">
            <v>NOT IN SCOPE</v>
          </cell>
        </row>
        <row r="31">
          <cell r="B31">
            <v>2</v>
          </cell>
          <cell r="C31">
            <v>21</v>
          </cell>
          <cell r="D31">
            <v>2021</v>
          </cell>
          <cell r="G31" t="str">
            <v>NOT IN SCOPE</v>
          </cell>
        </row>
        <row r="32">
          <cell r="B32">
            <v>2</v>
          </cell>
          <cell r="C32">
            <v>22</v>
          </cell>
          <cell r="D32">
            <v>2022</v>
          </cell>
          <cell r="G32" t="str">
            <v>NOT IN SCOPE</v>
          </cell>
        </row>
        <row r="33">
          <cell r="B33">
            <v>2</v>
          </cell>
          <cell r="C33">
            <v>23</v>
          </cell>
          <cell r="D33">
            <v>2023</v>
          </cell>
          <cell r="E33" t="str">
            <v>NO</v>
          </cell>
          <cell r="F33" t="str">
            <v>2B-07</v>
          </cell>
          <cell r="G33" t="str">
            <v>ORDERED</v>
          </cell>
          <cell r="H33" t="str">
            <v>YES</v>
          </cell>
          <cell r="I33">
            <v>1</v>
          </cell>
          <cell r="J33" t="str">
            <v>NO</v>
          </cell>
          <cell r="L33" t="str">
            <v>YES</v>
          </cell>
          <cell r="M33">
            <v>1</v>
          </cell>
          <cell r="N33" t="str">
            <v>YES</v>
          </cell>
          <cell r="O33">
            <v>1</v>
          </cell>
          <cell r="P33" t="str">
            <v>NO</v>
          </cell>
          <cell r="R33" t="str">
            <v>NO</v>
          </cell>
          <cell r="T33" t="str">
            <v>NO</v>
          </cell>
          <cell r="V33" t="str">
            <v>YES</v>
          </cell>
          <cell r="W33">
            <v>1</v>
          </cell>
          <cell r="X33" t="str">
            <v>NO</v>
          </cell>
          <cell r="Z33" t="str">
            <v>NO</v>
          </cell>
          <cell r="AB33" t="str">
            <v>YES</v>
          </cell>
          <cell r="AC33">
            <v>1</v>
          </cell>
          <cell r="AD33" t="str">
            <v>YES</v>
          </cell>
          <cell r="AE33">
            <v>1</v>
          </cell>
          <cell r="AF33" t="str">
            <v>NO</v>
          </cell>
          <cell r="AH33" t="str">
            <v>NO</v>
          </cell>
          <cell r="AJ33" t="str">
            <v>NO</v>
          </cell>
          <cell r="AL33" t="str">
            <v>YES</v>
          </cell>
          <cell r="AM33">
            <v>1</v>
          </cell>
          <cell r="AN33" t="str">
            <v>NO</v>
          </cell>
          <cell r="AP33" t="str">
            <v>NO</v>
          </cell>
        </row>
        <row r="34">
          <cell r="B34">
            <v>2</v>
          </cell>
          <cell r="C34">
            <v>24</v>
          </cell>
          <cell r="D34">
            <v>2024</v>
          </cell>
          <cell r="G34" t="str">
            <v>NOT IN SCOPE</v>
          </cell>
        </row>
        <row r="35">
          <cell r="B35">
            <v>2</v>
          </cell>
          <cell r="C35">
            <v>25</v>
          </cell>
          <cell r="D35">
            <v>2025</v>
          </cell>
          <cell r="G35" t="str">
            <v>NOT IN SCOPE</v>
          </cell>
        </row>
        <row r="36">
          <cell r="B36">
            <v>2</v>
          </cell>
          <cell r="C36">
            <v>26</v>
          </cell>
          <cell r="D36">
            <v>2026</v>
          </cell>
          <cell r="G36" t="str">
            <v>NOT IN SCOPE</v>
          </cell>
        </row>
        <row r="37">
          <cell r="B37">
            <v>2</v>
          </cell>
          <cell r="C37">
            <v>27</v>
          </cell>
          <cell r="D37">
            <v>2027</v>
          </cell>
          <cell r="G37" t="str">
            <v>NOT IN SCOPE</v>
          </cell>
        </row>
        <row r="38">
          <cell r="B38">
            <v>2</v>
          </cell>
          <cell r="C38">
            <v>28</v>
          </cell>
          <cell r="D38">
            <v>2028</v>
          </cell>
          <cell r="G38" t="str">
            <v>NOT IN SCOPE</v>
          </cell>
        </row>
        <row r="39">
          <cell r="B39">
            <v>3</v>
          </cell>
          <cell r="C39">
            <v>1</v>
          </cell>
          <cell r="D39">
            <v>3001</v>
          </cell>
          <cell r="G39" t="str">
            <v>NOT IN SCOPE</v>
          </cell>
        </row>
        <row r="40">
          <cell r="B40">
            <v>3</v>
          </cell>
          <cell r="C40">
            <v>2</v>
          </cell>
          <cell r="D40">
            <v>3002</v>
          </cell>
          <cell r="G40" t="str">
            <v>NOT IN SCOPE</v>
          </cell>
        </row>
        <row r="41">
          <cell r="B41">
            <v>3</v>
          </cell>
          <cell r="C41">
            <v>3</v>
          </cell>
          <cell r="D41">
            <v>3003</v>
          </cell>
          <cell r="G41" t="str">
            <v>NOT IN SCOPE</v>
          </cell>
        </row>
        <row r="42">
          <cell r="B42">
            <v>3</v>
          </cell>
          <cell r="C42">
            <v>4</v>
          </cell>
          <cell r="D42">
            <v>3004</v>
          </cell>
          <cell r="G42" t="str">
            <v>NOT IN SCOPE</v>
          </cell>
        </row>
        <row r="43">
          <cell r="B43">
            <v>3</v>
          </cell>
          <cell r="C43">
            <v>5</v>
          </cell>
          <cell r="D43">
            <v>3005</v>
          </cell>
          <cell r="E43" t="str">
            <v>YES</v>
          </cell>
          <cell r="F43" t="str">
            <v>3005.06.07</v>
          </cell>
          <cell r="G43" t="str">
            <v>ORDERED</v>
          </cell>
          <cell r="H43" t="str">
            <v>NO</v>
          </cell>
          <cell r="J43" t="str">
            <v>NO</v>
          </cell>
          <cell r="L43" t="str">
            <v>NO</v>
          </cell>
          <cell r="N43" t="str">
            <v>YES</v>
          </cell>
          <cell r="O43">
            <v>1</v>
          </cell>
          <cell r="P43" t="str">
            <v>NO</v>
          </cell>
          <cell r="R43" t="str">
            <v>NO</v>
          </cell>
          <cell r="T43" t="str">
            <v>NO</v>
          </cell>
          <cell r="V43" t="str">
            <v>YES</v>
          </cell>
          <cell r="W43">
            <v>1</v>
          </cell>
          <cell r="X43" t="str">
            <v>YES</v>
          </cell>
          <cell r="Y43">
            <v>1</v>
          </cell>
          <cell r="Z43" t="str">
            <v>NO</v>
          </cell>
          <cell r="AB43" t="str">
            <v>YES</v>
          </cell>
          <cell r="AC43">
            <v>1</v>
          </cell>
          <cell r="AD43" t="str">
            <v>YES</v>
          </cell>
          <cell r="AE43">
            <v>1</v>
          </cell>
          <cell r="AF43" t="str">
            <v>YES</v>
          </cell>
          <cell r="AG43">
            <v>1</v>
          </cell>
          <cell r="AH43" t="str">
            <v>NO</v>
          </cell>
          <cell r="AJ43" t="str">
            <v>NO</v>
          </cell>
          <cell r="AL43" t="str">
            <v>NO</v>
          </cell>
          <cell r="AN43" t="str">
            <v>NO</v>
          </cell>
          <cell r="AP43" t="str">
            <v>NO</v>
          </cell>
        </row>
        <row r="44">
          <cell r="B44">
            <v>3</v>
          </cell>
          <cell r="C44">
            <v>6</v>
          </cell>
          <cell r="D44">
            <v>3006</v>
          </cell>
          <cell r="E44" t="str">
            <v>YES</v>
          </cell>
          <cell r="F44" t="str">
            <v>3005.06.07</v>
          </cell>
          <cell r="G44" t="str">
            <v>ORDERED</v>
          </cell>
          <cell r="H44" t="str">
            <v>NO</v>
          </cell>
          <cell r="J44" t="str">
            <v>NO</v>
          </cell>
          <cell r="L44" t="str">
            <v>NO</v>
          </cell>
          <cell r="N44" t="str">
            <v>NO</v>
          </cell>
          <cell r="P44" t="str">
            <v>NO</v>
          </cell>
          <cell r="R44" t="str">
            <v>NO</v>
          </cell>
          <cell r="T44" t="str">
            <v>NO</v>
          </cell>
          <cell r="V44" t="str">
            <v>NO</v>
          </cell>
          <cell r="X44" t="str">
            <v>NO</v>
          </cell>
          <cell r="Z44" t="str">
            <v>NO</v>
          </cell>
          <cell r="AB44" t="str">
            <v>NO</v>
          </cell>
          <cell r="AD44" t="str">
            <v>NO</v>
          </cell>
          <cell r="AF44" t="str">
            <v>NO</v>
          </cell>
          <cell r="AH44" t="str">
            <v>NO</v>
          </cell>
          <cell r="AJ44" t="str">
            <v>NO</v>
          </cell>
          <cell r="AL44" t="str">
            <v>NO</v>
          </cell>
          <cell r="AN44" t="str">
            <v>NO</v>
          </cell>
          <cell r="AP44" t="str">
            <v>NO</v>
          </cell>
        </row>
        <row r="45">
          <cell r="B45">
            <v>3</v>
          </cell>
          <cell r="C45">
            <v>7</v>
          </cell>
          <cell r="D45">
            <v>3007</v>
          </cell>
          <cell r="E45" t="str">
            <v>YES</v>
          </cell>
          <cell r="F45" t="str">
            <v>3005.06.07</v>
          </cell>
          <cell r="G45" t="str">
            <v>ORDERED</v>
          </cell>
          <cell r="H45" t="str">
            <v>NO</v>
          </cell>
          <cell r="J45" t="str">
            <v>NO</v>
          </cell>
          <cell r="L45" t="str">
            <v>NO</v>
          </cell>
          <cell r="N45" t="str">
            <v>NO</v>
          </cell>
          <cell r="P45" t="str">
            <v>NO</v>
          </cell>
          <cell r="R45" t="str">
            <v>NO</v>
          </cell>
          <cell r="T45" t="str">
            <v>NO</v>
          </cell>
          <cell r="V45" t="str">
            <v>NO</v>
          </cell>
          <cell r="X45" t="str">
            <v>NO</v>
          </cell>
          <cell r="Z45" t="str">
            <v>NO</v>
          </cell>
          <cell r="AB45" t="str">
            <v>NO</v>
          </cell>
          <cell r="AD45" t="str">
            <v>NO</v>
          </cell>
          <cell r="AF45" t="str">
            <v>NO</v>
          </cell>
          <cell r="AH45" t="str">
            <v>NO</v>
          </cell>
          <cell r="AJ45" t="str">
            <v>NO</v>
          </cell>
          <cell r="AL45" t="str">
            <v>NO</v>
          </cell>
          <cell r="AN45" t="str">
            <v>NO</v>
          </cell>
          <cell r="AP45" t="str">
            <v>NO</v>
          </cell>
        </row>
        <row r="46">
          <cell r="B46">
            <v>3</v>
          </cell>
          <cell r="C46">
            <v>8</v>
          </cell>
          <cell r="D46">
            <v>3008</v>
          </cell>
          <cell r="G46" t="str">
            <v>NOT IN SCOPE</v>
          </cell>
        </row>
        <row r="47">
          <cell r="B47">
            <v>3</v>
          </cell>
          <cell r="C47">
            <v>9</v>
          </cell>
          <cell r="D47">
            <v>3009</v>
          </cell>
          <cell r="G47" t="str">
            <v>NOT IN SCOPE</v>
          </cell>
        </row>
        <row r="48">
          <cell r="B48">
            <v>3</v>
          </cell>
          <cell r="C48">
            <v>10</v>
          </cell>
          <cell r="D48">
            <v>3010</v>
          </cell>
          <cell r="G48" t="str">
            <v>NOT IN SCOPE</v>
          </cell>
        </row>
        <row r="49">
          <cell r="B49">
            <v>3</v>
          </cell>
          <cell r="C49">
            <v>11</v>
          </cell>
          <cell r="D49">
            <v>3011</v>
          </cell>
          <cell r="G49" t="str">
            <v>NOT IN SCOPE</v>
          </cell>
        </row>
        <row r="50">
          <cell r="B50">
            <v>3</v>
          </cell>
          <cell r="C50">
            <v>12</v>
          </cell>
          <cell r="D50">
            <v>3012</v>
          </cell>
          <cell r="G50" t="str">
            <v>NOT IN SCOPE</v>
          </cell>
        </row>
        <row r="51">
          <cell r="B51">
            <v>3</v>
          </cell>
          <cell r="C51">
            <v>13</v>
          </cell>
          <cell r="D51">
            <v>3013</v>
          </cell>
          <cell r="G51" t="str">
            <v>NOT IN SCOPE</v>
          </cell>
        </row>
        <row r="52">
          <cell r="B52">
            <v>3</v>
          </cell>
          <cell r="C52">
            <v>14</v>
          </cell>
          <cell r="D52">
            <v>3014</v>
          </cell>
          <cell r="G52" t="str">
            <v>NOT IN SCOPE</v>
          </cell>
        </row>
        <row r="53">
          <cell r="B53">
            <v>3</v>
          </cell>
          <cell r="C53">
            <v>15</v>
          </cell>
          <cell r="D53">
            <v>3015</v>
          </cell>
          <cell r="G53" t="str">
            <v>NOT IN SCOPE</v>
          </cell>
        </row>
        <row r="54">
          <cell r="B54">
            <v>3</v>
          </cell>
          <cell r="C54">
            <v>16</v>
          </cell>
          <cell r="D54">
            <v>3016</v>
          </cell>
          <cell r="G54" t="str">
            <v>NOT IN SCOPE</v>
          </cell>
        </row>
        <row r="55">
          <cell r="B55">
            <v>3</v>
          </cell>
          <cell r="C55">
            <v>17</v>
          </cell>
          <cell r="D55">
            <v>3017</v>
          </cell>
          <cell r="E55" t="str">
            <v>NO</v>
          </cell>
          <cell r="F55" t="str">
            <v>1B-05</v>
          </cell>
          <cell r="G55" t="str">
            <v>ORDERED</v>
          </cell>
          <cell r="H55" t="str">
            <v>YES</v>
          </cell>
          <cell r="I55">
            <v>2</v>
          </cell>
          <cell r="J55" t="str">
            <v>NO</v>
          </cell>
          <cell r="L55" t="str">
            <v>NO</v>
          </cell>
          <cell r="N55" t="str">
            <v>YES</v>
          </cell>
          <cell r="O55">
            <v>2</v>
          </cell>
          <cell r="P55" t="str">
            <v>NO</v>
          </cell>
          <cell r="R55" t="str">
            <v>NO</v>
          </cell>
          <cell r="T55" t="str">
            <v>NO</v>
          </cell>
          <cell r="V55" t="str">
            <v>YES</v>
          </cell>
          <cell r="W55">
            <v>2</v>
          </cell>
          <cell r="X55" t="str">
            <v>NO</v>
          </cell>
          <cell r="Z55" t="str">
            <v>NO</v>
          </cell>
          <cell r="AB55" t="str">
            <v>YES</v>
          </cell>
          <cell r="AC55">
            <v>2</v>
          </cell>
          <cell r="AD55" t="str">
            <v>NO</v>
          </cell>
          <cell r="AF55" t="str">
            <v>NO</v>
          </cell>
          <cell r="AH55" t="str">
            <v>NO</v>
          </cell>
          <cell r="AJ55" t="str">
            <v>NO</v>
          </cell>
          <cell r="AL55" t="str">
            <v>NO</v>
          </cell>
          <cell r="AN55" t="str">
            <v>NO</v>
          </cell>
          <cell r="AP55" t="str">
            <v>NO</v>
          </cell>
        </row>
        <row r="56">
          <cell r="B56">
            <v>3</v>
          </cell>
          <cell r="C56">
            <v>18</v>
          </cell>
          <cell r="D56">
            <v>3018</v>
          </cell>
          <cell r="G56" t="str">
            <v>NOT IN SCOPE</v>
          </cell>
        </row>
        <row r="57">
          <cell r="B57">
            <v>3</v>
          </cell>
          <cell r="C57">
            <v>19</v>
          </cell>
          <cell r="D57">
            <v>3019</v>
          </cell>
          <cell r="G57" t="str">
            <v>NOT IN SCOPE</v>
          </cell>
        </row>
        <row r="58">
          <cell r="B58">
            <v>3</v>
          </cell>
          <cell r="C58">
            <v>20</v>
          </cell>
          <cell r="D58">
            <v>3020</v>
          </cell>
          <cell r="E58" t="str">
            <v>NO</v>
          </cell>
          <cell r="F58" t="str">
            <v>1B-06</v>
          </cell>
          <cell r="G58" t="str">
            <v>ORDERED</v>
          </cell>
          <cell r="H58" t="str">
            <v>YES</v>
          </cell>
          <cell r="I58">
            <v>2</v>
          </cell>
          <cell r="J58" t="str">
            <v>NO</v>
          </cell>
          <cell r="L58" t="str">
            <v>NO</v>
          </cell>
          <cell r="N58" t="str">
            <v>YES</v>
          </cell>
          <cell r="O58">
            <v>2</v>
          </cell>
          <cell r="P58" t="str">
            <v>NO</v>
          </cell>
          <cell r="R58" t="str">
            <v>NO</v>
          </cell>
          <cell r="T58" t="str">
            <v>NO</v>
          </cell>
          <cell r="V58" t="str">
            <v>YES</v>
          </cell>
          <cell r="W58">
            <v>2</v>
          </cell>
          <cell r="X58" t="str">
            <v>NO</v>
          </cell>
          <cell r="Z58" t="str">
            <v>NO</v>
          </cell>
          <cell r="AB58" t="str">
            <v>YES</v>
          </cell>
          <cell r="AC58">
            <v>2</v>
          </cell>
          <cell r="AD58" t="str">
            <v>NO</v>
          </cell>
          <cell r="AF58" t="str">
            <v>NO</v>
          </cell>
          <cell r="AH58" t="str">
            <v>NO</v>
          </cell>
          <cell r="AJ58" t="str">
            <v>NO</v>
          </cell>
          <cell r="AL58" t="str">
            <v>NO</v>
          </cell>
          <cell r="AN58" t="str">
            <v>NO</v>
          </cell>
          <cell r="AP58" t="str">
            <v>NO</v>
          </cell>
        </row>
        <row r="59">
          <cell r="B59">
            <v>3</v>
          </cell>
          <cell r="C59">
            <v>21</v>
          </cell>
          <cell r="D59">
            <v>3021</v>
          </cell>
          <cell r="G59" t="str">
            <v>NOT IN SCOPE</v>
          </cell>
        </row>
        <row r="60">
          <cell r="B60">
            <v>3</v>
          </cell>
          <cell r="C60">
            <v>22</v>
          </cell>
          <cell r="D60">
            <v>3022</v>
          </cell>
          <cell r="G60" t="str">
            <v>NOT IN SCOPE</v>
          </cell>
        </row>
        <row r="61">
          <cell r="B61">
            <v>3</v>
          </cell>
          <cell r="C61">
            <v>23</v>
          </cell>
          <cell r="D61">
            <v>3023</v>
          </cell>
          <cell r="G61" t="str">
            <v>NOT IN SCOPE</v>
          </cell>
        </row>
        <row r="62">
          <cell r="B62">
            <v>3</v>
          </cell>
          <cell r="C62">
            <v>24</v>
          </cell>
          <cell r="D62">
            <v>3024</v>
          </cell>
          <cell r="G62" t="str">
            <v>NOT IN SCOPE</v>
          </cell>
        </row>
        <row r="63">
          <cell r="B63">
            <v>3</v>
          </cell>
          <cell r="C63">
            <v>25</v>
          </cell>
          <cell r="D63">
            <v>3025</v>
          </cell>
          <cell r="E63" t="str">
            <v>NO</v>
          </cell>
          <cell r="F63" t="str">
            <v>2B-09</v>
          </cell>
          <cell r="G63" t="str">
            <v>ORDERED</v>
          </cell>
          <cell r="H63" t="str">
            <v>NO</v>
          </cell>
          <cell r="J63" t="str">
            <v>NO</v>
          </cell>
          <cell r="L63" t="str">
            <v>NO</v>
          </cell>
          <cell r="N63" t="str">
            <v>NO</v>
          </cell>
          <cell r="P63" t="str">
            <v>NO</v>
          </cell>
          <cell r="R63" t="str">
            <v>YES</v>
          </cell>
          <cell r="S63">
            <v>2</v>
          </cell>
          <cell r="T63" t="str">
            <v>NO</v>
          </cell>
          <cell r="V63" t="str">
            <v>YES</v>
          </cell>
          <cell r="W63">
            <v>2</v>
          </cell>
          <cell r="X63" t="str">
            <v>NO</v>
          </cell>
          <cell r="Z63" t="str">
            <v>NO</v>
          </cell>
          <cell r="AB63" t="str">
            <v>NO</v>
          </cell>
          <cell r="AD63" t="str">
            <v>NO</v>
          </cell>
          <cell r="AF63" t="str">
            <v>NO</v>
          </cell>
          <cell r="AH63" t="str">
            <v>NO</v>
          </cell>
          <cell r="AJ63" t="str">
            <v>NO</v>
          </cell>
          <cell r="AL63" t="str">
            <v>NO</v>
          </cell>
          <cell r="AN63" t="str">
            <v>NO</v>
          </cell>
          <cell r="AP63" t="str">
            <v>NO</v>
          </cell>
        </row>
        <row r="64">
          <cell r="B64">
            <v>3</v>
          </cell>
          <cell r="C64">
            <v>26</v>
          </cell>
          <cell r="D64">
            <v>3026</v>
          </cell>
          <cell r="G64" t="str">
            <v>NOT IN SCOPE</v>
          </cell>
        </row>
        <row r="65">
          <cell r="B65">
            <v>3</v>
          </cell>
          <cell r="C65">
            <v>27</v>
          </cell>
          <cell r="D65">
            <v>3027</v>
          </cell>
          <cell r="E65" t="str">
            <v>NO</v>
          </cell>
          <cell r="F65" t="str">
            <v>2B-11</v>
          </cell>
          <cell r="G65" t="str">
            <v>ORDERED</v>
          </cell>
          <cell r="H65" t="str">
            <v>YES</v>
          </cell>
          <cell r="I65">
            <v>2</v>
          </cell>
          <cell r="J65" t="str">
            <v>NO</v>
          </cell>
          <cell r="L65" t="str">
            <v>NO</v>
          </cell>
          <cell r="N65" t="str">
            <v>YES</v>
          </cell>
          <cell r="O65">
            <v>2</v>
          </cell>
          <cell r="P65" t="str">
            <v>NO</v>
          </cell>
          <cell r="R65" t="str">
            <v>NO</v>
          </cell>
          <cell r="T65" t="str">
            <v>NO</v>
          </cell>
          <cell r="V65" t="str">
            <v>YES</v>
          </cell>
          <cell r="W65">
            <v>2</v>
          </cell>
          <cell r="X65" t="str">
            <v>NO</v>
          </cell>
          <cell r="Z65" t="str">
            <v>NO</v>
          </cell>
          <cell r="AB65" t="str">
            <v>YES</v>
          </cell>
          <cell r="AC65">
            <v>2</v>
          </cell>
          <cell r="AD65" t="str">
            <v>YES</v>
          </cell>
          <cell r="AE65">
            <v>2</v>
          </cell>
          <cell r="AF65" t="str">
            <v>NO</v>
          </cell>
          <cell r="AH65" t="str">
            <v>NO</v>
          </cell>
          <cell r="AJ65" t="str">
            <v>NO</v>
          </cell>
          <cell r="AL65" t="str">
            <v>NO</v>
          </cell>
          <cell r="AN65" t="str">
            <v>NO</v>
          </cell>
          <cell r="AP65" t="str">
            <v>NO</v>
          </cell>
        </row>
        <row r="66">
          <cell r="B66">
            <v>3</v>
          </cell>
          <cell r="C66">
            <v>28</v>
          </cell>
          <cell r="D66">
            <v>3028</v>
          </cell>
          <cell r="G66" t="str">
            <v>NOT IN SCOPE</v>
          </cell>
        </row>
        <row r="67">
          <cell r="B67">
            <v>4</v>
          </cell>
          <cell r="C67">
            <v>1</v>
          </cell>
          <cell r="D67">
            <v>4001</v>
          </cell>
          <cell r="G67" t="str">
            <v>NOT IN SCOPE</v>
          </cell>
        </row>
        <row r="68">
          <cell r="B68">
            <v>4</v>
          </cell>
          <cell r="C68">
            <v>2</v>
          </cell>
          <cell r="D68">
            <v>4002</v>
          </cell>
          <cell r="G68" t="str">
            <v>NOT IN SCOPE</v>
          </cell>
        </row>
        <row r="69">
          <cell r="B69">
            <v>4</v>
          </cell>
          <cell r="C69">
            <v>3</v>
          </cell>
          <cell r="D69">
            <v>4003</v>
          </cell>
          <cell r="G69" t="str">
            <v>NOT IN SCOPE</v>
          </cell>
        </row>
        <row r="70">
          <cell r="B70">
            <v>4</v>
          </cell>
          <cell r="C70">
            <v>4</v>
          </cell>
          <cell r="D70">
            <v>4004</v>
          </cell>
          <cell r="G70" t="str">
            <v>NOT IN SCOPE</v>
          </cell>
        </row>
        <row r="71">
          <cell r="B71">
            <v>4</v>
          </cell>
          <cell r="C71">
            <v>5</v>
          </cell>
          <cell r="D71">
            <v>4005</v>
          </cell>
          <cell r="G71" t="str">
            <v>NOT IN SCOPE</v>
          </cell>
        </row>
        <row r="72">
          <cell r="B72">
            <v>4</v>
          </cell>
          <cell r="C72">
            <v>6</v>
          </cell>
          <cell r="D72">
            <v>4006</v>
          </cell>
          <cell r="G72" t="str">
            <v>NOT IN SCOPE</v>
          </cell>
        </row>
        <row r="73">
          <cell r="B73">
            <v>4</v>
          </cell>
          <cell r="C73">
            <v>7</v>
          </cell>
          <cell r="D73">
            <v>4007</v>
          </cell>
          <cell r="G73" t="str">
            <v>NOT IN SCOPE</v>
          </cell>
        </row>
        <row r="74">
          <cell r="B74">
            <v>4</v>
          </cell>
          <cell r="C74">
            <v>8</v>
          </cell>
          <cell r="D74">
            <v>4008</v>
          </cell>
          <cell r="E74" t="str">
            <v>NO</v>
          </cell>
          <cell r="F74" t="str">
            <v>2B-02</v>
          </cell>
          <cell r="G74" t="str">
            <v>ORDERED</v>
          </cell>
          <cell r="H74" t="str">
            <v>NO</v>
          </cell>
          <cell r="J74" t="str">
            <v>NO</v>
          </cell>
          <cell r="L74" t="str">
            <v>NO</v>
          </cell>
          <cell r="N74" t="str">
            <v>YES</v>
          </cell>
          <cell r="O74">
            <v>3</v>
          </cell>
          <cell r="P74" t="str">
            <v>NO</v>
          </cell>
          <cell r="R74" t="str">
            <v>NO</v>
          </cell>
          <cell r="T74" t="str">
            <v>NO</v>
          </cell>
          <cell r="V74" t="str">
            <v>YES</v>
          </cell>
          <cell r="W74">
            <v>3</v>
          </cell>
          <cell r="X74" t="str">
            <v>NO</v>
          </cell>
          <cell r="Z74" t="str">
            <v>NO</v>
          </cell>
          <cell r="AB74" t="str">
            <v>YES</v>
          </cell>
          <cell r="AC74">
            <v>3</v>
          </cell>
          <cell r="AD74" t="str">
            <v>YES</v>
          </cell>
          <cell r="AE74">
            <v>3</v>
          </cell>
          <cell r="AF74" t="str">
            <v>NO</v>
          </cell>
          <cell r="AH74" t="str">
            <v>NO</v>
          </cell>
          <cell r="AJ74" t="str">
            <v>NO</v>
          </cell>
          <cell r="AL74" t="str">
            <v>YES</v>
          </cell>
          <cell r="AM74">
            <v>3</v>
          </cell>
          <cell r="AN74" t="str">
            <v>NO</v>
          </cell>
          <cell r="AP74" t="str">
            <v>NO</v>
          </cell>
        </row>
        <row r="75">
          <cell r="B75">
            <v>4</v>
          </cell>
          <cell r="C75">
            <v>9</v>
          </cell>
          <cell r="D75">
            <v>4009</v>
          </cell>
          <cell r="G75" t="str">
            <v>NOT IN SCOPE</v>
          </cell>
        </row>
        <row r="76">
          <cell r="B76">
            <v>4</v>
          </cell>
          <cell r="C76">
            <v>10</v>
          </cell>
          <cell r="D76">
            <v>4010</v>
          </cell>
          <cell r="G76" t="str">
            <v>NOT IN SCOPE</v>
          </cell>
        </row>
        <row r="77">
          <cell r="B77">
            <v>4</v>
          </cell>
          <cell r="C77">
            <v>11</v>
          </cell>
          <cell r="D77">
            <v>4011</v>
          </cell>
          <cell r="G77" t="str">
            <v>NOT IN SCOPE</v>
          </cell>
        </row>
        <row r="78">
          <cell r="B78">
            <v>4</v>
          </cell>
          <cell r="C78">
            <v>12</v>
          </cell>
          <cell r="D78">
            <v>4012</v>
          </cell>
          <cell r="G78" t="str">
            <v>NOT IN SCOPE</v>
          </cell>
        </row>
        <row r="79">
          <cell r="B79">
            <v>4</v>
          </cell>
          <cell r="C79">
            <v>13</v>
          </cell>
          <cell r="D79">
            <v>4013</v>
          </cell>
          <cell r="G79" t="str">
            <v>NOT IN SCOPE</v>
          </cell>
        </row>
        <row r="80">
          <cell r="B80">
            <v>4</v>
          </cell>
          <cell r="C80">
            <v>14</v>
          </cell>
          <cell r="D80">
            <v>4014</v>
          </cell>
          <cell r="G80" t="str">
            <v>NOT IN SCOPE</v>
          </cell>
        </row>
        <row r="81">
          <cell r="B81">
            <v>4</v>
          </cell>
          <cell r="C81">
            <v>15</v>
          </cell>
          <cell r="D81">
            <v>4015</v>
          </cell>
          <cell r="G81" t="str">
            <v>NOT IN SCOPE</v>
          </cell>
        </row>
        <row r="82">
          <cell r="B82">
            <v>4</v>
          </cell>
          <cell r="C82">
            <v>16</v>
          </cell>
          <cell r="D82">
            <v>4016</v>
          </cell>
          <cell r="G82" t="str">
            <v>NOT IN SCOPE</v>
          </cell>
        </row>
        <row r="83">
          <cell r="B83">
            <v>4</v>
          </cell>
          <cell r="C83">
            <v>17</v>
          </cell>
          <cell r="D83">
            <v>4017</v>
          </cell>
          <cell r="G83" t="str">
            <v>NOT IN SCOPE</v>
          </cell>
        </row>
        <row r="84">
          <cell r="B84">
            <v>4</v>
          </cell>
          <cell r="C84">
            <v>18</v>
          </cell>
          <cell r="D84">
            <v>4018</v>
          </cell>
          <cell r="G84" t="str">
            <v>NOT IN SCOPE</v>
          </cell>
        </row>
        <row r="85">
          <cell r="B85">
            <v>4</v>
          </cell>
          <cell r="C85">
            <v>19</v>
          </cell>
          <cell r="D85">
            <v>4019</v>
          </cell>
          <cell r="G85" t="str">
            <v>NOT IN SCOPE</v>
          </cell>
        </row>
        <row r="86">
          <cell r="B86">
            <v>4</v>
          </cell>
          <cell r="C86">
            <v>20</v>
          </cell>
          <cell r="D86">
            <v>4020</v>
          </cell>
          <cell r="G86" t="str">
            <v>NOT IN SCOPE</v>
          </cell>
        </row>
        <row r="87">
          <cell r="B87">
            <v>4</v>
          </cell>
          <cell r="C87">
            <v>21</v>
          </cell>
          <cell r="D87">
            <v>4021</v>
          </cell>
          <cell r="G87" t="str">
            <v>NOT IN SCOPE</v>
          </cell>
        </row>
        <row r="88">
          <cell r="B88">
            <v>4</v>
          </cell>
          <cell r="C88">
            <v>22</v>
          </cell>
          <cell r="D88">
            <v>4022</v>
          </cell>
          <cell r="G88" t="str">
            <v>NOT IN SCOPE</v>
          </cell>
        </row>
        <row r="89">
          <cell r="B89">
            <v>4</v>
          </cell>
          <cell r="C89">
            <v>23</v>
          </cell>
          <cell r="D89">
            <v>4023</v>
          </cell>
          <cell r="G89" t="str">
            <v>NOT IN SCOPE</v>
          </cell>
        </row>
        <row r="90">
          <cell r="B90">
            <v>4</v>
          </cell>
          <cell r="C90">
            <v>24</v>
          </cell>
          <cell r="D90">
            <v>4024</v>
          </cell>
          <cell r="G90" t="str">
            <v>NOT IN SCOPE</v>
          </cell>
        </row>
        <row r="91">
          <cell r="B91">
            <v>4</v>
          </cell>
          <cell r="C91">
            <v>25</v>
          </cell>
          <cell r="D91">
            <v>4025</v>
          </cell>
          <cell r="G91" t="str">
            <v>NOT IN SCOPE</v>
          </cell>
        </row>
        <row r="92">
          <cell r="B92">
            <v>4</v>
          </cell>
          <cell r="C92">
            <v>26</v>
          </cell>
          <cell r="D92">
            <v>4026</v>
          </cell>
          <cell r="G92" t="str">
            <v>NOT IN SCOPE</v>
          </cell>
        </row>
        <row r="93">
          <cell r="B93">
            <v>4</v>
          </cell>
          <cell r="C93">
            <v>27</v>
          </cell>
          <cell r="D93">
            <v>4027</v>
          </cell>
          <cell r="G93" t="str">
            <v>NOT IN SCOPE</v>
          </cell>
        </row>
        <row r="94">
          <cell r="B94">
            <v>4</v>
          </cell>
          <cell r="C94">
            <v>28</v>
          </cell>
          <cell r="D94">
            <v>4028</v>
          </cell>
          <cell r="G94" t="str">
            <v>NOT IN SCOPE</v>
          </cell>
        </row>
        <row r="95">
          <cell r="B95">
            <v>5</v>
          </cell>
          <cell r="C95">
            <v>1</v>
          </cell>
          <cell r="D95">
            <v>5001</v>
          </cell>
          <cell r="G95" t="str">
            <v>NOT IN SCOPE</v>
          </cell>
        </row>
        <row r="96">
          <cell r="B96">
            <v>5</v>
          </cell>
          <cell r="C96">
            <v>2</v>
          </cell>
          <cell r="D96">
            <v>5002</v>
          </cell>
          <cell r="G96" t="str">
            <v>NOT IN SCOPE</v>
          </cell>
        </row>
        <row r="97">
          <cell r="B97">
            <v>5</v>
          </cell>
          <cell r="C97">
            <v>3</v>
          </cell>
          <cell r="D97">
            <v>5003</v>
          </cell>
          <cell r="G97" t="str">
            <v>NOT IN SCOPE</v>
          </cell>
        </row>
        <row r="98">
          <cell r="B98">
            <v>5</v>
          </cell>
          <cell r="C98">
            <v>4</v>
          </cell>
          <cell r="D98">
            <v>5004</v>
          </cell>
          <cell r="G98" t="str">
            <v>NOT IN SCOPE</v>
          </cell>
        </row>
        <row r="99">
          <cell r="B99">
            <v>5</v>
          </cell>
          <cell r="C99">
            <v>5</v>
          </cell>
          <cell r="D99">
            <v>5005</v>
          </cell>
          <cell r="G99" t="str">
            <v>NOT IN SCOPE</v>
          </cell>
        </row>
        <row r="100">
          <cell r="B100">
            <v>5</v>
          </cell>
          <cell r="C100">
            <v>6</v>
          </cell>
          <cell r="D100">
            <v>5006</v>
          </cell>
          <cell r="G100" t="str">
            <v>NOT IN SCOPE</v>
          </cell>
        </row>
        <row r="101">
          <cell r="B101">
            <v>5</v>
          </cell>
          <cell r="C101">
            <v>7</v>
          </cell>
          <cell r="D101">
            <v>5007</v>
          </cell>
          <cell r="G101" t="str">
            <v>NOT IN SCOPE</v>
          </cell>
        </row>
        <row r="102">
          <cell r="B102">
            <v>5</v>
          </cell>
          <cell r="C102">
            <v>8</v>
          </cell>
          <cell r="D102">
            <v>5008</v>
          </cell>
          <cell r="E102" t="str">
            <v>YES</v>
          </cell>
          <cell r="F102">
            <v>5008.09</v>
          </cell>
          <cell r="G102" t="str">
            <v>ORDERED</v>
          </cell>
          <cell r="H102" t="str">
            <v>YES</v>
          </cell>
          <cell r="I102">
            <v>3</v>
          </cell>
          <cell r="J102" t="str">
            <v>NO</v>
          </cell>
          <cell r="L102" t="str">
            <v>NO</v>
          </cell>
          <cell r="N102" t="str">
            <v>YES</v>
          </cell>
          <cell r="O102">
            <v>3</v>
          </cell>
          <cell r="P102" t="str">
            <v>YES</v>
          </cell>
          <cell r="Q102">
            <v>3</v>
          </cell>
          <cell r="R102" t="str">
            <v>NO</v>
          </cell>
          <cell r="T102" t="str">
            <v>NO</v>
          </cell>
          <cell r="V102" t="str">
            <v>YES</v>
          </cell>
          <cell r="W102">
            <v>3</v>
          </cell>
          <cell r="X102" t="str">
            <v>NO</v>
          </cell>
          <cell r="Z102" t="str">
            <v>NO</v>
          </cell>
          <cell r="AB102" t="str">
            <v>YES</v>
          </cell>
          <cell r="AC102">
            <v>3</v>
          </cell>
          <cell r="AD102" t="str">
            <v>YES</v>
          </cell>
          <cell r="AE102">
            <v>3</v>
          </cell>
          <cell r="AF102" t="str">
            <v>YES</v>
          </cell>
          <cell r="AG102">
            <v>3</v>
          </cell>
          <cell r="AH102" t="str">
            <v>NO</v>
          </cell>
          <cell r="AJ102" t="str">
            <v>NO</v>
          </cell>
          <cell r="AL102" t="str">
            <v>NO</v>
          </cell>
          <cell r="AN102" t="str">
            <v>YES</v>
          </cell>
          <cell r="AO102">
            <v>3</v>
          </cell>
          <cell r="AP102" t="str">
            <v>NO</v>
          </cell>
        </row>
        <row r="103">
          <cell r="B103">
            <v>5</v>
          </cell>
          <cell r="C103">
            <v>9</v>
          </cell>
          <cell r="D103">
            <v>5009</v>
          </cell>
          <cell r="E103" t="str">
            <v>YES</v>
          </cell>
          <cell r="F103">
            <v>5008.09</v>
          </cell>
          <cell r="G103" t="str">
            <v>ORDERED</v>
          </cell>
          <cell r="H103" t="str">
            <v>NO</v>
          </cell>
          <cell r="J103" t="str">
            <v>NO</v>
          </cell>
          <cell r="L103" t="str">
            <v>NO</v>
          </cell>
          <cell r="N103" t="str">
            <v>NO</v>
          </cell>
          <cell r="P103" t="str">
            <v>NO</v>
          </cell>
          <cell r="R103" t="str">
            <v>NO</v>
          </cell>
          <cell r="T103" t="str">
            <v>NO</v>
          </cell>
          <cell r="V103" t="str">
            <v>NO</v>
          </cell>
          <cell r="X103" t="str">
            <v>NO</v>
          </cell>
          <cell r="Z103" t="str">
            <v>NO</v>
          </cell>
          <cell r="AB103" t="str">
            <v>NO</v>
          </cell>
          <cell r="AD103" t="str">
            <v>NO</v>
          </cell>
          <cell r="AF103" t="str">
            <v>NO</v>
          </cell>
          <cell r="AH103" t="str">
            <v>NO</v>
          </cell>
          <cell r="AJ103" t="str">
            <v>NO</v>
          </cell>
          <cell r="AL103" t="str">
            <v>NO</v>
          </cell>
          <cell r="AN103" t="str">
            <v>NO</v>
          </cell>
          <cell r="AP103" t="str">
            <v>NO</v>
          </cell>
        </row>
        <row r="104">
          <cell r="B104">
            <v>5</v>
          </cell>
          <cell r="C104">
            <v>10</v>
          </cell>
          <cell r="D104">
            <v>5010</v>
          </cell>
          <cell r="G104" t="str">
            <v>NOT IN SCOPE</v>
          </cell>
        </row>
        <row r="105">
          <cell r="B105">
            <v>5</v>
          </cell>
          <cell r="C105">
            <v>11</v>
          </cell>
          <cell r="D105">
            <v>5011</v>
          </cell>
          <cell r="G105" t="str">
            <v>NOT IN SCOPE</v>
          </cell>
        </row>
        <row r="106">
          <cell r="B106">
            <v>5</v>
          </cell>
          <cell r="C106">
            <v>12</v>
          </cell>
          <cell r="D106">
            <v>5012</v>
          </cell>
          <cell r="G106" t="str">
            <v>NOT IN SCOPE</v>
          </cell>
        </row>
        <row r="107">
          <cell r="B107">
            <v>5</v>
          </cell>
          <cell r="C107">
            <v>13</v>
          </cell>
          <cell r="D107">
            <v>5013</v>
          </cell>
          <cell r="G107" t="str">
            <v>NOT IN SCOPE</v>
          </cell>
        </row>
        <row r="108">
          <cell r="B108">
            <v>5</v>
          </cell>
          <cell r="C108">
            <v>14</v>
          </cell>
          <cell r="D108">
            <v>5014</v>
          </cell>
          <cell r="G108" t="str">
            <v>NOT IN SCOPE</v>
          </cell>
        </row>
        <row r="109">
          <cell r="B109">
            <v>5</v>
          </cell>
          <cell r="C109">
            <v>15</v>
          </cell>
          <cell r="D109">
            <v>5015</v>
          </cell>
          <cell r="G109" t="str">
            <v>NOT IN SCOPE</v>
          </cell>
        </row>
        <row r="110">
          <cell r="B110">
            <v>5</v>
          </cell>
          <cell r="C110">
            <v>16</v>
          </cell>
          <cell r="D110">
            <v>5016</v>
          </cell>
          <cell r="G110" t="str">
            <v>NOT IN SCOPE</v>
          </cell>
        </row>
        <row r="111">
          <cell r="B111">
            <v>5</v>
          </cell>
          <cell r="C111">
            <v>17</v>
          </cell>
          <cell r="D111">
            <v>5017</v>
          </cell>
          <cell r="G111" t="str">
            <v>NOT IN SCOPE</v>
          </cell>
        </row>
        <row r="112">
          <cell r="B112">
            <v>5</v>
          </cell>
          <cell r="C112">
            <v>18</v>
          </cell>
          <cell r="D112">
            <v>5018</v>
          </cell>
          <cell r="G112" t="str">
            <v>NOT IN SCOPE</v>
          </cell>
        </row>
        <row r="113">
          <cell r="B113">
            <v>5</v>
          </cell>
          <cell r="C113">
            <v>19</v>
          </cell>
          <cell r="D113">
            <v>5019</v>
          </cell>
          <cell r="E113" t="str">
            <v>NO</v>
          </cell>
          <cell r="F113" t="str">
            <v>3B-06</v>
          </cell>
          <cell r="G113" t="str">
            <v>ORDERED</v>
          </cell>
          <cell r="H113" t="str">
            <v>YES</v>
          </cell>
          <cell r="I113">
            <v>3</v>
          </cell>
          <cell r="J113" t="str">
            <v>NO</v>
          </cell>
          <cell r="L113" t="str">
            <v>NO</v>
          </cell>
          <cell r="N113" t="str">
            <v>YES</v>
          </cell>
          <cell r="O113">
            <v>3</v>
          </cell>
          <cell r="P113" t="str">
            <v>NO</v>
          </cell>
          <cell r="R113" t="str">
            <v>YES</v>
          </cell>
          <cell r="S113">
            <v>3</v>
          </cell>
          <cell r="T113" t="str">
            <v>NO</v>
          </cell>
          <cell r="V113" t="str">
            <v>YES</v>
          </cell>
          <cell r="W113">
            <v>3</v>
          </cell>
          <cell r="X113" t="str">
            <v>NO</v>
          </cell>
          <cell r="Z113" t="str">
            <v>YES</v>
          </cell>
          <cell r="AA113">
            <v>3</v>
          </cell>
          <cell r="AB113" t="str">
            <v>YES</v>
          </cell>
          <cell r="AC113">
            <v>3</v>
          </cell>
          <cell r="AD113" t="str">
            <v>YES</v>
          </cell>
          <cell r="AE113">
            <v>3</v>
          </cell>
          <cell r="AF113" t="str">
            <v>YES</v>
          </cell>
          <cell r="AG113">
            <v>3</v>
          </cell>
          <cell r="AH113" t="str">
            <v>NO</v>
          </cell>
          <cell r="AJ113" t="str">
            <v>NO</v>
          </cell>
          <cell r="AL113" t="str">
            <v>YES</v>
          </cell>
          <cell r="AM113">
            <v>3</v>
          </cell>
          <cell r="AN113" t="str">
            <v>YES</v>
          </cell>
          <cell r="AO113">
            <v>3</v>
          </cell>
          <cell r="AP113" t="str">
            <v>NO</v>
          </cell>
        </row>
        <row r="114">
          <cell r="B114">
            <v>5</v>
          </cell>
          <cell r="C114">
            <v>20</v>
          </cell>
          <cell r="D114">
            <v>5020</v>
          </cell>
          <cell r="E114" t="str">
            <v>NO</v>
          </cell>
          <cell r="F114" t="str">
            <v>1B-06</v>
          </cell>
          <cell r="G114" t="str">
            <v>ORDERED</v>
          </cell>
          <cell r="H114" t="str">
            <v>YES</v>
          </cell>
          <cell r="I114">
            <v>4</v>
          </cell>
          <cell r="J114" t="str">
            <v>NO</v>
          </cell>
          <cell r="L114" t="str">
            <v>NO</v>
          </cell>
          <cell r="N114" t="str">
            <v>YES</v>
          </cell>
          <cell r="O114">
            <v>4</v>
          </cell>
          <cell r="P114" t="str">
            <v>NO</v>
          </cell>
          <cell r="R114" t="str">
            <v>NO</v>
          </cell>
          <cell r="T114" t="str">
            <v>NO</v>
          </cell>
          <cell r="V114" t="str">
            <v>YES</v>
          </cell>
          <cell r="W114">
            <v>4</v>
          </cell>
          <cell r="X114" t="str">
            <v>NO</v>
          </cell>
          <cell r="Z114" t="str">
            <v>NO</v>
          </cell>
          <cell r="AB114" t="str">
            <v>YES</v>
          </cell>
          <cell r="AC114">
            <v>4</v>
          </cell>
          <cell r="AD114" t="str">
            <v>NO</v>
          </cell>
          <cell r="AF114" t="str">
            <v>NO</v>
          </cell>
          <cell r="AH114" t="str">
            <v>NO</v>
          </cell>
          <cell r="AJ114" t="str">
            <v>NO</v>
          </cell>
          <cell r="AL114" t="str">
            <v>NO</v>
          </cell>
          <cell r="AN114" t="str">
            <v>NO</v>
          </cell>
          <cell r="AP114" t="str">
            <v>NO</v>
          </cell>
        </row>
        <row r="115">
          <cell r="B115">
            <v>5</v>
          </cell>
          <cell r="C115">
            <v>21</v>
          </cell>
          <cell r="D115">
            <v>5021</v>
          </cell>
          <cell r="E115" t="str">
            <v>NO</v>
          </cell>
          <cell r="F115" t="str">
            <v>2B-06</v>
          </cell>
          <cell r="G115" t="str">
            <v>ORDERED</v>
          </cell>
          <cell r="H115" t="str">
            <v>YES</v>
          </cell>
          <cell r="I115">
            <v>4</v>
          </cell>
          <cell r="J115" t="str">
            <v>NO</v>
          </cell>
          <cell r="L115" t="str">
            <v>YES</v>
          </cell>
          <cell r="M115">
            <v>4</v>
          </cell>
          <cell r="N115" t="str">
            <v>YES</v>
          </cell>
          <cell r="O115">
            <v>4</v>
          </cell>
          <cell r="P115" t="str">
            <v>NO</v>
          </cell>
          <cell r="R115" t="str">
            <v>NO</v>
          </cell>
          <cell r="T115" t="str">
            <v>NO</v>
          </cell>
          <cell r="V115" t="str">
            <v>YES</v>
          </cell>
          <cell r="W115">
            <v>4</v>
          </cell>
          <cell r="X115" t="str">
            <v>NO</v>
          </cell>
          <cell r="Z115" t="str">
            <v>NO</v>
          </cell>
          <cell r="AB115" t="str">
            <v>YES</v>
          </cell>
          <cell r="AC115">
            <v>4</v>
          </cell>
          <cell r="AD115" t="str">
            <v>YES</v>
          </cell>
          <cell r="AE115">
            <v>4</v>
          </cell>
          <cell r="AF115" t="str">
            <v>NO</v>
          </cell>
          <cell r="AH115" t="str">
            <v>NO</v>
          </cell>
          <cell r="AJ115" t="str">
            <v>NO</v>
          </cell>
          <cell r="AL115" t="str">
            <v>NO</v>
          </cell>
          <cell r="AN115" t="str">
            <v>NO</v>
          </cell>
          <cell r="AP115" t="str">
            <v>NO</v>
          </cell>
        </row>
        <row r="116">
          <cell r="B116">
            <v>5</v>
          </cell>
          <cell r="C116">
            <v>22</v>
          </cell>
          <cell r="D116">
            <v>5022</v>
          </cell>
          <cell r="G116" t="str">
            <v>NOT IN SCOPE</v>
          </cell>
        </row>
        <row r="117">
          <cell r="B117">
            <v>5</v>
          </cell>
          <cell r="C117">
            <v>23</v>
          </cell>
          <cell r="D117">
            <v>5023</v>
          </cell>
          <cell r="G117" t="str">
            <v>NOT IN SCOPE</v>
          </cell>
        </row>
        <row r="118">
          <cell r="B118">
            <v>5</v>
          </cell>
          <cell r="C118">
            <v>24</v>
          </cell>
          <cell r="D118">
            <v>5024</v>
          </cell>
          <cell r="G118" t="str">
            <v>NOT IN SCOPE</v>
          </cell>
        </row>
        <row r="119">
          <cell r="B119">
            <v>5</v>
          </cell>
          <cell r="C119">
            <v>25</v>
          </cell>
          <cell r="D119">
            <v>5025</v>
          </cell>
          <cell r="E119" t="str">
            <v>NO</v>
          </cell>
          <cell r="F119" t="str">
            <v>2B-09</v>
          </cell>
          <cell r="G119" t="str">
            <v>ORDERED</v>
          </cell>
          <cell r="H119" t="str">
            <v>YES</v>
          </cell>
          <cell r="I119">
            <v>4</v>
          </cell>
          <cell r="J119" t="str">
            <v>NO</v>
          </cell>
          <cell r="L119" t="str">
            <v>NO</v>
          </cell>
          <cell r="N119" t="str">
            <v>YES</v>
          </cell>
          <cell r="O119">
            <v>4</v>
          </cell>
          <cell r="P119" t="str">
            <v>NO</v>
          </cell>
          <cell r="R119" t="str">
            <v>NO</v>
          </cell>
          <cell r="T119" t="str">
            <v>NO</v>
          </cell>
          <cell r="V119" t="str">
            <v>YES</v>
          </cell>
          <cell r="W119">
            <v>4</v>
          </cell>
          <cell r="X119" t="str">
            <v>NO</v>
          </cell>
          <cell r="Z119" t="str">
            <v>NO</v>
          </cell>
          <cell r="AB119" t="str">
            <v>YES</v>
          </cell>
          <cell r="AC119">
            <v>4</v>
          </cell>
          <cell r="AD119" t="str">
            <v>YES</v>
          </cell>
          <cell r="AE119">
            <v>4</v>
          </cell>
          <cell r="AF119" t="str">
            <v>NO</v>
          </cell>
          <cell r="AH119" t="str">
            <v>NO</v>
          </cell>
          <cell r="AJ119" t="str">
            <v>NO</v>
          </cell>
          <cell r="AL119" t="str">
            <v>YES</v>
          </cell>
          <cell r="AM119">
            <v>4</v>
          </cell>
          <cell r="AN119" t="str">
            <v>NO</v>
          </cell>
          <cell r="AP119" t="str">
            <v>NO</v>
          </cell>
        </row>
        <row r="120">
          <cell r="B120">
            <v>5</v>
          </cell>
          <cell r="C120">
            <v>26</v>
          </cell>
          <cell r="D120">
            <v>5026</v>
          </cell>
          <cell r="G120" t="str">
            <v>NOT IN SCOPE</v>
          </cell>
        </row>
        <row r="121">
          <cell r="B121">
            <v>5</v>
          </cell>
          <cell r="C121">
            <v>27</v>
          </cell>
          <cell r="D121">
            <v>5027</v>
          </cell>
          <cell r="G121" t="str">
            <v>NOT IN SCOPE</v>
          </cell>
        </row>
        <row r="122">
          <cell r="B122">
            <v>5</v>
          </cell>
          <cell r="C122">
            <v>28</v>
          </cell>
          <cell r="D122">
            <v>5028</v>
          </cell>
          <cell r="G122" t="str">
            <v>NOT IN SCOPE</v>
          </cell>
        </row>
        <row r="123">
          <cell r="B123">
            <v>6</v>
          </cell>
          <cell r="C123">
            <v>1</v>
          </cell>
          <cell r="D123">
            <v>6001</v>
          </cell>
          <cell r="G123" t="str">
            <v>NOT IN SCOPE</v>
          </cell>
        </row>
        <row r="124">
          <cell r="B124">
            <v>6</v>
          </cell>
          <cell r="C124">
            <v>2</v>
          </cell>
          <cell r="D124">
            <v>6002</v>
          </cell>
          <cell r="E124" t="str">
            <v>YES</v>
          </cell>
          <cell r="F124">
            <v>6002.03</v>
          </cell>
          <cell r="G124" t="str">
            <v>ORDERED</v>
          </cell>
          <cell r="H124" t="str">
            <v>YES</v>
          </cell>
          <cell r="I124">
            <v>4</v>
          </cell>
          <cell r="J124" t="str">
            <v>NO</v>
          </cell>
          <cell r="L124" t="str">
            <v>NO</v>
          </cell>
          <cell r="N124" t="str">
            <v>YES</v>
          </cell>
          <cell r="O124">
            <v>4</v>
          </cell>
          <cell r="P124" t="str">
            <v>NO</v>
          </cell>
          <cell r="R124" t="str">
            <v>NO</v>
          </cell>
          <cell r="T124" t="str">
            <v>NO</v>
          </cell>
          <cell r="V124" t="str">
            <v>YES</v>
          </cell>
          <cell r="W124">
            <v>4</v>
          </cell>
          <cell r="X124" t="str">
            <v>NO</v>
          </cell>
          <cell r="Z124" t="str">
            <v>NO</v>
          </cell>
          <cell r="AB124" t="str">
            <v>YES</v>
          </cell>
          <cell r="AC124">
            <v>4</v>
          </cell>
          <cell r="AD124" t="str">
            <v>YES</v>
          </cell>
          <cell r="AE124">
            <v>4</v>
          </cell>
          <cell r="AF124" t="str">
            <v>YES</v>
          </cell>
          <cell r="AG124">
            <v>4</v>
          </cell>
          <cell r="AH124" t="str">
            <v>YES</v>
          </cell>
          <cell r="AI124">
            <v>4</v>
          </cell>
          <cell r="AJ124" t="str">
            <v>NO</v>
          </cell>
          <cell r="AL124" t="str">
            <v>YES</v>
          </cell>
          <cell r="AM124">
            <v>4</v>
          </cell>
          <cell r="AN124" t="str">
            <v>NO</v>
          </cell>
          <cell r="AP124" t="str">
            <v>NO</v>
          </cell>
        </row>
        <row r="125">
          <cell r="B125">
            <v>6</v>
          </cell>
          <cell r="C125">
            <v>3</v>
          </cell>
          <cell r="D125">
            <v>6003</v>
          </cell>
          <cell r="E125" t="str">
            <v>YES</v>
          </cell>
          <cell r="F125">
            <v>6002.03</v>
          </cell>
          <cell r="G125" t="str">
            <v>ORDERED</v>
          </cell>
          <cell r="H125" t="str">
            <v>NO</v>
          </cell>
          <cell r="J125" t="str">
            <v>NO</v>
          </cell>
          <cell r="L125" t="str">
            <v>NO</v>
          </cell>
          <cell r="N125" t="str">
            <v>NO</v>
          </cell>
          <cell r="P125" t="str">
            <v>NO</v>
          </cell>
          <cell r="R125" t="str">
            <v>NO</v>
          </cell>
          <cell r="T125" t="str">
            <v>NO</v>
          </cell>
          <cell r="V125" t="str">
            <v>NO</v>
          </cell>
          <cell r="X125" t="str">
            <v>NO</v>
          </cell>
          <cell r="Z125" t="str">
            <v>NO</v>
          </cell>
          <cell r="AB125" t="str">
            <v>NO</v>
          </cell>
          <cell r="AD125" t="str">
            <v>NO</v>
          </cell>
          <cell r="AF125" t="str">
            <v>NO</v>
          </cell>
          <cell r="AH125" t="str">
            <v>NO</v>
          </cell>
          <cell r="AJ125" t="str">
            <v>NO</v>
          </cell>
          <cell r="AL125" t="str">
            <v>NO</v>
          </cell>
          <cell r="AN125" t="str">
            <v>NO</v>
          </cell>
          <cell r="AP125" t="str">
            <v>NO</v>
          </cell>
        </row>
        <row r="126">
          <cell r="B126">
            <v>6</v>
          </cell>
          <cell r="C126">
            <v>4</v>
          </cell>
          <cell r="D126">
            <v>6004</v>
          </cell>
          <cell r="G126" t="str">
            <v>NOT IN SCOPE</v>
          </cell>
        </row>
        <row r="127">
          <cell r="B127">
            <v>6</v>
          </cell>
          <cell r="C127">
            <v>5</v>
          </cell>
          <cell r="D127">
            <v>6005</v>
          </cell>
          <cell r="G127" t="str">
            <v>NOT IN SCOPE</v>
          </cell>
        </row>
        <row r="128">
          <cell r="B128">
            <v>6</v>
          </cell>
          <cell r="C128">
            <v>6</v>
          </cell>
          <cell r="D128">
            <v>6006</v>
          </cell>
          <cell r="G128" t="str">
            <v>NOT IN SCOPE</v>
          </cell>
        </row>
        <row r="129">
          <cell r="B129">
            <v>6</v>
          </cell>
          <cell r="C129">
            <v>7</v>
          </cell>
          <cell r="D129">
            <v>6007</v>
          </cell>
          <cell r="E129" t="str">
            <v>NO</v>
          </cell>
          <cell r="F129" t="str">
            <v>1B-02</v>
          </cell>
          <cell r="G129" t="str">
            <v>ORDERED</v>
          </cell>
          <cell r="H129" t="str">
            <v>YES</v>
          </cell>
          <cell r="J129" t="str">
            <v>NO</v>
          </cell>
          <cell r="L129" t="str">
            <v>NO</v>
          </cell>
          <cell r="N129" t="str">
            <v>YES</v>
          </cell>
          <cell r="P129" t="str">
            <v>NO</v>
          </cell>
          <cell r="R129" t="str">
            <v>NO</v>
          </cell>
          <cell r="T129" t="str">
            <v>NO</v>
          </cell>
          <cell r="V129" t="str">
            <v>YES</v>
          </cell>
          <cell r="X129" t="str">
            <v>NO</v>
          </cell>
          <cell r="Z129" t="str">
            <v>NO</v>
          </cell>
          <cell r="AB129" t="str">
            <v>YES</v>
          </cell>
          <cell r="AD129" t="str">
            <v>NO</v>
          </cell>
          <cell r="AF129" t="str">
            <v>NO</v>
          </cell>
          <cell r="AH129" t="str">
            <v>NO</v>
          </cell>
          <cell r="AJ129" t="str">
            <v>NO</v>
          </cell>
          <cell r="AL129" t="str">
            <v>NO</v>
          </cell>
          <cell r="AN129" t="str">
            <v>NO</v>
          </cell>
          <cell r="AP129" t="str">
            <v>NO</v>
          </cell>
        </row>
        <row r="130">
          <cell r="B130">
            <v>6</v>
          </cell>
          <cell r="C130">
            <v>8</v>
          </cell>
          <cell r="D130">
            <v>6008</v>
          </cell>
          <cell r="G130" t="str">
            <v>NOT IN SCOPE</v>
          </cell>
        </row>
        <row r="131">
          <cell r="B131">
            <v>6</v>
          </cell>
          <cell r="C131">
            <v>9</v>
          </cell>
          <cell r="D131">
            <v>6009</v>
          </cell>
          <cell r="E131" t="str">
            <v>NO</v>
          </cell>
          <cell r="F131" t="str">
            <v>1B-03</v>
          </cell>
          <cell r="G131" t="str">
            <v>ORDERED</v>
          </cell>
          <cell r="H131" t="str">
            <v>YES</v>
          </cell>
          <cell r="J131" t="str">
            <v>NO</v>
          </cell>
          <cell r="L131" t="str">
            <v>NO</v>
          </cell>
          <cell r="N131" t="str">
            <v>YES</v>
          </cell>
          <cell r="P131" t="str">
            <v>NO</v>
          </cell>
          <cell r="R131" t="str">
            <v>NO</v>
          </cell>
          <cell r="T131" t="str">
            <v>NO</v>
          </cell>
          <cell r="V131" t="str">
            <v>YES</v>
          </cell>
          <cell r="X131" t="str">
            <v>NO</v>
          </cell>
          <cell r="Z131" t="str">
            <v>NO</v>
          </cell>
          <cell r="AB131" t="str">
            <v>YES</v>
          </cell>
          <cell r="AD131" t="str">
            <v>NO</v>
          </cell>
          <cell r="AF131" t="str">
            <v>NO</v>
          </cell>
          <cell r="AH131" t="str">
            <v>NO</v>
          </cell>
          <cell r="AJ131" t="str">
            <v>YES</v>
          </cell>
          <cell r="AL131" t="str">
            <v>NO</v>
          </cell>
          <cell r="AN131" t="str">
            <v>NO</v>
          </cell>
          <cell r="AP131" t="str">
            <v>NO</v>
          </cell>
        </row>
        <row r="132">
          <cell r="B132">
            <v>6</v>
          </cell>
          <cell r="C132">
            <v>10</v>
          </cell>
          <cell r="D132">
            <v>6010</v>
          </cell>
          <cell r="E132" t="str">
            <v>NO</v>
          </cell>
          <cell r="F132" t="str">
            <v>2B-03</v>
          </cell>
          <cell r="G132" t="str">
            <v>ORDERED</v>
          </cell>
          <cell r="H132" t="str">
            <v>YES</v>
          </cell>
          <cell r="J132" t="str">
            <v>NO</v>
          </cell>
          <cell r="L132" t="str">
            <v>NO</v>
          </cell>
          <cell r="N132" t="str">
            <v>YES</v>
          </cell>
          <cell r="P132" t="str">
            <v>NO</v>
          </cell>
          <cell r="R132" t="str">
            <v>NO</v>
          </cell>
          <cell r="T132" t="str">
            <v>NO</v>
          </cell>
          <cell r="V132" t="str">
            <v>YES</v>
          </cell>
          <cell r="X132" t="str">
            <v>NO</v>
          </cell>
          <cell r="Z132" t="str">
            <v>NO</v>
          </cell>
          <cell r="AB132" t="str">
            <v>YES</v>
          </cell>
          <cell r="AD132" t="str">
            <v>YES</v>
          </cell>
          <cell r="AF132" t="str">
            <v>NO</v>
          </cell>
          <cell r="AH132" t="str">
            <v>NO</v>
          </cell>
          <cell r="AJ132" t="str">
            <v>NO</v>
          </cell>
          <cell r="AL132" t="str">
            <v>NO</v>
          </cell>
          <cell r="AN132" t="str">
            <v>NO</v>
          </cell>
          <cell r="AP132" t="str">
            <v>NO</v>
          </cell>
        </row>
        <row r="133">
          <cell r="B133">
            <v>6</v>
          </cell>
          <cell r="C133">
            <v>11</v>
          </cell>
          <cell r="D133">
            <v>6011</v>
          </cell>
          <cell r="G133" t="str">
            <v>NOT IN SCOPE</v>
          </cell>
        </row>
        <row r="134">
          <cell r="B134">
            <v>6</v>
          </cell>
          <cell r="C134">
            <v>12</v>
          </cell>
          <cell r="D134">
            <v>6012</v>
          </cell>
          <cell r="G134" t="str">
            <v>NOT IN SCOPE</v>
          </cell>
        </row>
        <row r="135">
          <cell r="B135">
            <v>6</v>
          </cell>
          <cell r="C135">
            <v>13</v>
          </cell>
          <cell r="D135">
            <v>6013</v>
          </cell>
          <cell r="G135" t="str">
            <v>NOT IN SCOPE</v>
          </cell>
        </row>
        <row r="136">
          <cell r="B136">
            <v>6</v>
          </cell>
          <cell r="C136">
            <v>14</v>
          </cell>
          <cell r="D136">
            <v>6014</v>
          </cell>
          <cell r="G136" t="str">
            <v>NOT IN SCOPE</v>
          </cell>
        </row>
        <row r="137">
          <cell r="B137">
            <v>6</v>
          </cell>
          <cell r="C137">
            <v>15</v>
          </cell>
          <cell r="D137">
            <v>6015</v>
          </cell>
          <cell r="G137" t="str">
            <v>NOT IN SCOPE</v>
          </cell>
        </row>
        <row r="138">
          <cell r="B138">
            <v>6</v>
          </cell>
          <cell r="C138">
            <v>16</v>
          </cell>
          <cell r="D138">
            <v>6016</v>
          </cell>
          <cell r="G138" t="str">
            <v>NOT IN SCOPE</v>
          </cell>
        </row>
        <row r="139">
          <cell r="B139">
            <v>6</v>
          </cell>
          <cell r="C139">
            <v>17</v>
          </cell>
          <cell r="D139">
            <v>6017</v>
          </cell>
          <cell r="E139" t="str">
            <v>YES</v>
          </cell>
          <cell r="F139">
            <v>6017.18</v>
          </cell>
          <cell r="G139" t="str">
            <v>ORDERED</v>
          </cell>
          <cell r="H139" t="str">
            <v>NO</v>
          </cell>
          <cell r="J139" t="str">
            <v>NO</v>
          </cell>
          <cell r="L139" t="str">
            <v>NO</v>
          </cell>
          <cell r="N139" t="str">
            <v>YES</v>
          </cell>
          <cell r="P139" t="str">
            <v>NO</v>
          </cell>
          <cell r="R139" t="str">
            <v>NO</v>
          </cell>
          <cell r="T139" t="str">
            <v>NO</v>
          </cell>
          <cell r="V139" t="str">
            <v>YES</v>
          </cell>
          <cell r="X139" t="str">
            <v>NO</v>
          </cell>
          <cell r="Z139" t="str">
            <v>NO</v>
          </cell>
          <cell r="AB139" t="str">
            <v>YES</v>
          </cell>
          <cell r="AD139" t="str">
            <v>YES</v>
          </cell>
          <cell r="AF139" t="str">
            <v>YES</v>
          </cell>
          <cell r="AH139" t="str">
            <v>YES</v>
          </cell>
          <cell r="AJ139" t="str">
            <v>NO</v>
          </cell>
          <cell r="AL139" t="str">
            <v>YES</v>
          </cell>
          <cell r="AN139" t="str">
            <v>NO</v>
          </cell>
          <cell r="AP139" t="str">
            <v>NO</v>
          </cell>
        </row>
        <row r="140">
          <cell r="B140">
            <v>6</v>
          </cell>
          <cell r="C140">
            <v>18</v>
          </cell>
          <cell r="D140">
            <v>6018</v>
          </cell>
          <cell r="E140" t="str">
            <v>YES</v>
          </cell>
          <cell r="F140">
            <v>6017.18</v>
          </cell>
          <cell r="G140" t="str">
            <v>ORDERED</v>
          </cell>
          <cell r="H140" t="str">
            <v>NO</v>
          </cell>
          <cell r="J140" t="str">
            <v>NO</v>
          </cell>
          <cell r="L140" t="str">
            <v>NO</v>
          </cell>
          <cell r="N140" t="str">
            <v>NO</v>
          </cell>
          <cell r="P140" t="str">
            <v>NO</v>
          </cell>
          <cell r="R140" t="str">
            <v>NO</v>
          </cell>
          <cell r="T140" t="str">
            <v>NO</v>
          </cell>
          <cell r="V140" t="str">
            <v>NO</v>
          </cell>
          <cell r="X140" t="str">
            <v>NO</v>
          </cell>
          <cell r="Z140" t="str">
            <v>NO</v>
          </cell>
          <cell r="AB140" t="str">
            <v>NO</v>
          </cell>
          <cell r="AD140" t="str">
            <v>NO</v>
          </cell>
          <cell r="AF140" t="str">
            <v>NO</v>
          </cell>
          <cell r="AH140" t="str">
            <v>NO</v>
          </cell>
          <cell r="AJ140" t="str">
            <v>NO</v>
          </cell>
          <cell r="AL140" t="str">
            <v>NO</v>
          </cell>
          <cell r="AN140" t="str">
            <v>NO</v>
          </cell>
          <cell r="AP140" t="str">
            <v>NO</v>
          </cell>
        </row>
        <row r="141">
          <cell r="B141">
            <v>6</v>
          </cell>
          <cell r="C141">
            <v>19</v>
          </cell>
          <cell r="D141">
            <v>6019</v>
          </cell>
          <cell r="E141" t="str">
            <v>YES</v>
          </cell>
          <cell r="F141">
            <v>6019.2</v>
          </cell>
          <cell r="G141" t="str">
            <v>ORDERED</v>
          </cell>
          <cell r="H141" t="str">
            <v>YES</v>
          </cell>
          <cell r="J141" t="str">
            <v>NO</v>
          </cell>
          <cell r="L141" t="str">
            <v>NO</v>
          </cell>
          <cell r="N141" t="str">
            <v>YES</v>
          </cell>
          <cell r="P141" t="str">
            <v>NO</v>
          </cell>
          <cell r="R141" t="str">
            <v>YES</v>
          </cell>
          <cell r="T141" t="str">
            <v>NO</v>
          </cell>
          <cell r="V141" t="str">
            <v>YES</v>
          </cell>
          <cell r="X141" t="str">
            <v>NO</v>
          </cell>
          <cell r="Z141" t="str">
            <v>YES</v>
          </cell>
          <cell r="AB141" t="str">
            <v>YES</v>
          </cell>
          <cell r="AD141" t="str">
            <v>YES</v>
          </cell>
          <cell r="AF141" t="str">
            <v>NO</v>
          </cell>
          <cell r="AH141" t="str">
            <v>NO</v>
          </cell>
          <cell r="AJ141" t="str">
            <v>NO</v>
          </cell>
          <cell r="AL141" t="str">
            <v>YES</v>
          </cell>
          <cell r="AN141" t="str">
            <v>NO</v>
          </cell>
          <cell r="AP141" t="str">
            <v>NO</v>
          </cell>
        </row>
        <row r="142">
          <cell r="B142">
            <v>6</v>
          </cell>
          <cell r="C142">
            <v>20</v>
          </cell>
          <cell r="D142">
            <v>6020</v>
          </cell>
          <cell r="E142" t="str">
            <v>YES</v>
          </cell>
          <cell r="F142">
            <v>6019.2</v>
          </cell>
          <cell r="G142" t="str">
            <v>ORDERED</v>
          </cell>
          <cell r="H142" t="str">
            <v>NO</v>
          </cell>
          <cell r="J142" t="str">
            <v>NO</v>
          </cell>
          <cell r="L142" t="str">
            <v>NO</v>
          </cell>
          <cell r="N142" t="str">
            <v>NO</v>
          </cell>
          <cell r="P142" t="str">
            <v>NO</v>
          </cell>
          <cell r="R142" t="str">
            <v>NO</v>
          </cell>
          <cell r="T142" t="str">
            <v>NO</v>
          </cell>
          <cell r="V142" t="str">
            <v>NO</v>
          </cell>
          <cell r="X142" t="str">
            <v>NO</v>
          </cell>
          <cell r="Z142" t="str">
            <v>NO</v>
          </cell>
          <cell r="AB142" t="str">
            <v>NO</v>
          </cell>
          <cell r="AD142" t="str">
            <v>NO</v>
          </cell>
          <cell r="AF142" t="str">
            <v>NO</v>
          </cell>
          <cell r="AH142" t="str">
            <v>NO</v>
          </cell>
          <cell r="AJ142" t="str">
            <v>NO</v>
          </cell>
          <cell r="AL142" t="str">
            <v>NO</v>
          </cell>
          <cell r="AN142" t="str">
            <v>NO</v>
          </cell>
          <cell r="AP142" t="str">
            <v>NO</v>
          </cell>
        </row>
        <row r="143">
          <cell r="B143">
            <v>6</v>
          </cell>
          <cell r="C143">
            <v>21</v>
          </cell>
          <cell r="D143">
            <v>6021</v>
          </cell>
          <cell r="G143" t="str">
            <v>NOT IN SCOPE</v>
          </cell>
        </row>
        <row r="144">
          <cell r="B144">
            <v>6</v>
          </cell>
          <cell r="C144">
            <v>22</v>
          </cell>
          <cell r="D144">
            <v>6022</v>
          </cell>
          <cell r="G144" t="str">
            <v>NOT IN SCOPE</v>
          </cell>
        </row>
        <row r="145">
          <cell r="B145">
            <v>6</v>
          </cell>
          <cell r="C145">
            <v>23</v>
          </cell>
          <cell r="D145">
            <v>6023</v>
          </cell>
          <cell r="G145" t="str">
            <v>NOT IN SCOPE</v>
          </cell>
        </row>
        <row r="146">
          <cell r="B146">
            <v>6</v>
          </cell>
          <cell r="C146">
            <v>24</v>
          </cell>
          <cell r="D146">
            <v>6024</v>
          </cell>
          <cell r="G146" t="str">
            <v>NOT IN SCOPE</v>
          </cell>
        </row>
        <row r="147">
          <cell r="B147">
            <v>6</v>
          </cell>
          <cell r="C147">
            <v>25</v>
          </cell>
          <cell r="D147">
            <v>6025</v>
          </cell>
          <cell r="E147" t="str">
            <v>NO</v>
          </cell>
          <cell r="F147" t="str">
            <v>2B-09</v>
          </cell>
          <cell r="G147" t="str">
            <v>ORDERED</v>
          </cell>
          <cell r="H147" t="str">
            <v>YES</v>
          </cell>
          <cell r="J147" t="str">
            <v>NO</v>
          </cell>
          <cell r="L147" t="str">
            <v>NO</v>
          </cell>
          <cell r="N147" t="str">
            <v>YES</v>
          </cell>
          <cell r="P147" t="str">
            <v>NO</v>
          </cell>
          <cell r="R147" t="str">
            <v>NO</v>
          </cell>
          <cell r="T147" t="str">
            <v>NO</v>
          </cell>
          <cell r="V147" t="str">
            <v>YES</v>
          </cell>
          <cell r="X147" t="str">
            <v>NO</v>
          </cell>
          <cell r="Z147" t="str">
            <v>NO</v>
          </cell>
          <cell r="AB147" t="str">
            <v>YES</v>
          </cell>
          <cell r="AD147" t="str">
            <v>YES</v>
          </cell>
          <cell r="AF147" t="str">
            <v>NO</v>
          </cell>
          <cell r="AH147" t="str">
            <v>NO</v>
          </cell>
          <cell r="AJ147" t="str">
            <v>NO</v>
          </cell>
          <cell r="AL147" t="str">
            <v>YES</v>
          </cell>
          <cell r="AN147" t="str">
            <v>NO</v>
          </cell>
          <cell r="AP147" t="str">
            <v>NO</v>
          </cell>
        </row>
        <row r="148">
          <cell r="B148">
            <v>6</v>
          </cell>
          <cell r="C148">
            <v>26</v>
          </cell>
          <cell r="D148">
            <v>6026</v>
          </cell>
          <cell r="G148" t="str">
            <v>NOT IN SCOPE</v>
          </cell>
        </row>
        <row r="149">
          <cell r="B149">
            <v>6</v>
          </cell>
          <cell r="C149">
            <v>27</v>
          </cell>
          <cell r="D149">
            <v>6027</v>
          </cell>
          <cell r="G149" t="str">
            <v>NOT IN SCOPE</v>
          </cell>
        </row>
        <row r="150">
          <cell r="B150">
            <v>6</v>
          </cell>
          <cell r="C150">
            <v>28</v>
          </cell>
          <cell r="D150">
            <v>6028</v>
          </cell>
          <cell r="G150" t="str">
            <v>NOT IN SCOPE</v>
          </cell>
        </row>
        <row r="151">
          <cell r="B151">
            <v>7</v>
          </cell>
          <cell r="C151">
            <v>1</v>
          </cell>
          <cell r="D151">
            <v>7001</v>
          </cell>
          <cell r="G151" t="str">
            <v>NOT IN SCOPE</v>
          </cell>
        </row>
        <row r="152">
          <cell r="B152">
            <v>7</v>
          </cell>
          <cell r="C152">
            <v>2</v>
          </cell>
          <cell r="D152">
            <v>7002</v>
          </cell>
          <cell r="G152" t="str">
            <v>NOT IN SCOPE</v>
          </cell>
        </row>
        <row r="153">
          <cell r="B153">
            <v>7</v>
          </cell>
          <cell r="C153">
            <v>3</v>
          </cell>
          <cell r="D153">
            <v>7003</v>
          </cell>
          <cell r="G153" t="str">
            <v>NOT IN SCOPE</v>
          </cell>
        </row>
        <row r="154">
          <cell r="B154">
            <v>7</v>
          </cell>
          <cell r="C154">
            <v>4</v>
          </cell>
          <cell r="D154">
            <v>7004</v>
          </cell>
          <cell r="G154" t="str">
            <v>NOT IN SCOPE</v>
          </cell>
        </row>
        <row r="155">
          <cell r="B155">
            <v>7</v>
          </cell>
          <cell r="C155">
            <v>5</v>
          </cell>
          <cell r="D155">
            <v>7005</v>
          </cell>
          <cell r="G155" t="str">
            <v>NOT IN SCOPE</v>
          </cell>
        </row>
        <row r="156">
          <cell r="B156">
            <v>7</v>
          </cell>
          <cell r="C156">
            <v>6</v>
          </cell>
          <cell r="D156">
            <v>7006</v>
          </cell>
          <cell r="E156" t="str">
            <v>YES</v>
          </cell>
          <cell r="F156">
            <v>7006.07</v>
          </cell>
          <cell r="G156" t="str">
            <v>PENDING</v>
          </cell>
          <cell r="H156"/>
          <cell r="J156"/>
          <cell r="L156"/>
          <cell r="N156"/>
          <cell r="P156"/>
        </row>
        <row r="157">
          <cell r="B157">
            <v>7</v>
          </cell>
          <cell r="C157">
            <v>7</v>
          </cell>
          <cell r="D157">
            <v>7007</v>
          </cell>
          <cell r="E157" t="str">
            <v>YES</v>
          </cell>
          <cell r="F157">
            <v>7006.07</v>
          </cell>
          <cell r="G157" t="str">
            <v>PENDING</v>
          </cell>
        </row>
        <row r="158">
          <cell r="B158">
            <v>7</v>
          </cell>
          <cell r="C158">
            <v>8</v>
          </cell>
          <cell r="D158">
            <v>7008</v>
          </cell>
          <cell r="G158" t="str">
            <v>NOT IN SCOPE</v>
          </cell>
        </row>
        <row r="159">
          <cell r="B159">
            <v>7</v>
          </cell>
          <cell r="C159">
            <v>9</v>
          </cell>
          <cell r="D159">
            <v>7009</v>
          </cell>
          <cell r="E159" t="str">
            <v>YES</v>
          </cell>
          <cell r="F159">
            <v>7009.1</v>
          </cell>
          <cell r="G159" t="str">
            <v>PENDING</v>
          </cell>
        </row>
        <row r="160">
          <cell r="B160">
            <v>7</v>
          </cell>
          <cell r="C160">
            <v>10</v>
          </cell>
          <cell r="D160">
            <v>7010</v>
          </cell>
          <cell r="E160" t="str">
            <v>YES</v>
          </cell>
          <cell r="F160">
            <v>7009.1</v>
          </cell>
          <cell r="G160" t="str">
            <v>PENDING</v>
          </cell>
        </row>
        <row r="161">
          <cell r="B161">
            <v>7</v>
          </cell>
          <cell r="C161">
            <v>11</v>
          </cell>
          <cell r="D161">
            <v>7011</v>
          </cell>
          <cell r="E161" t="str">
            <v>NO</v>
          </cell>
          <cell r="G161" t="str">
            <v>PENDING</v>
          </cell>
        </row>
        <row r="162">
          <cell r="B162">
            <v>7</v>
          </cell>
          <cell r="C162">
            <v>12</v>
          </cell>
          <cell r="D162">
            <v>7012</v>
          </cell>
          <cell r="G162" t="str">
            <v>NOT IN SCOPE</v>
          </cell>
        </row>
        <row r="163">
          <cell r="B163">
            <v>7</v>
          </cell>
          <cell r="C163">
            <v>13</v>
          </cell>
          <cell r="D163">
            <v>7013</v>
          </cell>
          <cell r="G163" t="str">
            <v>NOT IN SCOPE</v>
          </cell>
        </row>
        <row r="164">
          <cell r="B164">
            <v>7</v>
          </cell>
          <cell r="C164">
            <v>14</v>
          </cell>
          <cell r="D164">
            <v>7014</v>
          </cell>
          <cell r="G164" t="str">
            <v>NOT IN SCOPE</v>
          </cell>
        </row>
        <row r="165">
          <cell r="B165">
            <v>7</v>
          </cell>
          <cell r="C165">
            <v>15</v>
          </cell>
          <cell r="D165">
            <v>7015</v>
          </cell>
          <cell r="G165" t="str">
            <v>NOT IN SCOPE</v>
          </cell>
        </row>
        <row r="166">
          <cell r="B166">
            <v>7</v>
          </cell>
          <cell r="C166">
            <v>16</v>
          </cell>
          <cell r="D166">
            <v>7016</v>
          </cell>
          <cell r="G166" t="str">
            <v>NOT IN SCOPE</v>
          </cell>
        </row>
        <row r="167">
          <cell r="B167">
            <v>7</v>
          </cell>
          <cell r="C167">
            <v>17</v>
          </cell>
          <cell r="D167">
            <v>7017</v>
          </cell>
          <cell r="G167" t="str">
            <v>NOT IN SCOPE</v>
          </cell>
        </row>
        <row r="168">
          <cell r="B168">
            <v>7</v>
          </cell>
          <cell r="C168">
            <v>18</v>
          </cell>
          <cell r="D168">
            <v>7018</v>
          </cell>
          <cell r="G168" t="str">
            <v>NOT IN SCOPE</v>
          </cell>
        </row>
        <row r="169">
          <cell r="B169">
            <v>7</v>
          </cell>
          <cell r="C169">
            <v>19</v>
          </cell>
          <cell r="D169">
            <v>7019</v>
          </cell>
          <cell r="E169" t="str">
            <v>NO</v>
          </cell>
          <cell r="G169" t="str">
            <v>PENDING</v>
          </cell>
        </row>
        <row r="170">
          <cell r="B170">
            <v>7</v>
          </cell>
          <cell r="C170">
            <v>20</v>
          </cell>
          <cell r="D170">
            <v>7020</v>
          </cell>
          <cell r="E170" t="str">
            <v>YES</v>
          </cell>
          <cell r="F170">
            <v>7020.21</v>
          </cell>
          <cell r="G170" t="str">
            <v>PENDING</v>
          </cell>
        </row>
        <row r="171">
          <cell r="B171">
            <v>7</v>
          </cell>
          <cell r="C171">
            <v>21</v>
          </cell>
          <cell r="D171">
            <v>7021</v>
          </cell>
          <cell r="E171" t="str">
            <v>YES</v>
          </cell>
          <cell r="F171">
            <v>7020.21</v>
          </cell>
          <cell r="G171" t="str">
            <v>PENDING</v>
          </cell>
        </row>
        <row r="172">
          <cell r="B172">
            <v>7</v>
          </cell>
          <cell r="C172">
            <v>22</v>
          </cell>
          <cell r="D172">
            <v>7022</v>
          </cell>
          <cell r="G172" t="str">
            <v>NOT IN SCOPE</v>
          </cell>
        </row>
        <row r="173">
          <cell r="B173">
            <v>7</v>
          </cell>
          <cell r="C173">
            <v>23</v>
          </cell>
          <cell r="D173">
            <v>7023</v>
          </cell>
          <cell r="G173" t="str">
            <v>NOT IN SCOPE</v>
          </cell>
        </row>
        <row r="174">
          <cell r="B174">
            <v>7</v>
          </cell>
          <cell r="C174">
            <v>24</v>
          </cell>
          <cell r="D174">
            <v>7024</v>
          </cell>
          <cell r="G174" t="str">
            <v>NOT IN SCOPE</v>
          </cell>
        </row>
        <row r="175">
          <cell r="B175">
            <v>7</v>
          </cell>
          <cell r="C175">
            <v>25</v>
          </cell>
          <cell r="D175">
            <v>7025</v>
          </cell>
          <cell r="E175" t="str">
            <v>NO</v>
          </cell>
          <cell r="G175" t="str">
            <v>PENDING</v>
          </cell>
        </row>
        <row r="176">
          <cell r="B176">
            <v>7</v>
          </cell>
          <cell r="C176">
            <v>26</v>
          </cell>
          <cell r="D176">
            <v>7026</v>
          </cell>
          <cell r="G176" t="str">
            <v>NOT IN SCOPE</v>
          </cell>
        </row>
        <row r="177">
          <cell r="B177">
            <v>7</v>
          </cell>
          <cell r="C177">
            <v>27</v>
          </cell>
          <cell r="D177">
            <v>7027</v>
          </cell>
          <cell r="G177" t="str">
            <v>NOT IN SCOPE</v>
          </cell>
        </row>
        <row r="178">
          <cell r="B178">
            <v>7</v>
          </cell>
          <cell r="C178">
            <v>28</v>
          </cell>
          <cell r="D178">
            <v>7028</v>
          </cell>
          <cell r="G178" t="str">
            <v>NOT IN SCOPE</v>
          </cell>
        </row>
        <row r="179">
          <cell r="B179">
            <v>8</v>
          </cell>
          <cell r="C179">
            <v>1</v>
          </cell>
          <cell r="D179">
            <v>8001</v>
          </cell>
          <cell r="E179" t="str">
            <v>NO</v>
          </cell>
          <cell r="G179" t="str">
            <v>PENDING</v>
          </cell>
        </row>
        <row r="180">
          <cell r="B180">
            <v>8</v>
          </cell>
          <cell r="C180">
            <v>2</v>
          </cell>
          <cell r="D180">
            <v>8002</v>
          </cell>
          <cell r="G180" t="str">
            <v>NOT IN SCOPE</v>
          </cell>
        </row>
        <row r="181">
          <cell r="B181">
            <v>8</v>
          </cell>
          <cell r="C181">
            <v>3</v>
          </cell>
          <cell r="D181">
            <v>8003</v>
          </cell>
          <cell r="G181" t="str">
            <v>NOT IN SCOPE</v>
          </cell>
        </row>
        <row r="182">
          <cell r="B182">
            <v>8</v>
          </cell>
          <cell r="C182">
            <v>4</v>
          </cell>
          <cell r="D182">
            <v>8004</v>
          </cell>
          <cell r="G182" t="str">
            <v>NOT IN SCOPE</v>
          </cell>
        </row>
        <row r="183">
          <cell r="B183">
            <v>8</v>
          </cell>
          <cell r="C183">
            <v>5</v>
          </cell>
          <cell r="D183">
            <v>8005</v>
          </cell>
          <cell r="E183" t="str">
            <v>YES</v>
          </cell>
          <cell r="F183">
            <v>8005.06</v>
          </cell>
          <cell r="G183" t="str">
            <v>PENDING</v>
          </cell>
        </row>
        <row r="184">
          <cell r="B184">
            <v>8</v>
          </cell>
          <cell r="C184">
            <v>6</v>
          </cell>
          <cell r="D184">
            <v>8006</v>
          </cell>
          <cell r="E184" t="str">
            <v>YES</v>
          </cell>
          <cell r="F184">
            <v>8005.06</v>
          </cell>
          <cell r="G184" t="str">
            <v>PENDING</v>
          </cell>
        </row>
        <row r="185">
          <cell r="B185">
            <v>8</v>
          </cell>
          <cell r="C185">
            <v>7</v>
          </cell>
          <cell r="D185">
            <v>8007</v>
          </cell>
          <cell r="G185" t="str">
            <v>NOT IN SCOPE</v>
          </cell>
        </row>
        <row r="186">
          <cell r="B186">
            <v>8</v>
          </cell>
          <cell r="C186">
            <v>8</v>
          </cell>
          <cell r="D186">
            <v>8008</v>
          </cell>
          <cell r="E186" t="str">
            <v>YES</v>
          </cell>
          <cell r="F186">
            <v>8008.09</v>
          </cell>
          <cell r="G186" t="str">
            <v>PENDING</v>
          </cell>
        </row>
        <row r="187">
          <cell r="B187">
            <v>8</v>
          </cell>
          <cell r="C187">
            <v>9</v>
          </cell>
          <cell r="D187">
            <v>8009</v>
          </cell>
          <cell r="E187" t="str">
            <v>YES</v>
          </cell>
          <cell r="F187">
            <v>8008.09</v>
          </cell>
          <cell r="G187" t="str">
            <v>PENDING</v>
          </cell>
        </row>
        <row r="188">
          <cell r="B188">
            <v>8</v>
          </cell>
          <cell r="C188">
            <v>10</v>
          </cell>
          <cell r="D188">
            <v>8010</v>
          </cell>
          <cell r="E188" t="str">
            <v>YES</v>
          </cell>
          <cell r="F188">
            <v>8010.11</v>
          </cell>
          <cell r="G188" t="str">
            <v>PENDING</v>
          </cell>
        </row>
        <row r="189">
          <cell r="B189">
            <v>8</v>
          </cell>
          <cell r="C189">
            <v>11</v>
          </cell>
          <cell r="D189">
            <v>8011</v>
          </cell>
          <cell r="E189" t="str">
            <v>YES</v>
          </cell>
          <cell r="F189">
            <v>8010.11</v>
          </cell>
          <cell r="G189" t="str">
            <v>PENDING</v>
          </cell>
        </row>
        <row r="190">
          <cell r="B190">
            <v>8</v>
          </cell>
          <cell r="C190">
            <v>12</v>
          </cell>
          <cell r="D190">
            <v>8012</v>
          </cell>
          <cell r="E190" t="str">
            <v>NO</v>
          </cell>
          <cell r="G190" t="str">
            <v>PENDING</v>
          </cell>
        </row>
        <row r="191">
          <cell r="B191">
            <v>8</v>
          </cell>
          <cell r="C191">
            <v>13</v>
          </cell>
          <cell r="D191">
            <v>8013</v>
          </cell>
          <cell r="G191" t="str">
            <v>NOT IN SCOPE</v>
          </cell>
        </row>
        <row r="192">
          <cell r="B192">
            <v>8</v>
          </cell>
          <cell r="C192">
            <v>14</v>
          </cell>
          <cell r="D192">
            <v>8014</v>
          </cell>
          <cell r="G192" t="str">
            <v>NOT IN SCOPE</v>
          </cell>
        </row>
        <row r="193">
          <cell r="B193">
            <v>8</v>
          </cell>
          <cell r="C193">
            <v>15</v>
          </cell>
          <cell r="D193">
            <v>8015</v>
          </cell>
          <cell r="G193" t="str">
            <v>NOT IN SCOPE</v>
          </cell>
        </row>
        <row r="194">
          <cell r="B194">
            <v>8</v>
          </cell>
          <cell r="C194">
            <v>16</v>
          </cell>
          <cell r="D194">
            <v>8016</v>
          </cell>
          <cell r="G194" t="str">
            <v>NOT IN SCOPE</v>
          </cell>
        </row>
        <row r="195">
          <cell r="B195">
            <v>8</v>
          </cell>
          <cell r="C195">
            <v>17</v>
          </cell>
          <cell r="D195">
            <v>8017</v>
          </cell>
          <cell r="G195" t="str">
            <v>NOT IN SCOPE</v>
          </cell>
        </row>
        <row r="196">
          <cell r="B196">
            <v>8</v>
          </cell>
          <cell r="C196">
            <v>18</v>
          </cell>
          <cell r="D196">
            <v>8018</v>
          </cell>
          <cell r="G196" t="str">
            <v>NOT IN SCOPE</v>
          </cell>
        </row>
        <row r="197">
          <cell r="B197">
            <v>8</v>
          </cell>
          <cell r="C197">
            <v>19</v>
          </cell>
          <cell r="D197">
            <v>8019</v>
          </cell>
          <cell r="E197" t="str">
            <v>YES</v>
          </cell>
          <cell r="F197">
            <v>8019.2</v>
          </cell>
          <cell r="G197" t="str">
            <v>PENDING</v>
          </cell>
        </row>
        <row r="198">
          <cell r="B198">
            <v>8</v>
          </cell>
          <cell r="C198">
            <v>20</v>
          </cell>
          <cell r="D198">
            <v>8020</v>
          </cell>
          <cell r="E198" t="str">
            <v>YES</v>
          </cell>
          <cell r="F198">
            <v>8019.2</v>
          </cell>
          <cell r="G198" t="str">
            <v>PENDING</v>
          </cell>
        </row>
        <row r="199">
          <cell r="B199">
            <v>8</v>
          </cell>
          <cell r="C199">
            <v>21</v>
          </cell>
          <cell r="D199">
            <v>8021</v>
          </cell>
          <cell r="G199" t="str">
            <v>NOT IN SCOPE</v>
          </cell>
        </row>
        <row r="200">
          <cell r="B200">
            <v>8</v>
          </cell>
          <cell r="C200">
            <v>22</v>
          </cell>
          <cell r="D200">
            <v>8022</v>
          </cell>
          <cell r="G200" t="str">
            <v>NOT IN SCOPE</v>
          </cell>
        </row>
        <row r="201">
          <cell r="B201">
            <v>8</v>
          </cell>
          <cell r="C201">
            <v>23</v>
          </cell>
          <cell r="D201">
            <v>8023</v>
          </cell>
          <cell r="G201" t="str">
            <v>NOT IN SCOPE</v>
          </cell>
        </row>
        <row r="202">
          <cell r="B202">
            <v>8</v>
          </cell>
          <cell r="C202">
            <v>24</v>
          </cell>
          <cell r="D202">
            <v>8024</v>
          </cell>
          <cell r="G202" t="str">
            <v>NOT IN SCOPE</v>
          </cell>
        </row>
        <row r="203">
          <cell r="B203">
            <v>8</v>
          </cell>
          <cell r="C203">
            <v>25</v>
          </cell>
          <cell r="D203">
            <v>8025</v>
          </cell>
          <cell r="E203" t="str">
            <v>YES</v>
          </cell>
          <cell r="F203">
            <v>8025.26</v>
          </cell>
          <cell r="G203" t="str">
            <v>PENDING</v>
          </cell>
        </row>
        <row r="204">
          <cell r="B204">
            <v>8</v>
          </cell>
          <cell r="C204">
            <v>26</v>
          </cell>
          <cell r="D204">
            <v>8026</v>
          </cell>
          <cell r="E204" t="str">
            <v>YES</v>
          </cell>
          <cell r="F204">
            <v>8025.26</v>
          </cell>
          <cell r="G204" t="str">
            <v>PENDING</v>
          </cell>
        </row>
        <row r="205">
          <cell r="B205">
            <v>8</v>
          </cell>
          <cell r="C205">
            <v>27</v>
          </cell>
          <cell r="D205">
            <v>8027</v>
          </cell>
          <cell r="G205" t="str">
            <v>NOT IN SCOPE</v>
          </cell>
        </row>
        <row r="206">
          <cell r="B206">
            <v>8</v>
          </cell>
          <cell r="C206">
            <v>28</v>
          </cell>
          <cell r="D206">
            <v>8028</v>
          </cell>
          <cell r="G206" t="str">
            <v>NOT IN SCOPE</v>
          </cell>
        </row>
      </sheetData>
      <sheetData sheetId="6"/>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6" xr10:uid="{A7F485A5-A2F7-4940-B235-7E3AE8E92D52}" sourceName="STATUS?">
  <extLst>
    <x:ext xmlns:x15="http://schemas.microsoft.com/office/spreadsheetml/2010/11/main" uri="{2F2917AC-EB37-4324-AD4E-5DD8C200BD13}">
      <x15:tableSlicerCache tableId="2"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BO?" xr10:uid="{684B3E79-CABA-41E7-BBD2-EB71BDB6EADC}" sourceName="COMBO?">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628F886E-1F1F-46DF-8957-7D0E310C7649}" sourceName="FLOOR">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6" xr10:uid="{DD596196-0FF4-461F-ADD1-8CB774BFCCDB}" cache="Slicer_Column6" caption="STATUS?" style="SlicerStyleLight4" rowHeight="182880"/>
  <slicer name="COMBO?" xr10:uid="{2E661DF2-08FE-43DB-9301-A373617EA50B}" cache="Slicer_COMBO?" caption="COMBO?" style="SlicerStyleLight4" rowHeight="182880"/>
  <slicer name="Column1" xr10:uid="{E184228D-174C-4BA6-8C5F-6828295178D3}" cache="Slicer_Column1" caption="FLOOR" columnCount="8" style="SlicerStyleLight4"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C34D42-61C4-48E7-8A7F-4576094C98FB}" name="Table2" displayName="Table2" ref="B10:AQ207" totalsRowCount="1" headerRowDxfId="125" dataDxfId="124" headerRowBorderDxfId="122" tableBorderDxfId="123" totalsRowBorderDxfId="121">
  <autoFilter ref="B10:AQ206" xr:uid="{91C34D42-61C4-48E7-8A7F-4576094C98FB}">
    <filterColumn colId="5">
      <filters>
        <filter val="ORDERED"/>
        <filter val="PENDING"/>
      </filters>
    </filterColumn>
  </autoFilter>
  <tableColumns count="42">
    <tableColumn id="1" xr3:uid="{1BF8B531-6474-45F7-95FB-FEC7D8E293FF}" name="FLOOR" totalsRowLabel="Total" dataDxfId="119" totalsRowDxfId="120">
      <calculatedColumnFormula>'[1]OMM_Unit Matrix'!B11</calculatedColumnFormula>
    </tableColumn>
    <tableColumn id="2" xr3:uid="{4830F51D-8882-43D2-A038-C0DC22DC170F}" name="UNIT #" totalsRowFunction="count" dataDxfId="117" totalsRowDxfId="118">
      <calculatedColumnFormula>'[1]OMM_Unit Matrix'!C11</calculatedColumnFormula>
    </tableColumn>
    <tableColumn id="3" xr3:uid="{D33F25B0-A11E-4747-99FC-530B2BECE161}" name="UNIT" dataDxfId="115" totalsRowDxfId="116">
      <calculatedColumnFormula>'[1]OMM_Unit Matrix'!D11</calculatedColumnFormula>
    </tableColumn>
    <tableColumn id="4" xr3:uid="{036D985D-3A48-4031-BA16-52941BED2710}" name="COMBO?" dataDxfId="113" totalsRowDxfId="114">
      <calculatedColumnFormula>'[1]OMM_Unit Matrix'!E11</calculatedColumnFormula>
    </tableColumn>
    <tableColumn id="5" xr3:uid="{48975F76-662A-4B45-8A79-7C366227821A}" name="UNIT TYP" dataDxfId="111" totalsRowDxfId="112">
      <calculatedColumnFormula>'[1]OMM_Unit Matrix'!F11</calculatedColumnFormula>
    </tableColumn>
    <tableColumn id="6" xr3:uid="{84763266-E213-4031-9E5A-AE9A10545675}" name="STATUS?" dataDxfId="109" totalsRowDxfId="110">
      <calculatedColumnFormula>'[1]OMM_Unit Matrix'!G11</calculatedColumnFormula>
    </tableColumn>
    <tableColumn id="7" xr3:uid="{C8FADE33-AC49-47CF-BD45-E2071DBC9113}" name="Column7" dataDxfId="107" totalsRowDxfId="108">
      <calculatedColumnFormula>'[1]OMM_Unit Matrix'!H11</calculatedColumnFormula>
    </tableColumn>
    <tableColumn id="8" xr3:uid="{342C8E13-B726-419A-ABF3-4B91E7955542}" name="Column8" dataDxfId="105" totalsRowDxfId="106">
      <calculatedColumnFormula>'[1]OMM_Unit Matrix'!I11</calculatedColumnFormula>
    </tableColumn>
    <tableColumn id="9" xr3:uid="{F9BCC314-2CDC-435A-9D78-DDA75DC9194F}" name="Column9" dataDxfId="103" totalsRowDxfId="104">
      <calculatedColumnFormula>'[1]OMM_Unit Matrix'!J11</calculatedColumnFormula>
    </tableColumn>
    <tableColumn id="10" xr3:uid="{C20CF2BB-BBE3-4FB7-B811-B581E7771360}" name="Column10" dataDxfId="101" totalsRowDxfId="102">
      <calculatedColumnFormula>'[1]OMM_Unit Matrix'!K11</calculatedColumnFormula>
    </tableColumn>
    <tableColumn id="11" xr3:uid="{C2A50155-0203-4530-A4F7-2BC6E7A98C3F}" name="Column11" dataDxfId="99" totalsRowDxfId="100">
      <calculatedColumnFormula>'[1]OMM_Unit Matrix'!L11</calculatedColumnFormula>
    </tableColumn>
    <tableColumn id="12" xr3:uid="{54AC0983-55A2-4E35-9F9B-96E8A94D0F8E}" name="Column12" dataDxfId="97" totalsRowDxfId="98">
      <calculatedColumnFormula>'[1]OMM_Unit Matrix'!M11</calculatedColumnFormula>
    </tableColumn>
    <tableColumn id="13" xr3:uid="{25EAE31A-42A0-45FC-8681-60721AAB3C62}" name="Column13" dataDxfId="95" totalsRowDxfId="96">
      <calculatedColumnFormula>'[1]OMM_Unit Matrix'!N11</calculatedColumnFormula>
    </tableColumn>
    <tableColumn id="14" xr3:uid="{79B9C6DE-3B6B-4B0E-B5A9-4EC756536E04}" name="Column14" dataDxfId="93" totalsRowDxfId="94">
      <calculatedColumnFormula>'[1]OMM_Unit Matrix'!O11</calculatedColumnFormula>
    </tableColumn>
    <tableColumn id="15" xr3:uid="{C191B54D-9B75-433A-AAFB-114C1CA74915}" name="Column15" dataDxfId="91" totalsRowDxfId="92">
      <calculatedColumnFormula>'[1]OMM_Unit Matrix'!P11</calculatedColumnFormula>
    </tableColumn>
    <tableColumn id="16" xr3:uid="{E23A209F-0765-47D7-9B12-743D52281039}" name="Column16" dataDxfId="89" totalsRowDxfId="90">
      <calculatedColumnFormula>'[1]OMM_Unit Matrix'!Q11</calculatedColumnFormula>
    </tableColumn>
    <tableColumn id="17" xr3:uid="{01CDB655-46AA-450C-9301-6EADBFB49FFC}" name="Column17" dataDxfId="87" totalsRowDxfId="88">
      <calculatedColumnFormula>'[1]OMM_Unit Matrix'!R11</calculatedColumnFormula>
    </tableColumn>
    <tableColumn id="18" xr3:uid="{171C0FF8-5FD4-44B8-91F6-91E79A6C6B7B}" name="Column18" dataDxfId="85" totalsRowDxfId="86">
      <calculatedColumnFormula>'[1]OMM_Unit Matrix'!S11</calculatedColumnFormula>
    </tableColumn>
    <tableColumn id="19" xr3:uid="{F86E959D-1323-41E5-8FA4-58C70933BCDA}" name="Column19" dataDxfId="83" totalsRowDxfId="84">
      <calculatedColumnFormula>'[1]OMM_Unit Matrix'!T11</calculatedColumnFormula>
    </tableColumn>
    <tableColumn id="20" xr3:uid="{06ADF5A4-DE1E-4AD8-B843-38C2A3F92066}" name="Column20" dataDxfId="81" totalsRowDxfId="82">
      <calculatedColumnFormula>'[1]OMM_Unit Matrix'!U11</calculatedColumnFormula>
    </tableColumn>
    <tableColumn id="21" xr3:uid="{A6C449EC-2B26-43AD-9D5C-E1A3CDE4B01A}" name="Column21" dataDxfId="79" totalsRowDxfId="80">
      <calculatedColumnFormula>'[1]OMM_Unit Matrix'!V11</calculatedColumnFormula>
    </tableColumn>
    <tableColumn id="22" xr3:uid="{519F7BA9-120B-425A-BC29-31AB74C9E092}" name="Column22" dataDxfId="77" totalsRowDxfId="78">
      <calculatedColumnFormula>'[1]OMM_Unit Matrix'!W11</calculatedColumnFormula>
    </tableColumn>
    <tableColumn id="23" xr3:uid="{F83CF719-293D-402A-923B-39D864DE6FA1}" name="Column23" dataDxfId="75" totalsRowDxfId="76">
      <calculatedColumnFormula>'[1]OMM_Unit Matrix'!X11</calculatedColumnFormula>
    </tableColumn>
    <tableColumn id="24" xr3:uid="{1E3BF099-5A8D-4BAB-83F4-B4942B697A26}" name="Column24" dataDxfId="73" totalsRowDxfId="74">
      <calculatedColumnFormula>'[1]OMM_Unit Matrix'!Y11</calculatedColumnFormula>
    </tableColumn>
    <tableColumn id="25" xr3:uid="{8E94CCD4-C357-4827-910E-3E96F87ACEDA}" name="Column25" dataDxfId="71" totalsRowDxfId="72">
      <calculatedColumnFormula>'[1]OMM_Unit Matrix'!Z11</calculatedColumnFormula>
    </tableColumn>
    <tableColumn id="26" xr3:uid="{3511B755-F6F6-4B37-9423-76E19D82F7D7}" name="Column26" dataDxfId="69" totalsRowDxfId="70">
      <calculatedColumnFormula>'[1]OMM_Unit Matrix'!AA11</calculatedColumnFormula>
    </tableColumn>
    <tableColumn id="27" xr3:uid="{060939D9-7ADF-42A4-BE3D-062A58F1D5F4}" name="Column27" dataDxfId="67" totalsRowDxfId="68">
      <calculatedColumnFormula>'[1]OMM_Unit Matrix'!AB11</calculatedColumnFormula>
    </tableColumn>
    <tableColumn id="28" xr3:uid="{4ECCB2EA-3BFD-4509-A9AB-27D4DCD0F2DF}" name="Column28" dataDxfId="65" totalsRowDxfId="66">
      <calculatedColumnFormula>'[1]OMM_Unit Matrix'!AC11</calculatedColumnFormula>
    </tableColumn>
    <tableColumn id="29" xr3:uid="{2F7A638F-1665-489D-B9C0-7C5DB173C4B5}" name="Column29" dataDxfId="63" totalsRowDxfId="64">
      <calculatedColumnFormula>'[1]OMM_Unit Matrix'!AD11</calculatedColumnFormula>
    </tableColumn>
    <tableColumn id="30" xr3:uid="{BF7AB6E0-0CEA-4999-BF93-9CEA783EB337}" name="Column30" dataDxfId="61" totalsRowDxfId="62">
      <calculatedColumnFormula>'[1]OMM_Unit Matrix'!AE11</calculatedColumnFormula>
    </tableColumn>
    <tableColumn id="31" xr3:uid="{0887952A-7847-4639-BAB4-67829808FB91}" name="Column31" dataDxfId="59" totalsRowDxfId="60">
      <calculatedColumnFormula>'[1]OMM_Unit Matrix'!AF11</calculatedColumnFormula>
    </tableColumn>
    <tableColumn id="32" xr3:uid="{C8A2A483-1884-44B3-B547-3EA6FCE7AFF8}" name="Column32" dataDxfId="57" totalsRowDxfId="58">
      <calculatedColumnFormula>'[1]OMM_Unit Matrix'!AG11</calculatedColumnFormula>
    </tableColumn>
    <tableColumn id="33" xr3:uid="{C380D3D3-8955-4432-9667-57C12AD1B49B}" name="Column33" dataDxfId="55" totalsRowDxfId="56">
      <calculatedColumnFormula>'[1]OMM_Unit Matrix'!AH11</calculatedColumnFormula>
    </tableColumn>
    <tableColumn id="34" xr3:uid="{39452186-B52F-4906-B4DD-34924CFA7843}" name="Column34" dataDxfId="53" totalsRowDxfId="54">
      <calculatedColumnFormula>'[1]OMM_Unit Matrix'!AI11</calculatedColumnFormula>
    </tableColumn>
    <tableColumn id="35" xr3:uid="{7FD21205-5A58-4925-AFF2-9E8A2F7CE876}" name="Column35" dataDxfId="51" totalsRowDxfId="52">
      <calculatedColumnFormula>'[1]OMM_Unit Matrix'!AJ11</calculatedColumnFormula>
    </tableColumn>
    <tableColumn id="36" xr3:uid="{C2ECC600-79CD-4F91-B29C-BFDF78AB4755}" name="Column36" dataDxfId="49" totalsRowDxfId="50">
      <calculatedColumnFormula>'[1]OMM_Unit Matrix'!AK11</calculatedColumnFormula>
    </tableColumn>
    <tableColumn id="37" xr3:uid="{E8547EA5-9D9E-4CBC-A605-CFE03398B8FB}" name="Column37" dataDxfId="47" totalsRowDxfId="48">
      <calculatedColumnFormula>'[1]OMM_Unit Matrix'!AL11</calculatedColumnFormula>
    </tableColumn>
    <tableColumn id="38" xr3:uid="{3E4CA09D-C522-4D1B-9667-612971FF7BF4}" name="Column38" dataDxfId="45" totalsRowDxfId="46">
      <calculatedColumnFormula>'[1]OMM_Unit Matrix'!AM11</calculatedColumnFormula>
    </tableColumn>
    <tableColumn id="39" xr3:uid="{5987EF5B-F812-4482-812F-2F8872B11A1E}" name="Column39" dataDxfId="43" totalsRowDxfId="44">
      <calculatedColumnFormula>'[1]OMM_Unit Matrix'!AN11</calculatedColumnFormula>
    </tableColumn>
    <tableColumn id="40" xr3:uid="{6315898D-EBD0-4D94-BA84-43C02C7DD688}" name="Column40" dataDxfId="41" totalsRowDxfId="42">
      <calculatedColumnFormula>'[1]OMM_Unit Matrix'!AO11</calculatedColumnFormula>
    </tableColumn>
    <tableColumn id="41" xr3:uid="{6714BACE-0489-4ABF-AFE0-324C0C35C2FC}" name="Column41" dataDxfId="39" totalsRowDxfId="40">
      <calculatedColumnFormula>'[1]OMM_Unit Matrix'!AP11</calculatedColumnFormula>
    </tableColumn>
    <tableColumn id="42" xr3:uid="{9BE57803-E454-4790-B745-2D5227204433}" name="Column42" dataDxfId="37" totalsRowDxfId="38">
      <calculatedColumnFormula>'[1]OMM_Unit Matrix'!AQ11</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Invoice with Sales Tax">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Invoice with Sales Tax">
      <a:majorFont>
        <a:latin typeface="Tahoma"/>
        <a:ea typeface=""/>
        <a:cs typeface=""/>
      </a:majorFont>
      <a:minorFont>
        <a:latin typeface="Cambria"/>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3335D86-888A-4150-A088-FC5C2EF8E01F}">
  <we:reference id="wa200009404" version="1.0.0.8" store="en-US" storeType="OMEX"/>
  <we:alternateReferences>
    <we:reference id="WA200009404" version="1.0.0.8" store="WA200009404" storeType="OMEX"/>
  </we:alternateReferences>
  <we:properties>
    <we:property name="claude.fileId" value="&quot;eedbf97b-a15d-4ce6-984e-240fa3bdd57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17F1-47C3-4540-88C9-6E508773E8F8}">
  <sheetPr>
    <tabColor theme="5" tint="0.59999389629810485"/>
  </sheetPr>
  <dimension ref="A1:AR139"/>
  <sheetViews>
    <sheetView zoomScale="60" zoomScaleNormal="60" zoomScaleSheetLayoutView="48" workbookViewId="0">
      <selection activeCell="B2" sqref="B2:F3"/>
    </sheetView>
  </sheetViews>
  <sheetFormatPr defaultColWidth="8.75" defaultRowHeight="13.9"/>
  <cols>
    <col min="1" max="1" width="4.375" style="2" customWidth="1"/>
    <col min="2" max="2" width="22.375" style="2" customWidth="1"/>
    <col min="3" max="4" width="16.875" style="2" customWidth="1"/>
    <col min="5" max="6" width="16.375" style="2" customWidth="1"/>
    <col min="7" max="8" width="16.375" style="4" customWidth="1"/>
    <col min="9" max="10" width="16.875" style="4" customWidth="1"/>
    <col min="11" max="16" width="16.375" style="4" customWidth="1"/>
    <col min="17" max="18" width="16.875" style="4" customWidth="1"/>
    <col min="19" max="22" width="16.375" style="4" customWidth="1"/>
    <col min="23" max="24" width="16.875" style="4" customWidth="1"/>
    <col min="25" max="30" width="16.375" style="4" customWidth="1"/>
    <col min="31" max="32" width="16.875" style="4" customWidth="1"/>
    <col min="33" max="36" width="16.375" style="4" customWidth="1"/>
    <col min="37" max="38" width="16.875" style="4" customWidth="1"/>
    <col min="39" max="40" width="16.375" style="4" customWidth="1"/>
    <col min="41" max="41" width="22.5" style="2" customWidth="1"/>
    <col min="42" max="44" width="7.375" style="2" customWidth="1"/>
    <col min="45" max="16384" width="8.75" style="2"/>
  </cols>
  <sheetData>
    <row r="1" spans="1:44" ht="71.25" customHeight="1">
      <c r="A1" s="61" t="s">
        <v>0</v>
      </c>
      <c r="B1" s="61"/>
      <c r="C1" s="61"/>
      <c r="D1" s="61"/>
      <c r="E1" s="61"/>
      <c r="F1" s="61"/>
      <c r="G1" s="6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62"/>
      <c r="AQ1" s="1"/>
      <c r="AR1" s="1"/>
    </row>
    <row r="2" spans="1:44" ht="17.45">
      <c r="A2" s="48" t="s">
        <v>1</v>
      </c>
      <c r="B2" s="21" t="s">
        <v>2</v>
      </c>
      <c r="C2" s="314" t="s">
        <v>3</v>
      </c>
      <c r="D2" s="315"/>
      <c r="E2" s="314" t="s">
        <v>4</v>
      </c>
      <c r="F2" s="315"/>
      <c r="G2" s="314" t="s">
        <v>5</v>
      </c>
      <c r="H2" s="315"/>
      <c r="I2" s="314" t="s">
        <v>6</v>
      </c>
      <c r="J2" s="315"/>
      <c r="K2" s="314" t="s">
        <v>7</v>
      </c>
      <c r="L2" s="315"/>
      <c r="M2" s="314" t="s">
        <v>8</v>
      </c>
      <c r="N2" s="315"/>
      <c r="O2" s="314" t="s">
        <v>9</v>
      </c>
      <c r="P2" s="315"/>
      <c r="Q2" s="314" t="s">
        <v>10</v>
      </c>
      <c r="R2" s="315"/>
      <c r="S2" s="314" t="s">
        <v>11</v>
      </c>
      <c r="T2" s="315"/>
      <c r="U2" s="321" t="s">
        <v>12</v>
      </c>
      <c r="V2" s="322"/>
      <c r="W2" s="321" t="s">
        <v>13</v>
      </c>
      <c r="X2" s="322"/>
      <c r="Y2" s="321" t="s">
        <v>14</v>
      </c>
      <c r="Z2" s="322"/>
      <c r="AA2" s="321" t="s">
        <v>15</v>
      </c>
      <c r="AB2" s="322"/>
      <c r="AC2" s="321" t="s">
        <v>16</v>
      </c>
      <c r="AD2" s="322"/>
      <c r="AE2" s="321" t="s">
        <v>17</v>
      </c>
      <c r="AF2" s="322"/>
      <c r="AG2" s="321" t="s">
        <v>18</v>
      </c>
      <c r="AH2" s="322"/>
      <c r="AI2" s="321" t="s">
        <v>19</v>
      </c>
      <c r="AJ2" s="322"/>
      <c r="AK2" s="321" t="s">
        <v>20</v>
      </c>
      <c r="AL2" s="330"/>
      <c r="AM2" s="330" t="s">
        <v>21</v>
      </c>
      <c r="AN2" s="322"/>
      <c r="AO2" s="331" t="s">
        <v>22</v>
      </c>
      <c r="AP2" s="332"/>
      <c r="AQ2" s="329" t="s">
        <v>23</v>
      </c>
      <c r="AR2" s="329" t="s">
        <v>24</v>
      </c>
    </row>
    <row r="3" spans="1:44" ht="17.45">
      <c r="A3" s="47"/>
      <c r="B3" s="46"/>
      <c r="C3" s="316" t="s">
        <v>25</v>
      </c>
      <c r="D3" s="317"/>
      <c r="E3" s="317"/>
      <c r="F3" s="318"/>
      <c r="G3" s="319" t="s">
        <v>26</v>
      </c>
      <c r="H3" s="320"/>
      <c r="I3" s="319" t="s">
        <v>27</v>
      </c>
      <c r="J3" s="323"/>
      <c r="K3" s="323"/>
      <c r="L3" s="320"/>
      <c r="M3" s="319" t="s">
        <v>25</v>
      </c>
      <c r="N3" s="320"/>
      <c r="O3" s="319" t="s">
        <v>25</v>
      </c>
      <c r="P3" s="320"/>
      <c r="Q3" s="319" t="s">
        <v>26</v>
      </c>
      <c r="R3" s="323"/>
      <c r="S3" s="323"/>
      <c r="T3" s="320"/>
      <c r="U3" s="319" t="s">
        <v>26</v>
      </c>
      <c r="V3" s="320"/>
      <c r="W3" s="319" t="s">
        <v>25</v>
      </c>
      <c r="X3" s="323"/>
      <c r="Y3" s="323"/>
      <c r="Z3" s="320"/>
      <c r="AA3" s="319" t="s">
        <v>27</v>
      </c>
      <c r="AB3" s="320"/>
      <c r="AC3" s="319" t="s">
        <v>26</v>
      </c>
      <c r="AD3" s="320"/>
      <c r="AE3" s="319" t="s">
        <v>26</v>
      </c>
      <c r="AF3" s="323"/>
      <c r="AG3" s="323"/>
      <c r="AH3" s="320"/>
      <c r="AI3" s="319" t="s">
        <v>26</v>
      </c>
      <c r="AJ3" s="320"/>
      <c r="AK3" s="319" t="s">
        <v>27</v>
      </c>
      <c r="AL3" s="323"/>
      <c r="AM3" s="323"/>
      <c r="AN3" s="320"/>
      <c r="AO3" s="333"/>
      <c r="AP3" s="334"/>
      <c r="AQ3" s="329"/>
      <c r="AR3" s="329"/>
    </row>
    <row r="4" spans="1:44" ht="20.45">
      <c r="A4" s="45"/>
      <c r="B4" s="44"/>
      <c r="C4" s="5"/>
      <c r="D4" s="5"/>
      <c r="E4" s="5"/>
      <c r="F4" s="5"/>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7" t="s">
        <v>28</v>
      </c>
      <c r="AP4" s="63"/>
      <c r="AQ4" s="329"/>
      <c r="AR4" s="329"/>
    </row>
    <row r="5" spans="1:44" ht="20.100000000000001" customHeight="1">
      <c r="A5" s="5">
        <f t="shared" ref="A5:A33" si="0">A6+1</f>
        <v>43</v>
      </c>
      <c r="B5" s="324" t="s">
        <v>29</v>
      </c>
      <c r="C5" s="6"/>
      <c r="D5" s="6"/>
      <c r="E5" s="6">
        <v>4301</v>
      </c>
      <c r="F5" s="6"/>
      <c r="G5" s="6">
        <v>4302</v>
      </c>
      <c r="H5" s="6"/>
      <c r="I5" s="6"/>
      <c r="J5" s="6"/>
      <c r="K5" s="6"/>
      <c r="L5" s="51">
        <v>4303</v>
      </c>
      <c r="M5" s="6"/>
      <c r="N5" s="51">
        <v>4304</v>
      </c>
      <c r="O5" s="6">
        <v>4305</v>
      </c>
      <c r="P5" s="6"/>
      <c r="Q5" s="6"/>
      <c r="R5" s="6"/>
      <c r="S5" s="6">
        <v>4306</v>
      </c>
      <c r="T5" s="6"/>
      <c r="U5" s="6"/>
      <c r="V5" s="51">
        <v>4307</v>
      </c>
      <c r="W5" s="6"/>
      <c r="X5" s="6"/>
      <c r="Y5" s="6">
        <v>4308</v>
      </c>
      <c r="Z5" s="6"/>
      <c r="AA5" s="6">
        <v>4309</v>
      </c>
      <c r="AB5" s="6"/>
      <c r="AC5" s="6">
        <v>4310</v>
      </c>
      <c r="AD5" s="6"/>
      <c r="AE5" s="6"/>
      <c r="AF5" s="6"/>
      <c r="AG5" s="6">
        <v>4311</v>
      </c>
      <c r="AH5" s="6"/>
      <c r="AI5" s="6">
        <v>4312</v>
      </c>
      <c r="AJ5" s="6"/>
      <c r="AK5" s="6"/>
      <c r="AL5" s="6"/>
      <c r="AM5" s="6">
        <v>4314</v>
      </c>
      <c r="AN5" s="6"/>
      <c r="AO5" s="43">
        <f t="shared" ref="AO5:AO46" si="1">A5</f>
        <v>43</v>
      </c>
      <c r="AP5" s="64">
        <f t="shared" ref="AP5:AP46" si="2">COUNTA(C5:AN5)</f>
        <v>13</v>
      </c>
      <c r="AQ5" s="78">
        <f>SUMIF(C5:AN5,"&lt;&gt;",C59:AN59)</f>
        <v>41</v>
      </c>
      <c r="AR5" s="78">
        <f>SUMIF(C5:AN5,"&lt;&gt;",C60:AN60)</f>
        <v>61</v>
      </c>
    </row>
    <row r="6" spans="1:44" ht="20.100000000000001" customHeight="1">
      <c r="A6" s="5">
        <f t="shared" si="0"/>
        <v>42</v>
      </c>
      <c r="B6" s="325"/>
      <c r="C6" s="6"/>
      <c r="D6" s="6"/>
      <c r="E6" s="6"/>
      <c r="F6" s="51">
        <v>4201</v>
      </c>
      <c r="G6" s="6">
        <v>4202</v>
      </c>
      <c r="H6" s="6"/>
      <c r="I6" s="6"/>
      <c r="J6" s="6"/>
      <c r="K6" s="6">
        <v>4203</v>
      </c>
      <c r="L6" s="6"/>
      <c r="M6" s="6">
        <v>4204</v>
      </c>
      <c r="N6" s="6"/>
      <c r="O6" s="6">
        <v>4205</v>
      </c>
      <c r="P6" s="6"/>
      <c r="Q6" s="6"/>
      <c r="R6" s="6"/>
      <c r="S6" s="6"/>
      <c r="T6" s="51">
        <v>4206</v>
      </c>
      <c r="U6" s="6">
        <v>4207</v>
      </c>
      <c r="V6" s="6"/>
      <c r="W6" s="6"/>
      <c r="X6" s="6"/>
      <c r="Y6" s="6">
        <v>4208</v>
      </c>
      <c r="Z6" s="6"/>
      <c r="AA6" s="6">
        <v>4209</v>
      </c>
      <c r="AB6" s="6"/>
      <c r="AC6" s="6">
        <v>4210</v>
      </c>
      <c r="AD6" s="6"/>
      <c r="AE6" s="6"/>
      <c r="AF6" s="6"/>
      <c r="AG6" s="6">
        <v>4211</v>
      </c>
      <c r="AH6" s="6"/>
      <c r="AI6" s="6">
        <v>4212</v>
      </c>
      <c r="AJ6" s="6"/>
      <c r="AK6" s="6"/>
      <c r="AL6" s="6"/>
      <c r="AM6" s="6">
        <v>4214</v>
      </c>
      <c r="AN6" s="6"/>
      <c r="AO6" s="43">
        <f t="shared" si="1"/>
        <v>42</v>
      </c>
      <c r="AP6" s="64">
        <f t="shared" si="2"/>
        <v>13</v>
      </c>
      <c r="AQ6" s="78">
        <f>SUMIF(C6:AN6,"&lt;&gt;",C59:AN59)</f>
        <v>41</v>
      </c>
      <c r="AR6" s="78">
        <f>SUMIF(C6:AN6,"&lt;&gt;",C60:AN60)</f>
        <v>61</v>
      </c>
    </row>
    <row r="7" spans="1:44" ht="20.100000000000001" customHeight="1">
      <c r="A7" s="5">
        <f t="shared" si="0"/>
        <v>41</v>
      </c>
      <c r="B7" s="325"/>
      <c r="C7" s="6"/>
      <c r="D7" s="6"/>
      <c r="E7" s="6">
        <v>4101</v>
      </c>
      <c r="F7" s="6"/>
      <c r="G7" s="6"/>
      <c r="H7" s="51">
        <v>4102</v>
      </c>
      <c r="I7" s="6"/>
      <c r="J7" s="6"/>
      <c r="K7" s="6">
        <v>4103</v>
      </c>
      <c r="L7" s="6"/>
      <c r="M7" s="6">
        <v>4104</v>
      </c>
      <c r="N7" s="6"/>
      <c r="O7" s="6">
        <v>4105</v>
      </c>
      <c r="P7" s="6"/>
      <c r="Q7" s="6"/>
      <c r="R7" s="6"/>
      <c r="S7" s="6">
        <v>4106</v>
      </c>
      <c r="T7" s="6"/>
      <c r="U7" s="6">
        <v>4107</v>
      </c>
      <c r="V7" s="6"/>
      <c r="W7" s="6"/>
      <c r="X7" s="6"/>
      <c r="Y7" s="6"/>
      <c r="Z7" s="51">
        <v>4108</v>
      </c>
      <c r="AA7" s="6"/>
      <c r="AB7" s="51">
        <v>4109</v>
      </c>
      <c r="AC7" s="6">
        <v>4110</v>
      </c>
      <c r="AD7" s="6"/>
      <c r="AE7" s="6"/>
      <c r="AF7" s="6"/>
      <c r="AG7" s="6"/>
      <c r="AH7" s="51">
        <v>4111</v>
      </c>
      <c r="AI7" s="6">
        <v>4112</v>
      </c>
      <c r="AJ7" s="6"/>
      <c r="AK7" s="6"/>
      <c r="AL7" s="6"/>
      <c r="AM7" s="6">
        <v>4114</v>
      </c>
      <c r="AN7" s="6"/>
      <c r="AO7" s="43">
        <f t="shared" si="1"/>
        <v>41</v>
      </c>
      <c r="AP7" s="64">
        <f t="shared" si="2"/>
        <v>13</v>
      </c>
      <c r="AQ7" s="78">
        <f>SUMIF(C7:AN7,"&lt;&gt;",C59:AN59)</f>
        <v>41</v>
      </c>
      <c r="AR7" s="78">
        <f>SUMIF(C7:AN7,"&lt;&gt;",C60:AN60)</f>
        <v>61</v>
      </c>
    </row>
    <row r="8" spans="1:44" ht="20.100000000000001" customHeight="1">
      <c r="A8" s="5">
        <f t="shared" si="0"/>
        <v>40</v>
      </c>
      <c r="B8" s="325"/>
      <c r="C8" s="6"/>
      <c r="D8" s="6"/>
      <c r="E8" s="6">
        <v>4001</v>
      </c>
      <c r="F8" s="6"/>
      <c r="G8" s="6">
        <v>4002</v>
      </c>
      <c r="H8" s="6"/>
      <c r="I8" s="6"/>
      <c r="J8" s="6"/>
      <c r="K8" s="6">
        <v>4003</v>
      </c>
      <c r="L8" s="6"/>
      <c r="M8" s="6">
        <v>4004</v>
      </c>
      <c r="N8" s="6"/>
      <c r="O8" s="6">
        <v>4005</v>
      </c>
      <c r="P8" s="6"/>
      <c r="Q8" s="6"/>
      <c r="R8" s="6"/>
      <c r="S8" s="6">
        <v>4006</v>
      </c>
      <c r="T8" s="6"/>
      <c r="U8" s="6">
        <v>4007</v>
      </c>
      <c r="V8" s="6"/>
      <c r="W8" s="6"/>
      <c r="X8" s="6"/>
      <c r="Y8" s="6">
        <v>4008</v>
      </c>
      <c r="Z8" s="6"/>
      <c r="AA8" s="6">
        <v>4009</v>
      </c>
      <c r="AB8" s="6"/>
      <c r="AC8" s="6">
        <v>4010</v>
      </c>
      <c r="AD8" s="6"/>
      <c r="AE8" s="6"/>
      <c r="AF8" s="6"/>
      <c r="AG8" s="6">
        <v>4011</v>
      </c>
      <c r="AH8" s="6"/>
      <c r="AI8" s="6">
        <v>4012</v>
      </c>
      <c r="AJ8" s="6"/>
      <c r="AK8" s="6"/>
      <c r="AL8" s="6"/>
      <c r="AM8" s="6">
        <v>4014</v>
      </c>
      <c r="AN8" s="6"/>
      <c r="AO8" s="43">
        <f t="shared" si="1"/>
        <v>40</v>
      </c>
      <c r="AP8" s="64">
        <f t="shared" si="2"/>
        <v>13</v>
      </c>
      <c r="AQ8" s="78">
        <f>SUMIF(C8:AN8,"&lt;&gt;",C59:AN59)</f>
        <v>41</v>
      </c>
      <c r="AR8" s="78">
        <f>SUMIF(C8:AN8,"&lt;&gt;",C60:AN60)</f>
        <v>61</v>
      </c>
    </row>
    <row r="9" spans="1:44" ht="20.100000000000001" customHeight="1">
      <c r="A9" s="5">
        <f t="shared" si="0"/>
        <v>39</v>
      </c>
      <c r="B9" s="325"/>
      <c r="C9" s="6"/>
      <c r="D9" s="6"/>
      <c r="E9" s="6">
        <v>3901</v>
      </c>
      <c r="F9" s="6"/>
      <c r="G9" s="6"/>
      <c r="H9" s="51">
        <v>3902</v>
      </c>
      <c r="I9" s="6"/>
      <c r="J9" s="6"/>
      <c r="K9" s="6"/>
      <c r="L9" s="51">
        <v>3903</v>
      </c>
      <c r="M9" s="6">
        <v>3904</v>
      </c>
      <c r="N9" s="6"/>
      <c r="O9" s="6"/>
      <c r="P9" s="51">
        <v>3905</v>
      </c>
      <c r="Q9" s="6"/>
      <c r="R9" s="6"/>
      <c r="S9" s="6">
        <v>3906</v>
      </c>
      <c r="T9" s="6"/>
      <c r="U9" s="6">
        <v>3907</v>
      </c>
      <c r="V9" s="6"/>
      <c r="W9" s="6"/>
      <c r="X9" s="6"/>
      <c r="Y9" s="6">
        <v>3908</v>
      </c>
      <c r="Z9" s="6"/>
      <c r="AA9" s="6">
        <v>3909</v>
      </c>
      <c r="AB9" s="6"/>
      <c r="AC9" s="6">
        <v>3910</v>
      </c>
      <c r="AD9" s="6"/>
      <c r="AE9" s="6"/>
      <c r="AF9" s="6"/>
      <c r="AG9" s="6">
        <v>3911</v>
      </c>
      <c r="AH9" s="6"/>
      <c r="AI9" s="6"/>
      <c r="AJ9" s="51">
        <v>3912</v>
      </c>
      <c r="AK9" s="6"/>
      <c r="AL9" s="6"/>
      <c r="AM9" s="6">
        <v>3914</v>
      </c>
      <c r="AN9" s="6"/>
      <c r="AO9" s="43">
        <f t="shared" si="1"/>
        <v>39</v>
      </c>
      <c r="AP9" s="64">
        <f t="shared" si="2"/>
        <v>13</v>
      </c>
      <c r="AQ9" s="78">
        <f>SUMIF(C9:AN9,"&lt;&gt;",C59:AN59)</f>
        <v>41</v>
      </c>
      <c r="AR9" s="78">
        <f>SUMIF(C9:AN9,"&lt;&gt;",C60:AN60)</f>
        <v>61</v>
      </c>
    </row>
    <row r="10" spans="1:44" ht="20.100000000000001" customHeight="1">
      <c r="A10" s="5">
        <f t="shared" si="0"/>
        <v>38</v>
      </c>
      <c r="B10" s="325"/>
      <c r="C10" s="6"/>
      <c r="D10" s="6"/>
      <c r="E10" s="6">
        <v>3801</v>
      </c>
      <c r="F10" s="6"/>
      <c r="G10" s="6">
        <v>3802</v>
      </c>
      <c r="H10" s="6"/>
      <c r="I10" s="6"/>
      <c r="J10" s="6"/>
      <c r="K10" s="6">
        <v>3803</v>
      </c>
      <c r="L10" s="6"/>
      <c r="M10" s="6"/>
      <c r="N10" s="51">
        <v>3804</v>
      </c>
      <c r="O10" s="6">
        <v>3805</v>
      </c>
      <c r="P10" s="6"/>
      <c r="Q10" s="6"/>
      <c r="R10" s="6"/>
      <c r="S10" s="6"/>
      <c r="T10" s="51">
        <v>3806</v>
      </c>
      <c r="U10" s="6">
        <v>3807</v>
      </c>
      <c r="V10" s="6"/>
      <c r="W10" s="6"/>
      <c r="X10" s="6"/>
      <c r="Y10" s="6">
        <v>3808</v>
      </c>
      <c r="Z10" s="6"/>
      <c r="AA10" s="6"/>
      <c r="AB10" s="51">
        <v>3809</v>
      </c>
      <c r="AC10" s="6">
        <v>3810</v>
      </c>
      <c r="AD10" s="6"/>
      <c r="AE10" s="6"/>
      <c r="AF10" s="6"/>
      <c r="AG10" s="6">
        <v>3811</v>
      </c>
      <c r="AH10" s="6"/>
      <c r="AI10" s="6">
        <v>3812</v>
      </c>
      <c r="AJ10" s="6"/>
      <c r="AK10" s="6"/>
      <c r="AL10" s="6"/>
      <c r="AM10" s="6">
        <v>3814</v>
      </c>
      <c r="AN10" s="6"/>
      <c r="AO10" s="43">
        <f t="shared" si="1"/>
        <v>38</v>
      </c>
      <c r="AP10" s="64">
        <f t="shared" si="2"/>
        <v>13</v>
      </c>
      <c r="AQ10" s="78">
        <f>SUMIF(C10:AN10,"&lt;&gt;",C59:AN59)</f>
        <v>41</v>
      </c>
      <c r="AR10" s="78">
        <f>SUMIF(C10:AN10,"&lt;&gt;",C60:AN60)</f>
        <v>61</v>
      </c>
    </row>
    <row r="11" spans="1:44" ht="20.100000000000001" customHeight="1">
      <c r="A11" s="5">
        <f t="shared" si="0"/>
        <v>37</v>
      </c>
      <c r="B11" s="325"/>
      <c r="C11" s="6"/>
      <c r="D11" s="6"/>
      <c r="E11" s="6">
        <v>3701</v>
      </c>
      <c r="F11" s="6"/>
      <c r="G11" s="6">
        <v>3702</v>
      </c>
      <c r="H11" s="6"/>
      <c r="I11" s="6"/>
      <c r="J11" s="6"/>
      <c r="K11" s="6">
        <v>3703</v>
      </c>
      <c r="L11" s="6"/>
      <c r="M11" s="6">
        <v>3704</v>
      </c>
      <c r="N11" s="6"/>
      <c r="O11" s="6">
        <v>3705</v>
      </c>
      <c r="P11" s="6"/>
      <c r="Q11" s="6"/>
      <c r="R11" s="6"/>
      <c r="S11" s="6">
        <v>3706</v>
      </c>
      <c r="T11" s="6"/>
      <c r="U11" s="6">
        <v>3707</v>
      </c>
      <c r="V11" s="6"/>
      <c r="W11" s="6"/>
      <c r="X11" s="6"/>
      <c r="Y11" s="6">
        <v>3707</v>
      </c>
      <c r="Z11" s="6"/>
      <c r="AA11" s="6">
        <v>3709</v>
      </c>
      <c r="AB11" s="6"/>
      <c r="AC11" s="6">
        <v>3710</v>
      </c>
      <c r="AD11" s="6"/>
      <c r="AE11" s="6"/>
      <c r="AF11" s="6"/>
      <c r="AG11" s="6"/>
      <c r="AH11" s="51">
        <v>3711</v>
      </c>
      <c r="AI11" s="6">
        <v>3712</v>
      </c>
      <c r="AJ11" s="6"/>
      <c r="AK11" s="6"/>
      <c r="AL11" s="6"/>
      <c r="AM11" s="6"/>
      <c r="AN11" s="51">
        <v>3714</v>
      </c>
      <c r="AO11" s="43">
        <f t="shared" si="1"/>
        <v>37</v>
      </c>
      <c r="AP11" s="64">
        <f t="shared" si="2"/>
        <v>13</v>
      </c>
      <c r="AQ11" s="78">
        <f>SUMIF(C11:AN11,"&lt;&gt;",C59:AN59)</f>
        <v>41</v>
      </c>
      <c r="AR11" s="78">
        <f>SUMIF(C11:AN11,"&lt;&gt;",C60:AN60)</f>
        <v>61</v>
      </c>
    </row>
    <row r="12" spans="1:44" ht="20.100000000000001" customHeight="1">
      <c r="A12" s="5">
        <f t="shared" si="0"/>
        <v>36</v>
      </c>
      <c r="B12" s="325"/>
      <c r="C12" s="6"/>
      <c r="D12" s="6"/>
      <c r="E12" s="6">
        <v>3601</v>
      </c>
      <c r="F12" s="6"/>
      <c r="G12" s="6">
        <v>3602</v>
      </c>
      <c r="H12" s="6"/>
      <c r="I12" s="6"/>
      <c r="J12" s="6"/>
      <c r="K12" s="6"/>
      <c r="L12" s="51">
        <v>3603</v>
      </c>
      <c r="M12" s="6">
        <v>3604</v>
      </c>
      <c r="N12" s="6"/>
      <c r="O12" s="6">
        <v>3605</v>
      </c>
      <c r="P12" s="6"/>
      <c r="Q12" s="6"/>
      <c r="R12" s="6"/>
      <c r="S12" s="6">
        <v>3606</v>
      </c>
      <c r="T12" s="6"/>
      <c r="U12" s="6">
        <v>3607</v>
      </c>
      <c r="V12" s="6"/>
      <c r="W12" s="6"/>
      <c r="X12" s="6"/>
      <c r="Y12" s="6"/>
      <c r="Z12" s="51">
        <v>3608</v>
      </c>
      <c r="AA12" s="6">
        <v>3609</v>
      </c>
      <c r="AB12" s="6"/>
      <c r="AC12" s="6"/>
      <c r="AD12" s="51">
        <v>3610</v>
      </c>
      <c r="AE12" s="6"/>
      <c r="AF12" s="6"/>
      <c r="AG12" s="6">
        <v>3611</v>
      </c>
      <c r="AH12" s="6"/>
      <c r="AI12" s="6">
        <v>3612</v>
      </c>
      <c r="AJ12" s="6"/>
      <c r="AK12" s="6"/>
      <c r="AL12" s="6"/>
      <c r="AM12" s="6">
        <v>3614</v>
      </c>
      <c r="AN12" s="6"/>
      <c r="AO12" s="43">
        <f t="shared" si="1"/>
        <v>36</v>
      </c>
      <c r="AP12" s="64">
        <f t="shared" si="2"/>
        <v>13</v>
      </c>
      <c r="AQ12" s="78">
        <f>SUMIF(C12:AN12,"&lt;&gt;",C59:AN59)</f>
        <v>41</v>
      </c>
      <c r="AR12" s="78">
        <f>SUMIF(C12:AN12,"&lt;&gt;",C60:AN60)</f>
        <v>61</v>
      </c>
    </row>
    <row r="13" spans="1:44" ht="20.100000000000001" customHeight="1">
      <c r="A13" s="5">
        <f t="shared" si="0"/>
        <v>35</v>
      </c>
      <c r="B13" s="325"/>
      <c r="C13" s="6"/>
      <c r="D13" s="6"/>
      <c r="E13" s="6">
        <v>3501</v>
      </c>
      <c r="F13" s="6"/>
      <c r="G13" s="6"/>
      <c r="H13" s="51">
        <v>3502</v>
      </c>
      <c r="I13" s="6"/>
      <c r="J13" s="6"/>
      <c r="K13" s="6">
        <v>3503</v>
      </c>
      <c r="L13" s="6"/>
      <c r="M13" s="6">
        <v>3504</v>
      </c>
      <c r="N13" s="6"/>
      <c r="O13" s="6">
        <v>3505</v>
      </c>
      <c r="P13" s="6"/>
      <c r="Q13" s="6"/>
      <c r="R13" s="6"/>
      <c r="S13" s="6">
        <v>3506</v>
      </c>
      <c r="T13" s="6"/>
      <c r="U13" s="6"/>
      <c r="V13" s="51">
        <v>3507</v>
      </c>
      <c r="W13" s="6"/>
      <c r="X13" s="6"/>
      <c r="Y13" s="6">
        <v>3508</v>
      </c>
      <c r="Z13" s="6"/>
      <c r="AA13" s="6">
        <v>3509</v>
      </c>
      <c r="AB13" s="6"/>
      <c r="AC13" s="6">
        <v>3510</v>
      </c>
      <c r="AD13" s="6"/>
      <c r="AE13" s="6"/>
      <c r="AF13" s="6"/>
      <c r="AG13" s="6">
        <v>3511</v>
      </c>
      <c r="AH13" s="6"/>
      <c r="AI13" s="6">
        <v>3512</v>
      </c>
      <c r="AJ13" s="6"/>
      <c r="AK13" s="6"/>
      <c r="AL13" s="6"/>
      <c r="AM13" s="6">
        <v>3514</v>
      </c>
      <c r="AN13" s="6"/>
      <c r="AO13" s="43">
        <f t="shared" si="1"/>
        <v>35</v>
      </c>
      <c r="AP13" s="64">
        <f t="shared" si="2"/>
        <v>13</v>
      </c>
      <c r="AQ13" s="78">
        <f>SUMIF(C13:AN13,"&lt;&gt;",C59:AN59)</f>
        <v>41</v>
      </c>
      <c r="AR13" s="78">
        <f>SUMIF(C13:AN13,"&lt;&gt;",C60:AN60)</f>
        <v>61</v>
      </c>
    </row>
    <row r="14" spans="1:44" ht="20.100000000000001" customHeight="1">
      <c r="A14" s="5">
        <f t="shared" si="0"/>
        <v>34</v>
      </c>
      <c r="B14" s="325"/>
      <c r="C14" s="6"/>
      <c r="D14" s="6"/>
      <c r="E14" s="6">
        <v>3401</v>
      </c>
      <c r="F14" s="6"/>
      <c r="G14" s="6">
        <v>3402</v>
      </c>
      <c r="H14" s="6"/>
      <c r="I14" s="6"/>
      <c r="J14" s="6"/>
      <c r="K14" s="6">
        <v>3403</v>
      </c>
      <c r="L14" s="6"/>
      <c r="M14" s="6">
        <v>3404</v>
      </c>
      <c r="N14" s="6"/>
      <c r="O14" s="6">
        <v>3405</v>
      </c>
      <c r="P14" s="6"/>
      <c r="Q14" s="6"/>
      <c r="R14" s="6"/>
      <c r="S14" s="6">
        <v>3406</v>
      </c>
      <c r="T14" s="6"/>
      <c r="U14" s="6">
        <v>3407</v>
      </c>
      <c r="V14" s="6"/>
      <c r="W14" s="6"/>
      <c r="X14" s="6"/>
      <c r="Y14" s="6">
        <v>3408</v>
      </c>
      <c r="Z14" s="6"/>
      <c r="AA14" s="6">
        <v>3409</v>
      </c>
      <c r="AB14" s="6"/>
      <c r="AC14" s="6">
        <v>3410</v>
      </c>
      <c r="AD14" s="6"/>
      <c r="AE14" s="6"/>
      <c r="AF14" s="6"/>
      <c r="AG14" s="6">
        <v>3411</v>
      </c>
      <c r="AH14" s="6"/>
      <c r="AI14" s="6"/>
      <c r="AJ14" s="51">
        <v>3412</v>
      </c>
      <c r="AK14" s="6"/>
      <c r="AL14" s="6"/>
      <c r="AM14" s="6"/>
      <c r="AN14" s="51">
        <v>3414</v>
      </c>
      <c r="AO14" s="43">
        <f t="shared" si="1"/>
        <v>34</v>
      </c>
      <c r="AP14" s="64">
        <f t="shared" si="2"/>
        <v>13</v>
      </c>
      <c r="AQ14" s="78">
        <f>SUMIF(C14:AN14,"&lt;&gt;",C59:AN59)</f>
        <v>41</v>
      </c>
      <c r="AR14" s="78">
        <f>SUMIF(C14:AN14,"&lt;&gt;",C60:AN60)</f>
        <v>61</v>
      </c>
    </row>
    <row r="15" spans="1:44" ht="20.100000000000001" customHeight="1">
      <c r="A15" s="5">
        <f t="shared" si="0"/>
        <v>33</v>
      </c>
      <c r="B15" s="325"/>
      <c r="C15" s="6"/>
      <c r="D15" s="6"/>
      <c r="E15" s="6">
        <v>3301</v>
      </c>
      <c r="F15" s="6"/>
      <c r="G15" s="6">
        <v>3302</v>
      </c>
      <c r="H15" s="6"/>
      <c r="I15" s="6"/>
      <c r="J15" s="6"/>
      <c r="K15" s="6">
        <v>3303</v>
      </c>
      <c r="L15" s="6"/>
      <c r="M15" s="6"/>
      <c r="N15" s="51">
        <v>3304</v>
      </c>
      <c r="O15" s="6">
        <v>3305</v>
      </c>
      <c r="P15" s="6"/>
      <c r="Q15" s="6"/>
      <c r="R15" s="6"/>
      <c r="S15" s="6">
        <v>3306</v>
      </c>
      <c r="T15" s="6"/>
      <c r="U15" s="6">
        <v>3307</v>
      </c>
      <c r="V15" s="6"/>
      <c r="W15" s="6"/>
      <c r="X15" s="6"/>
      <c r="Y15" s="6">
        <v>3308</v>
      </c>
      <c r="Z15" s="6"/>
      <c r="AA15" s="6"/>
      <c r="AB15" s="51">
        <v>3309</v>
      </c>
      <c r="AC15" s="6"/>
      <c r="AD15" s="51">
        <v>3310</v>
      </c>
      <c r="AE15" s="6"/>
      <c r="AF15" s="6"/>
      <c r="AG15" s="6">
        <v>3311</v>
      </c>
      <c r="AH15" s="6"/>
      <c r="AI15" s="6">
        <v>3312</v>
      </c>
      <c r="AJ15" s="6"/>
      <c r="AK15" s="6"/>
      <c r="AL15" s="6"/>
      <c r="AM15" s="6">
        <v>3314</v>
      </c>
      <c r="AN15" s="6"/>
      <c r="AO15" s="43">
        <f t="shared" si="1"/>
        <v>33</v>
      </c>
      <c r="AP15" s="64">
        <f t="shared" si="2"/>
        <v>13</v>
      </c>
      <c r="AQ15" s="78">
        <f>SUMIF(C15:AN15,"&lt;&gt;",C59:AN59)</f>
        <v>41</v>
      </c>
      <c r="AR15" s="78">
        <f>SUMIF(C15:AN15,"&lt;&gt;",C60:AN60)</f>
        <v>61</v>
      </c>
    </row>
    <row r="16" spans="1:44" ht="20.100000000000001" customHeight="1">
      <c r="A16" s="5">
        <f t="shared" si="0"/>
        <v>32</v>
      </c>
      <c r="B16" s="325"/>
      <c r="C16" s="6"/>
      <c r="D16" s="6"/>
      <c r="E16" s="6">
        <v>3201</v>
      </c>
      <c r="F16" s="6"/>
      <c r="G16" s="6">
        <v>3202</v>
      </c>
      <c r="H16" s="6"/>
      <c r="I16" s="6"/>
      <c r="J16" s="6"/>
      <c r="K16" s="6"/>
      <c r="L16" s="51">
        <v>3203</v>
      </c>
      <c r="M16" s="6">
        <v>3204</v>
      </c>
      <c r="N16" s="6"/>
      <c r="O16" s="6"/>
      <c r="P16" s="51">
        <v>3205</v>
      </c>
      <c r="Q16" s="6">
        <v>3206</v>
      </c>
      <c r="R16" s="6"/>
      <c r="S16" s="6"/>
      <c r="T16" s="6"/>
      <c r="U16" s="6">
        <v>3207</v>
      </c>
      <c r="V16" s="6"/>
      <c r="W16" s="6"/>
      <c r="X16" s="6"/>
      <c r="Y16" s="6">
        <v>3208</v>
      </c>
      <c r="Z16" s="6"/>
      <c r="AA16" s="6">
        <v>3209</v>
      </c>
      <c r="AB16" s="6"/>
      <c r="AC16" s="6">
        <v>3210</v>
      </c>
      <c r="AD16" s="6"/>
      <c r="AE16" s="6"/>
      <c r="AF16" s="51">
        <v>3211</v>
      </c>
      <c r="AG16" s="6"/>
      <c r="AH16" s="6"/>
      <c r="AI16" s="6">
        <v>3212</v>
      </c>
      <c r="AJ16" s="6"/>
      <c r="AK16" s="6"/>
      <c r="AL16" s="6"/>
      <c r="AM16" s="6">
        <v>3214</v>
      </c>
      <c r="AN16" s="6"/>
      <c r="AO16" s="43">
        <f t="shared" si="1"/>
        <v>32</v>
      </c>
      <c r="AP16" s="64">
        <f t="shared" si="2"/>
        <v>13</v>
      </c>
      <c r="AQ16" s="78">
        <f>SUMIF(C16:AN16,"&lt;&gt;",C59:AN59)</f>
        <v>35</v>
      </c>
      <c r="AR16" s="78">
        <f>SUMIF(C16:AN16,"&lt;&gt;",C60:AN60)</f>
        <v>57</v>
      </c>
    </row>
    <row r="17" spans="1:44" ht="20.100000000000001" customHeight="1">
      <c r="A17" s="5">
        <f t="shared" si="0"/>
        <v>31</v>
      </c>
      <c r="B17" s="325"/>
      <c r="C17" s="6"/>
      <c r="D17" s="6"/>
      <c r="E17" s="6">
        <v>3101</v>
      </c>
      <c r="F17" s="6"/>
      <c r="G17" s="6">
        <v>3102</v>
      </c>
      <c r="H17" s="6"/>
      <c r="I17" s="6"/>
      <c r="J17" s="6"/>
      <c r="K17" s="6">
        <v>3103</v>
      </c>
      <c r="L17" s="6"/>
      <c r="M17" s="6">
        <v>3104</v>
      </c>
      <c r="N17" s="6"/>
      <c r="O17" s="6">
        <v>3105</v>
      </c>
      <c r="P17" s="6"/>
      <c r="Q17" s="6">
        <v>3106</v>
      </c>
      <c r="R17" s="6"/>
      <c r="S17" s="6"/>
      <c r="T17" s="6"/>
      <c r="U17" s="6"/>
      <c r="V17" s="51">
        <v>3107</v>
      </c>
      <c r="W17" s="6"/>
      <c r="X17" s="6"/>
      <c r="Y17" s="6"/>
      <c r="Z17" s="51">
        <v>3108</v>
      </c>
      <c r="AA17" s="6">
        <v>3109</v>
      </c>
      <c r="AB17" s="6"/>
      <c r="AC17" s="6">
        <v>3110</v>
      </c>
      <c r="AD17" s="6"/>
      <c r="AE17" s="6">
        <v>3111</v>
      </c>
      <c r="AF17" s="6"/>
      <c r="AG17" s="6"/>
      <c r="AH17" s="6"/>
      <c r="AI17" s="6">
        <v>3112</v>
      </c>
      <c r="AJ17" s="6"/>
      <c r="AK17" s="6"/>
      <c r="AL17" s="6"/>
      <c r="AM17" s="6">
        <v>3114</v>
      </c>
      <c r="AN17" s="6"/>
      <c r="AO17" s="43">
        <f t="shared" si="1"/>
        <v>31</v>
      </c>
      <c r="AP17" s="64">
        <f t="shared" si="2"/>
        <v>13</v>
      </c>
      <c r="AQ17" s="78">
        <f>SUMIF(C17:AN17,"&lt;&gt;",C59:AN59)</f>
        <v>35</v>
      </c>
      <c r="AR17" s="78">
        <f>SUMIF(C17:AN17,"&lt;&gt;",C60:AN60)</f>
        <v>57</v>
      </c>
    </row>
    <row r="18" spans="1:44" ht="20.100000000000001" customHeight="1">
      <c r="A18" s="5">
        <f t="shared" si="0"/>
        <v>30</v>
      </c>
      <c r="B18" s="325"/>
      <c r="C18" s="6"/>
      <c r="D18" s="6"/>
      <c r="E18" s="6">
        <v>3001</v>
      </c>
      <c r="F18" s="6"/>
      <c r="G18" s="6">
        <v>3002</v>
      </c>
      <c r="H18" s="6"/>
      <c r="I18" s="6"/>
      <c r="J18" s="6"/>
      <c r="K18" s="6">
        <v>3003</v>
      </c>
      <c r="L18" s="6"/>
      <c r="M18" s="6">
        <v>3004</v>
      </c>
      <c r="N18" s="6"/>
      <c r="O18" s="6">
        <v>3005</v>
      </c>
      <c r="P18" s="6"/>
      <c r="Q18" s="6"/>
      <c r="R18" s="51">
        <v>3006</v>
      </c>
      <c r="S18" s="6"/>
      <c r="T18" s="6"/>
      <c r="U18" s="6">
        <v>3007</v>
      </c>
      <c r="V18" s="6"/>
      <c r="W18" s="6"/>
      <c r="X18" s="6"/>
      <c r="Y18" s="6">
        <v>3008</v>
      </c>
      <c r="Z18" s="6"/>
      <c r="AA18" s="6">
        <v>3009</v>
      </c>
      <c r="AB18" s="6"/>
      <c r="AC18" s="6">
        <v>3010</v>
      </c>
      <c r="AD18" s="6"/>
      <c r="AE18" s="6">
        <v>3011</v>
      </c>
      <c r="AF18" s="6"/>
      <c r="AG18" s="6"/>
      <c r="AH18" s="6"/>
      <c r="AI18" s="6">
        <v>3012</v>
      </c>
      <c r="AJ18" s="6"/>
      <c r="AK18" s="6"/>
      <c r="AL18" s="6"/>
      <c r="AM18" s="6">
        <v>3014</v>
      </c>
      <c r="AN18" s="6"/>
      <c r="AO18" s="43">
        <f t="shared" si="1"/>
        <v>30</v>
      </c>
      <c r="AP18" s="64">
        <f t="shared" si="2"/>
        <v>13</v>
      </c>
      <c r="AQ18" s="78">
        <f>SUMIF(C18:AN18,"&lt;&gt;",C59:AN59)</f>
        <v>35</v>
      </c>
      <c r="AR18" s="78">
        <f>SUMIF(C18:AN18,"&lt;&gt;",C60:AN60)</f>
        <v>57</v>
      </c>
    </row>
    <row r="19" spans="1:44" ht="20.100000000000001" customHeight="1">
      <c r="A19" s="5">
        <f t="shared" si="0"/>
        <v>29</v>
      </c>
      <c r="B19" s="325"/>
      <c r="C19" s="6"/>
      <c r="D19" s="6"/>
      <c r="E19" s="6">
        <v>2901</v>
      </c>
      <c r="F19" s="6"/>
      <c r="G19" s="6">
        <v>2902</v>
      </c>
      <c r="H19" s="6"/>
      <c r="I19" s="6"/>
      <c r="J19" s="6"/>
      <c r="K19" s="6">
        <v>2903</v>
      </c>
      <c r="L19" s="6"/>
      <c r="M19" s="6">
        <v>2904</v>
      </c>
      <c r="N19" s="6"/>
      <c r="O19" s="6"/>
      <c r="P19" s="51">
        <v>2905</v>
      </c>
      <c r="Q19" s="6">
        <v>2906</v>
      </c>
      <c r="R19" s="6"/>
      <c r="S19" s="6"/>
      <c r="T19" s="6"/>
      <c r="U19" s="6">
        <v>2907</v>
      </c>
      <c r="V19" s="6"/>
      <c r="W19" s="6"/>
      <c r="X19" s="6"/>
      <c r="Y19" s="6">
        <v>2908</v>
      </c>
      <c r="Z19" s="6"/>
      <c r="AA19" s="6"/>
      <c r="AB19" s="51">
        <v>2909</v>
      </c>
      <c r="AC19" s="6">
        <v>2910</v>
      </c>
      <c r="AD19" s="6"/>
      <c r="AE19" s="6">
        <v>2911</v>
      </c>
      <c r="AF19" s="6"/>
      <c r="AG19" s="6"/>
      <c r="AH19" s="6"/>
      <c r="AI19" s="6">
        <v>2912</v>
      </c>
      <c r="AJ19" s="6"/>
      <c r="AK19" s="6"/>
      <c r="AL19" s="6"/>
      <c r="AM19" s="6">
        <v>2914</v>
      </c>
      <c r="AN19" s="6"/>
      <c r="AO19" s="43">
        <f t="shared" si="1"/>
        <v>29</v>
      </c>
      <c r="AP19" s="64">
        <f t="shared" si="2"/>
        <v>13</v>
      </c>
      <c r="AQ19" s="78">
        <f>SUMIF(C19:AN19,"&lt;&gt;",C59:AN59)</f>
        <v>35</v>
      </c>
      <c r="AR19" s="78">
        <f>SUMIF(C19:AN19,"&lt;&gt;",C60:AN60)</f>
        <v>57</v>
      </c>
    </row>
    <row r="20" spans="1:44" ht="20.100000000000001" customHeight="1">
      <c r="A20" s="5">
        <f t="shared" si="0"/>
        <v>28</v>
      </c>
      <c r="B20" s="325"/>
      <c r="C20" s="6"/>
      <c r="D20" s="6"/>
      <c r="E20" s="6">
        <v>2801</v>
      </c>
      <c r="F20" s="6"/>
      <c r="G20" s="6">
        <v>2802</v>
      </c>
      <c r="H20" s="6"/>
      <c r="I20" s="6"/>
      <c r="J20" s="6"/>
      <c r="K20" s="6">
        <v>2803</v>
      </c>
      <c r="L20" s="6"/>
      <c r="M20" s="6"/>
      <c r="N20" s="51">
        <v>2804</v>
      </c>
      <c r="O20" s="6">
        <v>2805</v>
      </c>
      <c r="P20" s="6"/>
      <c r="Q20" s="6">
        <v>2806</v>
      </c>
      <c r="R20" s="6"/>
      <c r="S20" s="6"/>
      <c r="T20" s="6"/>
      <c r="U20" s="6">
        <v>2807</v>
      </c>
      <c r="V20" s="6"/>
      <c r="W20" s="6"/>
      <c r="X20" s="6"/>
      <c r="Y20" s="6">
        <v>2808</v>
      </c>
      <c r="Z20" s="6"/>
      <c r="AA20" s="6">
        <v>2809</v>
      </c>
      <c r="AB20" s="6"/>
      <c r="AC20" s="6">
        <v>2810</v>
      </c>
      <c r="AD20" s="6"/>
      <c r="AE20" s="6"/>
      <c r="AF20" s="51">
        <v>2811</v>
      </c>
      <c r="AG20" s="6"/>
      <c r="AH20" s="6"/>
      <c r="AI20" s="6">
        <v>2812</v>
      </c>
      <c r="AJ20" s="6"/>
      <c r="AK20" s="6"/>
      <c r="AL20" s="6"/>
      <c r="AM20" s="6"/>
      <c r="AN20" s="51">
        <v>2814</v>
      </c>
      <c r="AO20" s="43">
        <f t="shared" si="1"/>
        <v>28</v>
      </c>
      <c r="AP20" s="64">
        <f t="shared" si="2"/>
        <v>13</v>
      </c>
      <c r="AQ20" s="78">
        <f>SUMIF(C20:AN20,"&lt;&gt;",C59:AN59)</f>
        <v>35</v>
      </c>
      <c r="AR20" s="78">
        <f>SUMIF(C20:AN20,"&lt;&gt;",C60:AN60)</f>
        <v>57</v>
      </c>
    </row>
    <row r="21" spans="1:44" ht="20.100000000000001" customHeight="1">
      <c r="A21" s="5">
        <f t="shared" si="0"/>
        <v>27</v>
      </c>
      <c r="B21" s="325"/>
      <c r="C21" s="6"/>
      <c r="D21" s="6"/>
      <c r="E21" s="6"/>
      <c r="F21" s="51">
        <v>2701</v>
      </c>
      <c r="G21" s="6">
        <v>2702</v>
      </c>
      <c r="H21" s="6"/>
      <c r="I21" s="6"/>
      <c r="J21" s="6"/>
      <c r="K21" s="6">
        <v>2703</v>
      </c>
      <c r="L21" s="6"/>
      <c r="M21" s="6">
        <v>2704</v>
      </c>
      <c r="N21" s="6"/>
      <c r="O21" s="6">
        <v>2705</v>
      </c>
      <c r="P21" s="6"/>
      <c r="Q21" s="6">
        <v>2706</v>
      </c>
      <c r="R21" s="6"/>
      <c r="S21" s="6"/>
      <c r="T21" s="6"/>
      <c r="U21" s="6">
        <v>2707</v>
      </c>
      <c r="V21" s="6"/>
      <c r="W21" s="6"/>
      <c r="X21" s="6"/>
      <c r="Y21" s="6">
        <v>2708</v>
      </c>
      <c r="Z21" s="6"/>
      <c r="AA21" s="6">
        <v>2709</v>
      </c>
      <c r="AB21" s="6"/>
      <c r="AC21" s="6"/>
      <c r="AD21" s="51">
        <v>2710</v>
      </c>
      <c r="AE21" s="6">
        <v>2711</v>
      </c>
      <c r="AF21" s="6"/>
      <c r="AG21" s="6"/>
      <c r="AH21" s="6"/>
      <c r="AI21" s="6"/>
      <c r="AJ21" s="51">
        <v>2712</v>
      </c>
      <c r="AK21" s="6"/>
      <c r="AL21" s="6"/>
      <c r="AM21" s="6">
        <v>2714</v>
      </c>
      <c r="AN21" s="6"/>
      <c r="AO21" s="43">
        <f t="shared" si="1"/>
        <v>27</v>
      </c>
      <c r="AP21" s="64">
        <f t="shared" si="2"/>
        <v>13</v>
      </c>
      <c r="AQ21" s="78">
        <f>SUMIF(C21:AN21,"&lt;&gt;",C59:AN59)</f>
        <v>35</v>
      </c>
      <c r="AR21" s="78">
        <f>SUMIF(C21:AN21,"&lt;&gt;",C60:AN60)</f>
        <v>57</v>
      </c>
    </row>
    <row r="22" spans="1:44" ht="20.100000000000001" customHeight="1">
      <c r="A22" s="5">
        <f t="shared" si="0"/>
        <v>26</v>
      </c>
      <c r="B22" s="325"/>
      <c r="C22" s="6"/>
      <c r="D22" s="6"/>
      <c r="E22" s="6">
        <v>2601</v>
      </c>
      <c r="F22" s="6"/>
      <c r="G22" s="6">
        <v>2602</v>
      </c>
      <c r="H22" s="6"/>
      <c r="I22" s="6"/>
      <c r="J22" s="6"/>
      <c r="K22" s="6">
        <v>2603</v>
      </c>
      <c r="L22" s="6"/>
      <c r="M22" s="6">
        <v>2604</v>
      </c>
      <c r="N22" s="6"/>
      <c r="O22" s="6">
        <v>2605</v>
      </c>
      <c r="P22" s="6"/>
      <c r="Q22" s="6"/>
      <c r="R22" s="51">
        <v>2606</v>
      </c>
      <c r="S22" s="6"/>
      <c r="T22" s="6"/>
      <c r="U22" s="6">
        <v>2607</v>
      </c>
      <c r="V22" s="6"/>
      <c r="W22" s="6"/>
      <c r="X22" s="6"/>
      <c r="Y22" s="6"/>
      <c r="Z22" s="51">
        <v>2608</v>
      </c>
      <c r="AA22" s="6">
        <v>2609</v>
      </c>
      <c r="AB22" s="6"/>
      <c r="AC22" s="6">
        <v>2610</v>
      </c>
      <c r="AD22" s="6"/>
      <c r="AE22" s="6">
        <v>2611</v>
      </c>
      <c r="AF22" s="6"/>
      <c r="AG22" s="6"/>
      <c r="AH22" s="6"/>
      <c r="AI22" s="6">
        <v>2612</v>
      </c>
      <c r="AJ22" s="6"/>
      <c r="AK22" s="6"/>
      <c r="AL22" s="6"/>
      <c r="AM22" s="6">
        <v>2614</v>
      </c>
      <c r="AN22" s="6"/>
      <c r="AO22" s="43">
        <f t="shared" si="1"/>
        <v>26</v>
      </c>
      <c r="AP22" s="64">
        <f t="shared" si="2"/>
        <v>13</v>
      </c>
      <c r="AQ22" s="78">
        <f>SUMIF(C22:AN22,"&lt;&gt;",C59:AN59)</f>
        <v>35</v>
      </c>
      <c r="AR22" s="78">
        <f>SUMIF(C22:AN22,"&lt;&gt;",C60:AN60)</f>
        <v>57</v>
      </c>
    </row>
    <row r="23" spans="1:44" ht="20.100000000000001" customHeight="1">
      <c r="A23" s="5">
        <f t="shared" si="0"/>
        <v>25</v>
      </c>
      <c r="B23" s="325"/>
      <c r="C23" s="6"/>
      <c r="D23" s="6"/>
      <c r="E23" s="6"/>
      <c r="F23" s="51">
        <v>2501</v>
      </c>
      <c r="G23" s="6">
        <v>2502</v>
      </c>
      <c r="H23" s="6"/>
      <c r="I23" s="6"/>
      <c r="J23" s="6"/>
      <c r="K23" s="6">
        <v>2503</v>
      </c>
      <c r="L23" s="6"/>
      <c r="M23" s="6">
        <v>2504</v>
      </c>
      <c r="N23" s="6"/>
      <c r="O23" s="6">
        <v>2505</v>
      </c>
      <c r="P23" s="6"/>
      <c r="Q23" s="6">
        <v>2506</v>
      </c>
      <c r="R23" s="6"/>
      <c r="S23" s="6"/>
      <c r="T23" s="6"/>
      <c r="U23" s="6"/>
      <c r="V23" s="51">
        <v>2507</v>
      </c>
      <c r="W23" s="6"/>
      <c r="X23" s="6"/>
      <c r="Y23" s="6">
        <v>2508</v>
      </c>
      <c r="Z23" s="6"/>
      <c r="AA23" s="6"/>
      <c r="AB23" s="51">
        <v>2509</v>
      </c>
      <c r="AC23" s="6">
        <v>2510</v>
      </c>
      <c r="AD23" s="6"/>
      <c r="AE23" s="6">
        <v>2511</v>
      </c>
      <c r="AF23" s="6"/>
      <c r="AG23" s="6"/>
      <c r="AH23" s="6"/>
      <c r="AI23" s="6">
        <v>2512</v>
      </c>
      <c r="AJ23" s="6"/>
      <c r="AK23" s="6"/>
      <c r="AL23" s="6"/>
      <c r="AM23" s="6">
        <v>2514</v>
      </c>
      <c r="AN23" s="6"/>
      <c r="AO23" s="43">
        <f t="shared" si="1"/>
        <v>25</v>
      </c>
      <c r="AP23" s="64">
        <f t="shared" si="2"/>
        <v>13</v>
      </c>
      <c r="AQ23" s="78">
        <f>SUMIF(C23:AN23,"&lt;&gt;",C59:AN59)</f>
        <v>35</v>
      </c>
      <c r="AR23" s="78">
        <f>SUMIF(C23:AN23,"&lt;&gt;",C60:AN60)</f>
        <v>57</v>
      </c>
    </row>
    <row r="24" spans="1:44" ht="20.100000000000001" customHeight="1">
      <c r="A24" s="5">
        <f t="shared" si="0"/>
        <v>24</v>
      </c>
      <c r="B24" s="325"/>
      <c r="C24" s="6">
        <v>2401</v>
      </c>
      <c r="D24" s="6"/>
      <c r="E24" s="6"/>
      <c r="F24" s="6"/>
      <c r="G24" s="6"/>
      <c r="H24" s="51">
        <v>2402</v>
      </c>
      <c r="I24" s="6"/>
      <c r="J24" s="6"/>
      <c r="K24" s="6">
        <v>2403</v>
      </c>
      <c r="L24" s="6"/>
      <c r="M24" s="6"/>
      <c r="N24" s="51">
        <v>2404</v>
      </c>
      <c r="O24" s="6">
        <v>2405</v>
      </c>
      <c r="P24" s="6"/>
      <c r="Q24" s="6">
        <v>2406</v>
      </c>
      <c r="R24" s="6"/>
      <c r="S24" s="6"/>
      <c r="T24" s="6"/>
      <c r="U24" s="6">
        <v>2407</v>
      </c>
      <c r="V24" s="6"/>
      <c r="W24" s="6"/>
      <c r="X24" s="6"/>
      <c r="Y24" s="6">
        <v>2408</v>
      </c>
      <c r="Z24" s="6"/>
      <c r="AA24" s="6">
        <v>2409</v>
      </c>
      <c r="AB24" s="6"/>
      <c r="AC24" s="6">
        <v>2410</v>
      </c>
      <c r="AD24" s="6"/>
      <c r="AE24" s="6"/>
      <c r="AF24" s="51">
        <v>2411</v>
      </c>
      <c r="AG24" s="6"/>
      <c r="AH24" s="6"/>
      <c r="AI24" s="6">
        <v>2412</v>
      </c>
      <c r="AJ24" s="6"/>
      <c r="AK24" s="6"/>
      <c r="AL24" s="6"/>
      <c r="AM24" s="6"/>
      <c r="AN24" s="51">
        <v>2414</v>
      </c>
      <c r="AO24" s="43">
        <f t="shared" si="1"/>
        <v>24</v>
      </c>
      <c r="AP24" s="64">
        <f t="shared" si="2"/>
        <v>13</v>
      </c>
      <c r="AQ24" s="78">
        <f>SUMIF(C24:AN24,"&lt;&gt;",C59:AN59)</f>
        <v>32</v>
      </c>
      <c r="AR24" s="78">
        <f>SUMIF(C24:AN24,"&lt;&gt;",C60:AN60)</f>
        <v>55</v>
      </c>
    </row>
    <row r="25" spans="1:44" ht="20.100000000000001" customHeight="1">
      <c r="A25" s="5">
        <f t="shared" si="0"/>
        <v>23</v>
      </c>
      <c r="B25" s="325"/>
      <c r="C25" s="6">
        <v>2301</v>
      </c>
      <c r="D25" s="6"/>
      <c r="E25" s="6"/>
      <c r="F25" s="6"/>
      <c r="G25" s="6">
        <v>2302</v>
      </c>
      <c r="H25" s="6"/>
      <c r="I25" s="6"/>
      <c r="J25" s="6"/>
      <c r="K25" s="6">
        <v>2303</v>
      </c>
      <c r="L25" s="6"/>
      <c r="M25" s="6">
        <v>2304</v>
      </c>
      <c r="N25" s="6"/>
      <c r="O25" s="6">
        <v>2305</v>
      </c>
      <c r="P25" s="6"/>
      <c r="Q25" s="6">
        <v>2306</v>
      </c>
      <c r="R25" s="6"/>
      <c r="S25" s="6"/>
      <c r="T25" s="6"/>
      <c r="U25" s="6">
        <v>2307</v>
      </c>
      <c r="V25" s="6"/>
      <c r="W25" s="6">
        <v>2308</v>
      </c>
      <c r="X25" s="6"/>
      <c r="Y25" s="6"/>
      <c r="Z25" s="6"/>
      <c r="AA25" s="6">
        <v>2309</v>
      </c>
      <c r="AB25" s="6"/>
      <c r="AC25" s="6"/>
      <c r="AD25" s="51">
        <v>2310</v>
      </c>
      <c r="AE25" s="6">
        <v>2311</v>
      </c>
      <c r="AF25" s="6"/>
      <c r="AG25" s="6"/>
      <c r="AH25" s="6"/>
      <c r="AI25" s="6">
        <v>2312</v>
      </c>
      <c r="AJ25" s="6"/>
      <c r="AK25" s="6"/>
      <c r="AL25" s="6"/>
      <c r="AM25" s="6">
        <v>2314</v>
      </c>
      <c r="AN25" s="6"/>
      <c r="AO25" s="43">
        <f t="shared" si="1"/>
        <v>23</v>
      </c>
      <c r="AP25" s="64">
        <f t="shared" si="2"/>
        <v>13</v>
      </c>
      <c r="AQ25" s="78">
        <f>SUMIF(C25:AN25,"&lt;&gt;",C59:AN59)</f>
        <v>29</v>
      </c>
      <c r="AR25" s="78">
        <f>SUMIF(C25:AN25,"&lt;&gt;",C60:AN60)</f>
        <v>53</v>
      </c>
    </row>
    <row r="26" spans="1:44" ht="20.100000000000001" customHeight="1">
      <c r="A26" s="5">
        <f t="shared" si="0"/>
        <v>22</v>
      </c>
      <c r="B26" s="325"/>
      <c r="C26" s="6">
        <v>2201</v>
      </c>
      <c r="D26" s="6"/>
      <c r="E26" s="6"/>
      <c r="F26" s="6"/>
      <c r="G26" s="6">
        <v>2202</v>
      </c>
      <c r="H26" s="6"/>
      <c r="I26" s="6"/>
      <c r="J26" s="6"/>
      <c r="K26" s="6"/>
      <c r="L26" s="51">
        <v>2203</v>
      </c>
      <c r="M26" s="6">
        <v>2204</v>
      </c>
      <c r="N26" s="6"/>
      <c r="O26" s="6">
        <v>2205</v>
      </c>
      <c r="P26" s="6"/>
      <c r="Q26" s="6">
        <v>2206</v>
      </c>
      <c r="R26" s="6"/>
      <c r="S26" s="6"/>
      <c r="T26" s="6"/>
      <c r="U26" s="6">
        <v>2207</v>
      </c>
      <c r="V26" s="6"/>
      <c r="W26" s="6"/>
      <c r="X26" s="51">
        <v>2208</v>
      </c>
      <c r="Y26" s="6"/>
      <c r="Z26" s="6"/>
      <c r="AA26" s="6">
        <v>2209</v>
      </c>
      <c r="AB26" s="6"/>
      <c r="AC26" s="6">
        <v>2210</v>
      </c>
      <c r="AD26" s="6"/>
      <c r="AE26" s="6">
        <v>2211</v>
      </c>
      <c r="AF26" s="6"/>
      <c r="AG26" s="6"/>
      <c r="AH26" s="6"/>
      <c r="AI26" s="6"/>
      <c r="AJ26" s="51">
        <v>2212</v>
      </c>
      <c r="AK26" s="6">
        <v>2214</v>
      </c>
      <c r="AL26" s="6"/>
      <c r="AM26" s="6"/>
      <c r="AN26" s="6"/>
      <c r="AO26" s="43">
        <f t="shared" si="1"/>
        <v>22</v>
      </c>
      <c r="AP26" s="64">
        <f t="shared" si="2"/>
        <v>13</v>
      </c>
      <c r="AQ26" s="78">
        <f>SUMIF(C26:AN26,"&lt;&gt;",C59:AN59)</f>
        <v>24</v>
      </c>
      <c r="AR26" s="78">
        <f>SUMIF(C26:AN26,"&lt;&gt;",C60:AN60)</f>
        <v>52</v>
      </c>
    </row>
    <row r="27" spans="1:44" ht="20.100000000000001" customHeight="1">
      <c r="A27" s="5">
        <f t="shared" si="0"/>
        <v>21</v>
      </c>
      <c r="B27" s="325"/>
      <c r="C27" s="6"/>
      <c r="D27" s="51">
        <v>2101</v>
      </c>
      <c r="E27" s="6"/>
      <c r="F27" s="6"/>
      <c r="G27" s="6">
        <v>2102</v>
      </c>
      <c r="H27" s="6"/>
      <c r="I27" s="6"/>
      <c r="J27" s="6"/>
      <c r="K27" s="6">
        <v>2103</v>
      </c>
      <c r="L27" s="6"/>
      <c r="M27" s="6">
        <v>2104</v>
      </c>
      <c r="N27" s="6"/>
      <c r="O27" s="6">
        <v>2105</v>
      </c>
      <c r="P27" s="6"/>
      <c r="Q27" s="6"/>
      <c r="R27" s="51">
        <v>2106</v>
      </c>
      <c r="S27" s="6"/>
      <c r="T27" s="6"/>
      <c r="U27" s="6">
        <v>2107</v>
      </c>
      <c r="V27" s="6"/>
      <c r="W27" s="6">
        <v>2108</v>
      </c>
      <c r="X27" s="6"/>
      <c r="Y27" s="6"/>
      <c r="Z27" s="6"/>
      <c r="AA27" s="6"/>
      <c r="AB27" s="51">
        <v>2109</v>
      </c>
      <c r="AC27" s="6">
        <v>2110</v>
      </c>
      <c r="AD27" s="6"/>
      <c r="AE27" s="6">
        <v>2111</v>
      </c>
      <c r="AF27" s="6"/>
      <c r="AG27" s="6"/>
      <c r="AH27" s="6"/>
      <c r="AI27" s="6">
        <v>2112</v>
      </c>
      <c r="AJ27" s="6"/>
      <c r="AK27" s="6">
        <v>2114</v>
      </c>
      <c r="AL27" s="6"/>
      <c r="AM27" s="6"/>
      <c r="AN27" s="6"/>
      <c r="AO27" s="43">
        <f t="shared" si="1"/>
        <v>21</v>
      </c>
      <c r="AP27" s="64">
        <f t="shared" si="2"/>
        <v>13</v>
      </c>
      <c r="AQ27" s="78">
        <f>SUMIF(C27:AN27,"&lt;&gt;",C59:AN59)</f>
        <v>24</v>
      </c>
      <c r="AR27" s="78">
        <f>SUMIF(C27:AN27,"&lt;&gt;",C60:AN60)</f>
        <v>52</v>
      </c>
    </row>
    <row r="28" spans="1:44" ht="20.100000000000001" customHeight="1">
      <c r="A28" s="5">
        <f t="shared" si="0"/>
        <v>20</v>
      </c>
      <c r="B28" s="325"/>
      <c r="C28" s="6">
        <v>2001</v>
      </c>
      <c r="D28" s="6"/>
      <c r="E28" s="6"/>
      <c r="F28" s="6"/>
      <c r="G28" s="6">
        <v>2002</v>
      </c>
      <c r="H28" s="6"/>
      <c r="I28" s="6"/>
      <c r="J28" s="6"/>
      <c r="K28" s="6">
        <v>2003</v>
      </c>
      <c r="L28" s="6"/>
      <c r="M28" s="6">
        <v>2004</v>
      </c>
      <c r="N28" s="6"/>
      <c r="O28" s="6"/>
      <c r="P28" s="51">
        <v>2005</v>
      </c>
      <c r="Q28" s="6">
        <v>2006</v>
      </c>
      <c r="R28" s="6"/>
      <c r="S28" s="6"/>
      <c r="T28" s="6"/>
      <c r="U28" s="6">
        <v>2007</v>
      </c>
      <c r="V28" s="6"/>
      <c r="W28" s="6"/>
      <c r="X28" s="51">
        <v>2008</v>
      </c>
      <c r="Y28" s="6"/>
      <c r="Z28" s="6"/>
      <c r="AA28" s="6">
        <v>2009</v>
      </c>
      <c r="AB28" s="6"/>
      <c r="AC28" s="6">
        <v>2010</v>
      </c>
      <c r="AD28" s="6"/>
      <c r="AE28" s="6"/>
      <c r="AF28" s="51">
        <v>2011</v>
      </c>
      <c r="AG28" s="6"/>
      <c r="AH28" s="6"/>
      <c r="AI28" s="6">
        <v>2012</v>
      </c>
      <c r="AJ28" s="6"/>
      <c r="AK28" s="6">
        <v>2014</v>
      </c>
      <c r="AL28" s="6"/>
      <c r="AM28" s="6"/>
      <c r="AN28" s="6"/>
      <c r="AO28" s="43">
        <f t="shared" si="1"/>
        <v>20</v>
      </c>
      <c r="AP28" s="64">
        <f t="shared" si="2"/>
        <v>13</v>
      </c>
      <c r="AQ28" s="78">
        <f>SUMIF(C28:AN28,"&lt;&gt;",C59:AN59)</f>
        <v>24</v>
      </c>
      <c r="AR28" s="78">
        <f>SUMIF(C28:AN28,"&lt;&gt;",C60:AN60)</f>
        <v>52</v>
      </c>
    </row>
    <row r="29" spans="1:44" ht="20.100000000000001" customHeight="1">
      <c r="A29" s="5">
        <f t="shared" si="0"/>
        <v>19</v>
      </c>
      <c r="B29" s="325"/>
      <c r="C29" s="6">
        <v>1901</v>
      </c>
      <c r="D29" s="6"/>
      <c r="E29" s="6"/>
      <c r="F29" s="6"/>
      <c r="G29" s="6">
        <v>1902</v>
      </c>
      <c r="H29" s="6"/>
      <c r="I29" s="6"/>
      <c r="J29" s="6"/>
      <c r="K29" s="6">
        <v>1903</v>
      </c>
      <c r="L29" s="6"/>
      <c r="M29" s="6">
        <v>1904</v>
      </c>
      <c r="N29" s="6"/>
      <c r="O29" s="6">
        <v>1905</v>
      </c>
      <c r="P29" s="6"/>
      <c r="Q29" s="6">
        <v>1906</v>
      </c>
      <c r="R29" s="6"/>
      <c r="S29" s="6"/>
      <c r="T29" s="6"/>
      <c r="U29" s="6"/>
      <c r="V29" s="51">
        <v>1907</v>
      </c>
      <c r="W29" s="6">
        <v>1908</v>
      </c>
      <c r="X29" s="6"/>
      <c r="Y29" s="6"/>
      <c r="Z29" s="6"/>
      <c r="AA29" s="6">
        <v>1909</v>
      </c>
      <c r="AB29" s="6"/>
      <c r="AC29" s="6"/>
      <c r="AD29" s="51">
        <v>1910</v>
      </c>
      <c r="AE29" s="6">
        <v>1911</v>
      </c>
      <c r="AF29" s="6"/>
      <c r="AG29" s="6"/>
      <c r="AH29" s="6"/>
      <c r="AI29" s="6"/>
      <c r="AJ29" s="51">
        <v>1912</v>
      </c>
      <c r="AK29" s="6"/>
      <c r="AL29" s="51">
        <v>1914</v>
      </c>
      <c r="AM29" s="6"/>
      <c r="AN29" s="6"/>
      <c r="AO29" s="43">
        <f t="shared" si="1"/>
        <v>19</v>
      </c>
      <c r="AP29" s="64">
        <f t="shared" si="2"/>
        <v>13</v>
      </c>
      <c r="AQ29" s="78">
        <f>SUMIF(C29:AN29,"&lt;&gt;",C59:AN59)</f>
        <v>24</v>
      </c>
      <c r="AR29" s="78">
        <f>SUMIF(C29:AN29,"&lt;&gt;",C60:AN60)</f>
        <v>52</v>
      </c>
    </row>
    <row r="30" spans="1:44" ht="20.100000000000001" customHeight="1">
      <c r="A30" s="5">
        <f t="shared" si="0"/>
        <v>18</v>
      </c>
      <c r="B30" s="325"/>
      <c r="C30" s="6">
        <v>1801</v>
      </c>
      <c r="D30" s="6"/>
      <c r="E30" s="6"/>
      <c r="F30" s="6"/>
      <c r="G30" s="6">
        <v>1802</v>
      </c>
      <c r="H30" s="6"/>
      <c r="I30" s="6"/>
      <c r="J30" s="6"/>
      <c r="K30" s="6"/>
      <c r="L30" s="51">
        <v>1803</v>
      </c>
      <c r="M30" s="6">
        <v>1804</v>
      </c>
      <c r="N30" s="6"/>
      <c r="O30" s="6"/>
      <c r="P30" s="51">
        <v>1805</v>
      </c>
      <c r="Q30" s="6"/>
      <c r="R30" s="51">
        <v>1806</v>
      </c>
      <c r="S30" s="6"/>
      <c r="T30" s="6"/>
      <c r="U30" s="6">
        <v>1807</v>
      </c>
      <c r="V30" s="6"/>
      <c r="W30" s="6">
        <v>1808</v>
      </c>
      <c r="X30" s="6"/>
      <c r="Y30" s="6"/>
      <c r="Z30" s="6"/>
      <c r="AA30" s="6">
        <v>1809</v>
      </c>
      <c r="AB30" s="6"/>
      <c r="AC30" s="6">
        <v>1810</v>
      </c>
      <c r="AD30" s="6"/>
      <c r="AE30" s="6">
        <v>1811</v>
      </c>
      <c r="AF30" s="6"/>
      <c r="AG30" s="6"/>
      <c r="AH30" s="6"/>
      <c r="AI30" s="6">
        <v>1812</v>
      </c>
      <c r="AJ30" s="6"/>
      <c r="AK30" s="6">
        <v>1814</v>
      </c>
      <c r="AL30" s="6"/>
      <c r="AM30" s="6"/>
      <c r="AN30" s="6"/>
      <c r="AO30" s="43">
        <f t="shared" si="1"/>
        <v>18</v>
      </c>
      <c r="AP30" s="64">
        <f t="shared" si="2"/>
        <v>13</v>
      </c>
      <c r="AQ30" s="78">
        <f>SUMIF(C30:AN30,"&lt;&gt;",C59:AN59)</f>
        <v>24</v>
      </c>
      <c r="AR30" s="78">
        <f>SUMIF(C30:AN30,"&lt;&gt;",C60:AN60)</f>
        <v>52</v>
      </c>
    </row>
    <row r="31" spans="1:44" ht="20.100000000000001" customHeight="1">
      <c r="A31" s="5">
        <f t="shared" si="0"/>
        <v>17</v>
      </c>
      <c r="B31" s="325"/>
      <c r="C31" s="6">
        <v>1701</v>
      </c>
      <c r="D31" s="6"/>
      <c r="E31" s="6"/>
      <c r="F31" s="6"/>
      <c r="G31" s="6"/>
      <c r="H31" s="51">
        <v>1702</v>
      </c>
      <c r="I31" s="6"/>
      <c r="J31" s="6"/>
      <c r="K31" s="6">
        <v>1703</v>
      </c>
      <c r="L31" s="6"/>
      <c r="M31" s="6"/>
      <c r="N31" s="51">
        <v>1704</v>
      </c>
      <c r="O31" s="6">
        <v>1705</v>
      </c>
      <c r="P31" s="6"/>
      <c r="Q31" s="6">
        <v>1706</v>
      </c>
      <c r="R31" s="6"/>
      <c r="S31" s="6"/>
      <c r="T31" s="6"/>
      <c r="U31" s="6">
        <v>1707</v>
      </c>
      <c r="V31" s="6"/>
      <c r="W31" s="6">
        <v>1708</v>
      </c>
      <c r="X31" s="6"/>
      <c r="Y31" s="6"/>
      <c r="Z31" s="6"/>
      <c r="AA31" s="6">
        <v>1709</v>
      </c>
      <c r="AB31" s="6"/>
      <c r="AC31" s="6">
        <v>1710</v>
      </c>
      <c r="AD31" s="6"/>
      <c r="AE31" s="6">
        <v>1711</v>
      </c>
      <c r="AF31" s="6"/>
      <c r="AG31" s="6"/>
      <c r="AH31" s="6"/>
      <c r="AI31" s="6">
        <v>1712</v>
      </c>
      <c r="AJ31" s="6"/>
      <c r="AK31" s="6">
        <v>1714</v>
      </c>
      <c r="AL31" s="6"/>
      <c r="AM31" s="6"/>
      <c r="AN31" s="6"/>
      <c r="AO31" s="43">
        <f t="shared" si="1"/>
        <v>17</v>
      </c>
      <c r="AP31" s="64">
        <f t="shared" si="2"/>
        <v>13</v>
      </c>
      <c r="AQ31" s="78">
        <f>SUMIF(C31:AN31,"&lt;&gt;",C59:AN59)</f>
        <v>24</v>
      </c>
      <c r="AR31" s="78">
        <f>SUMIF(C31:AN31,"&lt;&gt;",C60:AN60)</f>
        <v>52</v>
      </c>
    </row>
    <row r="32" spans="1:44" ht="20.100000000000001" customHeight="1">
      <c r="A32" s="5">
        <f t="shared" si="0"/>
        <v>16</v>
      </c>
      <c r="B32" s="325"/>
      <c r="C32" s="6"/>
      <c r="D32" s="51">
        <v>1601</v>
      </c>
      <c r="E32" s="6"/>
      <c r="F32" s="6"/>
      <c r="G32" s="6">
        <v>1602</v>
      </c>
      <c r="H32" s="6"/>
      <c r="I32" s="6"/>
      <c r="J32" s="6"/>
      <c r="K32" s="6">
        <v>1603</v>
      </c>
      <c r="L32" s="6"/>
      <c r="M32" s="6">
        <v>1604</v>
      </c>
      <c r="N32" s="6"/>
      <c r="O32" s="6">
        <v>1605</v>
      </c>
      <c r="P32" s="6"/>
      <c r="Q32" s="6">
        <v>1606</v>
      </c>
      <c r="R32" s="6"/>
      <c r="S32" s="6"/>
      <c r="T32" s="6"/>
      <c r="U32" s="6">
        <v>1607</v>
      </c>
      <c r="V32" s="6"/>
      <c r="W32" s="6">
        <v>1608</v>
      </c>
      <c r="X32" s="6"/>
      <c r="Y32" s="6"/>
      <c r="Z32" s="6"/>
      <c r="AA32" s="6">
        <v>1609</v>
      </c>
      <c r="AB32" s="6"/>
      <c r="AC32" s="6"/>
      <c r="AD32" s="51">
        <v>1610</v>
      </c>
      <c r="AE32" s="6">
        <v>1611</v>
      </c>
      <c r="AF32" s="6"/>
      <c r="AG32" s="6"/>
      <c r="AH32" s="6"/>
      <c r="AI32" s="6">
        <v>1612</v>
      </c>
      <c r="AJ32" s="6"/>
      <c r="AK32" s="6">
        <v>1614</v>
      </c>
      <c r="AL32" s="6"/>
      <c r="AM32" s="6"/>
      <c r="AN32" s="6"/>
      <c r="AO32" s="43">
        <f t="shared" si="1"/>
        <v>16</v>
      </c>
      <c r="AP32" s="64">
        <f t="shared" si="2"/>
        <v>13</v>
      </c>
      <c r="AQ32" s="78">
        <f>SUMIF(C32:AN32,"&lt;&gt;",C59:AN59)</f>
        <v>24</v>
      </c>
      <c r="AR32" s="78">
        <f>SUMIF(C32:AN32,"&lt;&gt;",C60:AN60)</f>
        <v>52</v>
      </c>
    </row>
    <row r="33" spans="1:44" ht="20.100000000000001" customHeight="1">
      <c r="A33" s="5">
        <f t="shared" si="0"/>
        <v>15</v>
      </c>
      <c r="B33" s="325"/>
      <c r="C33" s="6">
        <v>1501</v>
      </c>
      <c r="D33" s="6"/>
      <c r="E33" s="6"/>
      <c r="F33" s="6"/>
      <c r="G33" s="6"/>
      <c r="H33" s="51">
        <v>1502</v>
      </c>
      <c r="I33" s="6"/>
      <c r="J33" s="6"/>
      <c r="K33" s="6">
        <v>1503</v>
      </c>
      <c r="L33" s="6"/>
      <c r="M33" s="6">
        <v>1504</v>
      </c>
      <c r="N33" s="6"/>
      <c r="O33" s="6">
        <v>1505</v>
      </c>
      <c r="P33" s="6"/>
      <c r="Q33" s="6">
        <v>1506</v>
      </c>
      <c r="R33" s="6"/>
      <c r="S33" s="6"/>
      <c r="T33" s="6"/>
      <c r="U33" s="6">
        <v>1507</v>
      </c>
      <c r="V33" s="6"/>
      <c r="W33" s="6">
        <v>1508</v>
      </c>
      <c r="X33" s="6"/>
      <c r="Y33" s="6"/>
      <c r="Z33" s="6"/>
      <c r="AA33" s="6">
        <v>1509</v>
      </c>
      <c r="AB33" s="6"/>
      <c r="AC33" s="6">
        <v>1510</v>
      </c>
      <c r="AD33" s="6"/>
      <c r="AE33" s="6">
        <v>1511</v>
      </c>
      <c r="AF33" s="6"/>
      <c r="AG33" s="6"/>
      <c r="AH33" s="6"/>
      <c r="AI33" s="6">
        <v>1512</v>
      </c>
      <c r="AJ33" s="6"/>
      <c r="AK33" s="6">
        <v>1514</v>
      </c>
      <c r="AL33" s="6"/>
      <c r="AM33" s="6"/>
      <c r="AN33" s="6"/>
      <c r="AO33" s="43">
        <f t="shared" si="1"/>
        <v>15</v>
      </c>
      <c r="AP33" s="64">
        <f t="shared" si="2"/>
        <v>13</v>
      </c>
      <c r="AQ33" s="78">
        <f>SUMIF(C33:AN33,"&lt;&gt;",C59:AN59)</f>
        <v>24</v>
      </c>
      <c r="AR33" s="78">
        <f>SUMIF(C33:AN33,"&lt;&gt;",C60:AN60)</f>
        <v>52</v>
      </c>
    </row>
    <row r="34" spans="1:44" ht="20.100000000000001" customHeight="1">
      <c r="A34" s="5">
        <v>14</v>
      </c>
      <c r="B34" s="325"/>
      <c r="C34" s="6">
        <v>1401</v>
      </c>
      <c r="D34" s="6"/>
      <c r="E34" s="6"/>
      <c r="F34" s="6"/>
      <c r="G34" s="6">
        <v>1402</v>
      </c>
      <c r="H34" s="6"/>
      <c r="I34" s="6"/>
      <c r="J34" s="6"/>
      <c r="K34" s="6">
        <v>1403</v>
      </c>
      <c r="L34" s="6"/>
      <c r="M34" s="6">
        <v>1404</v>
      </c>
      <c r="N34" s="6"/>
      <c r="O34" s="6">
        <v>1405</v>
      </c>
      <c r="P34" s="6"/>
      <c r="Q34" s="6">
        <v>1406</v>
      </c>
      <c r="R34" s="6"/>
      <c r="S34" s="6"/>
      <c r="T34" s="6"/>
      <c r="U34" s="6">
        <v>1407</v>
      </c>
      <c r="V34" s="6"/>
      <c r="W34" s="6"/>
      <c r="X34" s="51">
        <v>1408</v>
      </c>
      <c r="Y34" s="6"/>
      <c r="Z34" s="6"/>
      <c r="AA34" s="6">
        <v>1409</v>
      </c>
      <c r="AB34" s="6"/>
      <c r="AC34" s="6">
        <v>1410</v>
      </c>
      <c r="AD34" s="6"/>
      <c r="AE34" s="6">
        <v>1411</v>
      </c>
      <c r="AF34" s="6"/>
      <c r="AG34" s="6"/>
      <c r="AH34" s="6"/>
      <c r="AI34" s="6"/>
      <c r="AJ34" s="51">
        <v>1412</v>
      </c>
      <c r="AK34" s="6">
        <v>1414</v>
      </c>
      <c r="AL34" s="6"/>
      <c r="AM34" s="6"/>
      <c r="AN34" s="6"/>
      <c r="AO34" s="43">
        <f t="shared" si="1"/>
        <v>14</v>
      </c>
      <c r="AP34" s="64">
        <f t="shared" si="2"/>
        <v>13</v>
      </c>
      <c r="AQ34" s="78">
        <f>SUMIF(C34:AN34,"&lt;&gt;",C59:AN59)</f>
        <v>24</v>
      </c>
      <c r="AR34" s="78">
        <f>SUMIF(C34:AN34,"&lt;&gt;",C60:AN60)</f>
        <v>52</v>
      </c>
    </row>
    <row r="35" spans="1:44" ht="20.100000000000001" customHeight="1">
      <c r="A35" s="5">
        <f t="shared" ref="A35:A45" si="3">A36+1</f>
        <v>12</v>
      </c>
      <c r="B35" s="325"/>
      <c r="C35" s="6"/>
      <c r="D35" s="51">
        <v>1201</v>
      </c>
      <c r="E35" s="6"/>
      <c r="F35" s="6"/>
      <c r="G35" s="6">
        <v>1202</v>
      </c>
      <c r="H35" s="6"/>
      <c r="I35" s="6"/>
      <c r="J35" s="6"/>
      <c r="K35" s="6">
        <v>1203</v>
      </c>
      <c r="L35" s="6"/>
      <c r="M35" s="6">
        <v>1204</v>
      </c>
      <c r="N35" s="6"/>
      <c r="O35" s="6">
        <v>1205</v>
      </c>
      <c r="P35" s="6"/>
      <c r="Q35" s="6">
        <v>1206</v>
      </c>
      <c r="R35" s="6"/>
      <c r="S35" s="6"/>
      <c r="T35" s="6"/>
      <c r="U35" s="6"/>
      <c r="V35" s="51">
        <v>1207</v>
      </c>
      <c r="W35" s="6">
        <v>1208</v>
      </c>
      <c r="X35" s="6"/>
      <c r="Y35" s="6"/>
      <c r="Z35" s="6"/>
      <c r="AA35" s="6">
        <v>1209</v>
      </c>
      <c r="AB35" s="6"/>
      <c r="AC35" s="6">
        <v>1210</v>
      </c>
      <c r="AD35" s="6"/>
      <c r="AE35" s="6">
        <v>1211</v>
      </c>
      <c r="AF35" s="6"/>
      <c r="AG35" s="6"/>
      <c r="AH35" s="6"/>
      <c r="AI35" s="6">
        <v>1212</v>
      </c>
      <c r="AJ35" s="6"/>
      <c r="AK35" s="6">
        <v>1214</v>
      </c>
      <c r="AL35" s="6"/>
      <c r="AM35" s="6"/>
      <c r="AN35" s="6"/>
      <c r="AO35" s="43">
        <f t="shared" si="1"/>
        <v>12</v>
      </c>
      <c r="AP35" s="64">
        <f t="shared" si="2"/>
        <v>13</v>
      </c>
      <c r="AQ35" s="78">
        <f>SUMIF(C35:AN35,"&lt;&gt;",C59:AN59)</f>
        <v>24</v>
      </c>
      <c r="AR35" s="78">
        <f>SUMIF(C35:AN35,"&lt;&gt;",C60:AN60)</f>
        <v>52</v>
      </c>
    </row>
    <row r="36" spans="1:44" ht="20.100000000000001" customHeight="1">
      <c r="A36" s="5">
        <f t="shared" si="3"/>
        <v>11</v>
      </c>
      <c r="B36" s="325"/>
      <c r="C36" s="6">
        <v>1101</v>
      </c>
      <c r="D36" s="6"/>
      <c r="E36" s="6"/>
      <c r="F36" s="6"/>
      <c r="G36" s="6">
        <v>1102</v>
      </c>
      <c r="H36" s="6"/>
      <c r="I36" s="6">
        <v>1103</v>
      </c>
      <c r="J36" s="6"/>
      <c r="K36" s="6"/>
      <c r="L36" s="6"/>
      <c r="M36" s="6">
        <v>1104</v>
      </c>
      <c r="N36" s="6"/>
      <c r="O36" s="6">
        <v>1105</v>
      </c>
      <c r="P36" s="6"/>
      <c r="Q36" s="6"/>
      <c r="R36" s="51">
        <v>1106</v>
      </c>
      <c r="S36" s="6"/>
      <c r="T36" s="6"/>
      <c r="U36" s="6">
        <v>1107</v>
      </c>
      <c r="V36" s="6"/>
      <c r="W36" s="6">
        <v>1108</v>
      </c>
      <c r="X36" s="6"/>
      <c r="Y36" s="6"/>
      <c r="Z36" s="6"/>
      <c r="AA36" s="6">
        <v>1109</v>
      </c>
      <c r="AB36" s="6"/>
      <c r="AC36" s="6">
        <v>1110</v>
      </c>
      <c r="AD36" s="6"/>
      <c r="AE36" s="6">
        <v>1111</v>
      </c>
      <c r="AF36" s="6"/>
      <c r="AG36" s="6"/>
      <c r="AH36" s="6"/>
      <c r="AI36" s="6">
        <v>1112</v>
      </c>
      <c r="AJ36" s="6"/>
      <c r="AK36" s="6"/>
      <c r="AL36" s="51">
        <v>1114</v>
      </c>
      <c r="AM36" s="6"/>
      <c r="AN36" s="6"/>
      <c r="AO36" s="43">
        <f t="shared" si="1"/>
        <v>11</v>
      </c>
      <c r="AP36" s="64">
        <f t="shared" si="2"/>
        <v>13</v>
      </c>
      <c r="AQ36" s="78">
        <f>SUMIF(C36:AN36,"&lt;&gt;",C59:AN59)</f>
        <v>21</v>
      </c>
      <c r="AR36" s="78">
        <f>SUMIF(C36:AN36,"&lt;&gt;",C60:AN60)</f>
        <v>51</v>
      </c>
    </row>
    <row r="37" spans="1:44" ht="20.100000000000001" customHeight="1">
      <c r="A37" s="5">
        <f t="shared" si="3"/>
        <v>10</v>
      </c>
      <c r="B37" s="325"/>
      <c r="C37" s="6">
        <v>1001</v>
      </c>
      <c r="D37" s="6"/>
      <c r="E37" s="6"/>
      <c r="F37" s="6"/>
      <c r="G37" s="6">
        <v>1002</v>
      </c>
      <c r="H37" s="6"/>
      <c r="I37" s="6"/>
      <c r="J37" s="51">
        <v>1003</v>
      </c>
      <c r="K37" s="6"/>
      <c r="L37" s="6"/>
      <c r="M37" s="6"/>
      <c r="N37" s="51">
        <v>1004</v>
      </c>
      <c r="O37" s="6"/>
      <c r="P37" s="51">
        <v>1005</v>
      </c>
      <c r="Q37" s="6">
        <v>1006</v>
      </c>
      <c r="R37" s="6"/>
      <c r="S37" s="6"/>
      <c r="T37" s="6"/>
      <c r="U37" s="6">
        <v>1007</v>
      </c>
      <c r="V37" s="6"/>
      <c r="W37" s="6">
        <v>1008</v>
      </c>
      <c r="X37" s="6"/>
      <c r="Y37" s="6"/>
      <c r="Z37" s="6"/>
      <c r="AA37" s="6">
        <v>1009</v>
      </c>
      <c r="AB37" s="6"/>
      <c r="AC37" s="6"/>
      <c r="AD37" s="51">
        <v>1010</v>
      </c>
      <c r="AE37" s="6">
        <v>1011</v>
      </c>
      <c r="AF37" s="6"/>
      <c r="AG37" s="6"/>
      <c r="AH37" s="6"/>
      <c r="AI37" s="6">
        <v>1012</v>
      </c>
      <c r="AJ37" s="6"/>
      <c r="AK37" s="6">
        <v>1014</v>
      </c>
      <c r="AL37" s="6"/>
      <c r="AM37" s="6"/>
      <c r="AN37" s="6"/>
      <c r="AO37" s="43">
        <f t="shared" si="1"/>
        <v>10</v>
      </c>
      <c r="AP37" s="64">
        <f t="shared" si="2"/>
        <v>13</v>
      </c>
      <c r="AQ37" s="78">
        <f>SUMIF(C37:AN37,"&lt;&gt;",C59:AN59)</f>
        <v>21</v>
      </c>
      <c r="AR37" s="78">
        <f>SUMIF(C37:AN37,"&lt;&gt;",C60:AN60)</f>
        <v>51</v>
      </c>
    </row>
    <row r="38" spans="1:44" ht="20.100000000000001" customHeight="1">
      <c r="A38" s="5">
        <f t="shared" si="3"/>
        <v>9</v>
      </c>
      <c r="B38" s="325"/>
      <c r="C38" s="6"/>
      <c r="D38" s="51">
        <v>901</v>
      </c>
      <c r="E38" s="6"/>
      <c r="F38" s="6"/>
      <c r="G38" s="6">
        <v>902</v>
      </c>
      <c r="H38" s="6"/>
      <c r="I38" s="6">
        <v>903</v>
      </c>
      <c r="J38" s="6"/>
      <c r="K38" s="6"/>
      <c r="L38" s="6"/>
      <c r="M38" s="6">
        <v>904</v>
      </c>
      <c r="N38" s="6"/>
      <c r="O38" s="6">
        <v>905</v>
      </c>
      <c r="P38" s="6"/>
      <c r="Q38" s="6">
        <v>906</v>
      </c>
      <c r="R38" s="6"/>
      <c r="S38" s="6"/>
      <c r="T38" s="6"/>
      <c r="U38" s="6"/>
      <c r="V38" s="51">
        <v>907</v>
      </c>
      <c r="W38" s="6">
        <v>908</v>
      </c>
      <c r="X38" s="6"/>
      <c r="Y38" s="6"/>
      <c r="Z38" s="6"/>
      <c r="AA38" s="6">
        <v>909</v>
      </c>
      <c r="AB38" s="6"/>
      <c r="AC38" s="6">
        <v>910</v>
      </c>
      <c r="AD38" s="6"/>
      <c r="AE38" s="6">
        <v>911</v>
      </c>
      <c r="AF38" s="6"/>
      <c r="AG38" s="6"/>
      <c r="AH38" s="6"/>
      <c r="AI38" s="6"/>
      <c r="AJ38" s="51">
        <v>912</v>
      </c>
      <c r="AK38" s="6">
        <v>914</v>
      </c>
      <c r="AL38" s="6"/>
      <c r="AM38" s="6"/>
      <c r="AN38" s="6"/>
      <c r="AO38" s="43">
        <f t="shared" si="1"/>
        <v>9</v>
      </c>
      <c r="AP38" s="64">
        <f t="shared" si="2"/>
        <v>13</v>
      </c>
      <c r="AQ38" s="78">
        <f>SUMIF(C38:AN38,"&lt;&gt;",C59:AN59)</f>
        <v>21</v>
      </c>
      <c r="AR38" s="78">
        <f>SUMIF(C38:AN38,"&lt;&gt;",C60:AN60)</f>
        <v>51</v>
      </c>
    </row>
    <row r="39" spans="1:44" ht="20.100000000000001" customHeight="1">
      <c r="A39" s="5">
        <f t="shared" si="3"/>
        <v>8</v>
      </c>
      <c r="B39" s="325"/>
      <c r="C39" s="6">
        <v>801</v>
      </c>
      <c r="D39" s="6"/>
      <c r="E39" s="6"/>
      <c r="F39" s="6"/>
      <c r="G39" s="6">
        <v>802</v>
      </c>
      <c r="H39" s="6"/>
      <c r="I39" s="6">
        <v>803</v>
      </c>
      <c r="J39" s="6"/>
      <c r="K39" s="6"/>
      <c r="L39" s="6"/>
      <c r="M39" s="6">
        <v>804</v>
      </c>
      <c r="N39" s="6"/>
      <c r="O39" s="6">
        <v>805</v>
      </c>
      <c r="P39" s="6"/>
      <c r="Q39" s="6">
        <v>806</v>
      </c>
      <c r="R39" s="6"/>
      <c r="S39" s="6"/>
      <c r="T39" s="6"/>
      <c r="U39" s="6">
        <v>807</v>
      </c>
      <c r="V39" s="6"/>
      <c r="W39" s="6">
        <v>808</v>
      </c>
      <c r="X39" s="6"/>
      <c r="Y39" s="6"/>
      <c r="Z39" s="6"/>
      <c r="AA39" s="6"/>
      <c r="AB39" s="51">
        <v>809</v>
      </c>
      <c r="AC39" s="6"/>
      <c r="AD39" s="51">
        <v>810</v>
      </c>
      <c r="AE39" s="6">
        <v>811</v>
      </c>
      <c r="AF39" s="6"/>
      <c r="AG39" s="6"/>
      <c r="AH39" s="6"/>
      <c r="AI39" s="6">
        <v>812</v>
      </c>
      <c r="AJ39" s="6"/>
      <c r="AK39" s="6">
        <v>814</v>
      </c>
      <c r="AL39" s="6"/>
      <c r="AM39" s="6"/>
      <c r="AN39" s="6"/>
      <c r="AO39" s="43">
        <f t="shared" si="1"/>
        <v>8</v>
      </c>
      <c r="AP39" s="64">
        <f t="shared" si="2"/>
        <v>13</v>
      </c>
      <c r="AQ39" s="78">
        <f>SUMIF(C39:AN39,"&lt;&gt;",C59:AN59)</f>
        <v>21</v>
      </c>
      <c r="AR39" s="78">
        <f>SUMIF(C39:AN39,"&lt;&gt;",C60:AN60)</f>
        <v>51</v>
      </c>
    </row>
    <row r="40" spans="1:44" ht="20.100000000000001" customHeight="1">
      <c r="A40" s="5">
        <f t="shared" si="3"/>
        <v>7</v>
      </c>
      <c r="B40" s="325"/>
      <c r="C40" s="6"/>
      <c r="D40" s="51">
        <v>701</v>
      </c>
      <c r="E40" s="6"/>
      <c r="F40" s="6"/>
      <c r="G40" s="6">
        <v>702</v>
      </c>
      <c r="H40" s="6"/>
      <c r="I40" s="6">
        <v>703</v>
      </c>
      <c r="J40" s="6"/>
      <c r="K40" s="6"/>
      <c r="L40" s="6"/>
      <c r="M40" s="6">
        <v>704</v>
      </c>
      <c r="N40" s="6"/>
      <c r="O40" s="6">
        <v>705</v>
      </c>
      <c r="P40" s="6"/>
      <c r="Q40" s="6">
        <v>706</v>
      </c>
      <c r="R40" s="6"/>
      <c r="S40" s="6"/>
      <c r="T40" s="6"/>
      <c r="U40" s="6">
        <v>707</v>
      </c>
      <c r="V40" s="6"/>
      <c r="W40" s="6">
        <v>708</v>
      </c>
      <c r="X40" s="6"/>
      <c r="Y40" s="6"/>
      <c r="Z40" s="6"/>
      <c r="AA40" s="6">
        <v>709</v>
      </c>
      <c r="AB40" s="6"/>
      <c r="AC40" s="6">
        <v>710</v>
      </c>
      <c r="AD40" s="6"/>
      <c r="AE40" s="6"/>
      <c r="AF40" s="51">
        <v>711</v>
      </c>
      <c r="AG40" s="6"/>
      <c r="AH40" s="6"/>
      <c r="AI40" s="6">
        <v>712</v>
      </c>
      <c r="AJ40" s="6"/>
      <c r="AK40" s="6">
        <v>714</v>
      </c>
      <c r="AL40" s="6"/>
      <c r="AM40" s="6"/>
      <c r="AN40" s="6"/>
      <c r="AO40" s="43">
        <f t="shared" si="1"/>
        <v>7</v>
      </c>
      <c r="AP40" s="64">
        <f t="shared" si="2"/>
        <v>13</v>
      </c>
      <c r="AQ40" s="78">
        <f>SUMIF(C40:AN40,"&lt;&gt;",C59:AN59)</f>
        <v>21</v>
      </c>
      <c r="AR40" s="78">
        <f>SUMIF(C40:AN40,"&lt;&gt;",C60:AN60)</f>
        <v>51</v>
      </c>
    </row>
    <row r="41" spans="1:44" ht="20.100000000000001" customHeight="1">
      <c r="A41" s="5">
        <f t="shared" si="3"/>
        <v>6</v>
      </c>
      <c r="B41" s="325"/>
      <c r="C41" s="6">
        <v>601</v>
      </c>
      <c r="D41" s="6"/>
      <c r="E41" s="6"/>
      <c r="F41" s="6"/>
      <c r="G41" s="6">
        <v>602</v>
      </c>
      <c r="H41" s="6"/>
      <c r="I41" s="6">
        <v>603</v>
      </c>
      <c r="J41" s="6"/>
      <c r="K41" s="6"/>
      <c r="L41" s="6"/>
      <c r="M41" s="6"/>
      <c r="N41" s="51">
        <v>604</v>
      </c>
      <c r="O41" s="6">
        <v>605</v>
      </c>
      <c r="P41" s="6"/>
      <c r="Q41" s="6">
        <v>606</v>
      </c>
      <c r="R41" s="6"/>
      <c r="S41" s="6"/>
      <c r="T41" s="6"/>
      <c r="U41" s="6"/>
      <c r="V41" s="51">
        <v>607</v>
      </c>
      <c r="W41" s="6">
        <v>608</v>
      </c>
      <c r="X41" s="6"/>
      <c r="Y41" s="6"/>
      <c r="Z41" s="6"/>
      <c r="AA41" s="6">
        <v>609</v>
      </c>
      <c r="AB41" s="6"/>
      <c r="AC41" s="6">
        <v>610</v>
      </c>
      <c r="AD41" s="6"/>
      <c r="AE41" s="6">
        <v>611</v>
      </c>
      <c r="AF41" s="6"/>
      <c r="AG41" s="6"/>
      <c r="AH41" s="6"/>
      <c r="AI41" s="6">
        <v>612</v>
      </c>
      <c r="AJ41" s="6"/>
      <c r="AK41" s="6"/>
      <c r="AL41" s="51">
        <v>614</v>
      </c>
      <c r="AM41" s="6"/>
      <c r="AN41" s="6"/>
      <c r="AO41" s="43">
        <f t="shared" si="1"/>
        <v>6</v>
      </c>
      <c r="AP41" s="64">
        <f t="shared" si="2"/>
        <v>13</v>
      </c>
      <c r="AQ41" s="78">
        <f>SUMIF(C41:AN41,"&lt;&gt;",C59:AN59)</f>
        <v>21</v>
      </c>
      <c r="AR41" s="78">
        <f>SUMIF(C41:AN41,"&lt;&gt;",C60:AN60)</f>
        <v>51</v>
      </c>
    </row>
    <row r="42" spans="1:44" ht="20.100000000000001" customHeight="1">
      <c r="A42" s="5">
        <f t="shared" si="3"/>
        <v>5</v>
      </c>
      <c r="B42" s="325"/>
      <c r="C42" s="6">
        <v>501</v>
      </c>
      <c r="D42" s="6"/>
      <c r="E42" s="6"/>
      <c r="F42" s="6"/>
      <c r="G42" s="6">
        <v>502</v>
      </c>
      <c r="H42" s="6"/>
      <c r="I42" s="6"/>
      <c r="J42" s="51">
        <v>503</v>
      </c>
      <c r="K42" s="6"/>
      <c r="L42" s="6"/>
      <c r="M42" s="6">
        <v>504</v>
      </c>
      <c r="N42" s="6"/>
      <c r="O42" s="6"/>
      <c r="P42" s="51">
        <v>505</v>
      </c>
      <c r="Q42" s="6"/>
      <c r="R42" s="51">
        <v>506</v>
      </c>
      <c r="S42" s="6"/>
      <c r="T42" s="6"/>
      <c r="U42" s="6">
        <v>507</v>
      </c>
      <c r="V42" s="6"/>
      <c r="W42" s="6">
        <v>508</v>
      </c>
      <c r="X42" s="6"/>
      <c r="Y42" s="6"/>
      <c r="Z42" s="6"/>
      <c r="AA42" s="6"/>
      <c r="AB42" s="51">
        <v>509</v>
      </c>
      <c r="AC42" s="6">
        <v>510</v>
      </c>
      <c r="AD42" s="6"/>
      <c r="AE42" s="6">
        <v>511</v>
      </c>
      <c r="AF42" s="6"/>
      <c r="AG42" s="6"/>
      <c r="AH42" s="6"/>
      <c r="AI42" s="6"/>
      <c r="AJ42" s="51">
        <v>512</v>
      </c>
      <c r="AK42" s="6">
        <v>514</v>
      </c>
      <c r="AL42" s="6"/>
      <c r="AM42" s="6"/>
      <c r="AN42" s="6"/>
      <c r="AO42" s="43">
        <f t="shared" si="1"/>
        <v>5</v>
      </c>
      <c r="AP42" s="64">
        <f t="shared" si="2"/>
        <v>13</v>
      </c>
      <c r="AQ42" s="78">
        <f>SUMIF(C42:AN42,"&lt;&gt;",C59:AN59)</f>
        <v>21</v>
      </c>
      <c r="AR42" s="78">
        <f>SUMIF(C42:AN42,"&lt;&gt;",C60:AN60)</f>
        <v>51</v>
      </c>
    </row>
    <row r="43" spans="1:44" ht="20.100000000000001" customHeight="1">
      <c r="A43" s="5">
        <f t="shared" si="3"/>
        <v>4</v>
      </c>
      <c r="B43" s="325"/>
      <c r="C43" s="6">
        <v>401</v>
      </c>
      <c r="D43" s="6"/>
      <c r="E43" s="6"/>
      <c r="F43" s="6"/>
      <c r="G43" s="6"/>
      <c r="H43" s="51">
        <v>402</v>
      </c>
      <c r="I43" s="6">
        <v>403</v>
      </c>
      <c r="J43" s="6"/>
      <c r="K43" s="6"/>
      <c r="L43" s="6"/>
      <c r="M43" s="6">
        <v>404</v>
      </c>
      <c r="N43" s="6"/>
      <c r="O43" s="6">
        <v>405</v>
      </c>
      <c r="P43" s="6"/>
      <c r="Q43" s="6">
        <v>406</v>
      </c>
      <c r="R43" s="6"/>
      <c r="S43" s="6"/>
      <c r="T43" s="6"/>
      <c r="U43" s="6">
        <v>407</v>
      </c>
      <c r="V43" s="6"/>
      <c r="W43" s="6"/>
      <c r="X43" s="51">
        <v>408</v>
      </c>
      <c r="Y43" s="6"/>
      <c r="Z43" s="6"/>
      <c r="AA43" s="6">
        <v>409</v>
      </c>
      <c r="AB43" s="6"/>
      <c r="AC43" s="6">
        <v>410</v>
      </c>
      <c r="AD43" s="6"/>
      <c r="AE43" s="6">
        <v>411</v>
      </c>
      <c r="AF43" s="6"/>
      <c r="AG43" s="6"/>
      <c r="AH43" s="6"/>
      <c r="AI43" s="6">
        <v>412</v>
      </c>
      <c r="AJ43" s="6"/>
      <c r="AK43" s="6">
        <v>414</v>
      </c>
      <c r="AL43" s="6"/>
      <c r="AM43" s="6"/>
      <c r="AN43" s="6"/>
      <c r="AO43" s="43">
        <f t="shared" si="1"/>
        <v>4</v>
      </c>
      <c r="AP43" s="64">
        <f t="shared" si="2"/>
        <v>13</v>
      </c>
      <c r="AQ43" s="78">
        <f>SUMIF(C43:AN43,"&lt;&gt;",C59:AN59)</f>
        <v>21</v>
      </c>
      <c r="AR43" s="78">
        <f>SUMIF(C43:AN43,"&lt;&gt;",C60:AN60)</f>
        <v>51</v>
      </c>
    </row>
    <row r="44" spans="1:44" ht="20.100000000000001" customHeight="1">
      <c r="A44" s="5">
        <f t="shared" si="3"/>
        <v>3</v>
      </c>
      <c r="B44" s="326"/>
      <c r="C44" s="6">
        <v>301</v>
      </c>
      <c r="D44" s="6"/>
      <c r="E44" s="6"/>
      <c r="F44" s="6"/>
      <c r="G44" s="6">
        <v>302</v>
      </c>
      <c r="H44" s="6"/>
      <c r="I44" s="6">
        <v>303</v>
      </c>
      <c r="J44" s="6"/>
      <c r="K44" s="6"/>
      <c r="L44" s="6"/>
      <c r="M44" s="6">
        <v>304</v>
      </c>
      <c r="N44" s="6"/>
      <c r="O44" s="6"/>
      <c r="P44" s="51">
        <v>305</v>
      </c>
      <c r="Q44" s="6">
        <v>306</v>
      </c>
      <c r="R44" s="6"/>
      <c r="S44" s="6"/>
      <c r="T44" s="6"/>
      <c r="U44" s="6">
        <v>307</v>
      </c>
      <c r="V44" s="6"/>
      <c r="W44" s="6">
        <v>308</v>
      </c>
      <c r="X44" s="6"/>
      <c r="Y44" s="6"/>
      <c r="Z44" s="6"/>
      <c r="AA44" s="6">
        <v>309</v>
      </c>
      <c r="AB44" s="6"/>
      <c r="AC44" s="6">
        <v>310</v>
      </c>
      <c r="AD44" s="6"/>
      <c r="AE44" s="6"/>
      <c r="AF44" s="51">
        <v>311</v>
      </c>
      <c r="AG44" s="6"/>
      <c r="AH44" s="6"/>
      <c r="AI44" s="6">
        <v>312</v>
      </c>
      <c r="AJ44" s="6"/>
      <c r="AK44" s="6"/>
      <c r="AL44" s="51">
        <v>314</v>
      </c>
      <c r="AM44" s="6"/>
      <c r="AN44" s="6"/>
      <c r="AO44" s="43">
        <f t="shared" si="1"/>
        <v>3</v>
      </c>
      <c r="AP44" s="64">
        <f t="shared" si="2"/>
        <v>13</v>
      </c>
      <c r="AQ44" s="78">
        <f>SUMIF(C44:AN44,"&lt;&gt;",C59:AN59)</f>
        <v>21</v>
      </c>
      <c r="AR44" s="78">
        <f>SUMIF(C44:AN44,"&lt;&gt;",C60:AN60)</f>
        <v>51</v>
      </c>
    </row>
    <row r="45" spans="1:44" ht="20.100000000000001" customHeight="1">
      <c r="A45" s="5">
        <f t="shared" si="3"/>
        <v>2</v>
      </c>
      <c r="B45" s="50" t="s">
        <v>30</v>
      </c>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3">
        <f t="shared" si="1"/>
        <v>2</v>
      </c>
      <c r="AP45" s="64">
        <f t="shared" si="2"/>
        <v>0</v>
      </c>
      <c r="AQ45" s="35"/>
      <c r="AR45" s="35"/>
    </row>
    <row r="46" spans="1:44" ht="20.100000000000001" customHeight="1">
      <c r="A46" s="5">
        <v>1</v>
      </c>
      <c r="B46" s="50" t="s">
        <v>31</v>
      </c>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3">
        <f t="shared" si="1"/>
        <v>1</v>
      </c>
      <c r="AP46" s="64">
        <f t="shared" si="2"/>
        <v>0</v>
      </c>
      <c r="AQ46" s="35"/>
      <c r="AR46" s="35"/>
    </row>
    <row r="47" spans="1:44" ht="20.100000000000001" customHeight="1">
      <c r="A47" s="5"/>
      <c r="B47" s="7"/>
      <c r="C47" s="7"/>
      <c r="D47" s="7"/>
      <c r="E47" s="7"/>
      <c r="F47" s="7"/>
      <c r="G47" s="42"/>
      <c r="H47" s="42"/>
      <c r="I47" s="42"/>
      <c r="J47" s="42"/>
      <c r="K47" s="42"/>
      <c r="L47" s="42"/>
      <c r="M47" s="42"/>
      <c r="N47" s="42"/>
      <c r="O47" s="42"/>
      <c r="P47" s="42"/>
      <c r="Q47" s="42"/>
      <c r="R47" s="42"/>
      <c r="S47" s="42"/>
      <c r="T47" s="42"/>
      <c r="U47" s="9"/>
      <c r="V47" s="9"/>
      <c r="W47" s="9"/>
      <c r="X47" s="9"/>
      <c r="Y47" s="9"/>
      <c r="Z47" s="9"/>
      <c r="AA47" s="42"/>
      <c r="AB47" s="42"/>
      <c r="AC47" s="42"/>
      <c r="AD47" s="42"/>
      <c r="AE47" s="42"/>
      <c r="AF47" s="42"/>
      <c r="AG47" s="42"/>
      <c r="AH47" s="42"/>
      <c r="AI47" s="42"/>
      <c r="AJ47" s="42"/>
      <c r="AK47" s="42"/>
      <c r="AL47" s="42"/>
      <c r="AM47" s="42"/>
      <c r="AN47" s="42"/>
      <c r="AO47" s="5"/>
      <c r="AP47" s="63"/>
      <c r="AQ47" s="35"/>
      <c r="AR47" s="35"/>
    </row>
    <row r="48" spans="1:44" ht="20.100000000000001" customHeight="1">
      <c r="A48" s="25"/>
      <c r="B48" s="25"/>
      <c r="C48" s="25"/>
      <c r="D48" s="25"/>
      <c r="E48" s="25"/>
      <c r="F48" s="25"/>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25"/>
      <c r="AP48" s="65"/>
      <c r="AQ48" s="79"/>
      <c r="AR48" s="79"/>
    </row>
    <row r="49" spans="1:44" s="3" customFormat="1" ht="20.100000000000001" customHeight="1">
      <c r="A49" s="327" t="s">
        <v>32</v>
      </c>
      <c r="B49" s="328"/>
      <c r="C49" s="40">
        <f>COUNT(C5:C44)</f>
        <v>16</v>
      </c>
      <c r="D49" s="40">
        <f>COUNT(D5:D44)</f>
        <v>5</v>
      </c>
      <c r="E49" s="40">
        <f>COUNT(E5:E44)</f>
        <v>16</v>
      </c>
      <c r="F49" s="40">
        <f>COUNT(F5:F44)</f>
        <v>3</v>
      </c>
      <c r="G49" s="40">
        <f t="shared" ref="G49:AN49" si="4">COUNT(G4:G47)</f>
        <v>33</v>
      </c>
      <c r="H49" s="40">
        <f t="shared" si="4"/>
        <v>7</v>
      </c>
      <c r="I49" s="40">
        <f t="shared" si="4"/>
        <v>7</v>
      </c>
      <c r="J49" s="40">
        <f t="shared" si="4"/>
        <v>2</v>
      </c>
      <c r="K49" s="40">
        <f t="shared" si="4"/>
        <v>25</v>
      </c>
      <c r="L49" s="40">
        <f t="shared" si="4"/>
        <v>6</v>
      </c>
      <c r="M49" s="40">
        <f t="shared" si="4"/>
        <v>32</v>
      </c>
      <c r="N49" s="40">
        <f t="shared" si="4"/>
        <v>8</v>
      </c>
      <c r="O49" s="40">
        <f t="shared" si="4"/>
        <v>32</v>
      </c>
      <c r="P49" s="40">
        <f t="shared" si="4"/>
        <v>8</v>
      </c>
      <c r="Q49" s="40">
        <f t="shared" si="4"/>
        <v>23</v>
      </c>
      <c r="R49" s="40">
        <f t="shared" si="4"/>
        <v>6</v>
      </c>
      <c r="S49" s="40">
        <f t="shared" si="4"/>
        <v>9</v>
      </c>
      <c r="T49" s="40">
        <f t="shared" si="4"/>
        <v>2</v>
      </c>
      <c r="U49" s="40">
        <f t="shared" si="4"/>
        <v>32</v>
      </c>
      <c r="V49" s="40">
        <f t="shared" si="4"/>
        <v>8</v>
      </c>
      <c r="W49" s="40">
        <f t="shared" si="4"/>
        <v>16</v>
      </c>
      <c r="X49" s="40">
        <f t="shared" si="4"/>
        <v>4</v>
      </c>
      <c r="Y49" s="40">
        <f t="shared" si="4"/>
        <v>16</v>
      </c>
      <c r="Z49" s="40">
        <f t="shared" si="4"/>
        <v>4</v>
      </c>
      <c r="AA49" s="40">
        <f t="shared" si="4"/>
        <v>32</v>
      </c>
      <c r="AB49" s="40">
        <f t="shared" si="4"/>
        <v>8</v>
      </c>
      <c r="AC49" s="40">
        <f t="shared" si="4"/>
        <v>32</v>
      </c>
      <c r="AD49" s="40">
        <f t="shared" si="4"/>
        <v>8</v>
      </c>
      <c r="AE49" s="40">
        <f t="shared" si="4"/>
        <v>23</v>
      </c>
      <c r="AF49" s="40">
        <f t="shared" si="4"/>
        <v>6</v>
      </c>
      <c r="AG49" s="40">
        <f t="shared" si="4"/>
        <v>9</v>
      </c>
      <c r="AH49" s="40">
        <f t="shared" si="4"/>
        <v>2</v>
      </c>
      <c r="AI49" s="40">
        <f t="shared" si="4"/>
        <v>32</v>
      </c>
      <c r="AJ49" s="40">
        <f t="shared" si="4"/>
        <v>8</v>
      </c>
      <c r="AK49" s="40">
        <f t="shared" si="4"/>
        <v>15</v>
      </c>
      <c r="AL49" s="40">
        <f t="shared" si="4"/>
        <v>4</v>
      </c>
      <c r="AM49" s="40">
        <f t="shared" si="4"/>
        <v>17</v>
      </c>
      <c r="AN49" s="40">
        <f t="shared" si="4"/>
        <v>4</v>
      </c>
      <c r="AO49" s="39" t="s">
        <v>33</v>
      </c>
      <c r="AP49" s="66">
        <f>SUM(AP4:AP48)</f>
        <v>520</v>
      </c>
      <c r="AQ49" s="80"/>
      <c r="AR49" s="80"/>
    </row>
    <row r="50" spans="1:44" s="3" customFormat="1" ht="20.100000000000001" customHeight="1">
      <c r="A50" s="310" t="s">
        <v>34</v>
      </c>
      <c r="B50" s="311"/>
      <c r="C50" s="7">
        <f>COUNT(C5:C44)</f>
        <v>16</v>
      </c>
      <c r="D50" s="7">
        <v>0</v>
      </c>
      <c r="E50" s="7">
        <f>COUNT(E5:E44)</f>
        <v>16</v>
      </c>
      <c r="F50" s="33">
        <v>0</v>
      </c>
      <c r="G50" s="7">
        <f>COUNT(G5:G44)</f>
        <v>33</v>
      </c>
      <c r="H50" s="33">
        <v>0</v>
      </c>
      <c r="I50" s="7">
        <f>COUNT(I4:I44)</f>
        <v>7</v>
      </c>
      <c r="J50" s="33">
        <v>0</v>
      </c>
      <c r="K50" s="7">
        <f>COUNT(K5:K44)</f>
        <v>25</v>
      </c>
      <c r="L50" s="33">
        <v>0</v>
      </c>
      <c r="M50" s="7">
        <f>COUNT(M5:M44)</f>
        <v>32</v>
      </c>
      <c r="N50" s="33">
        <v>0</v>
      </c>
      <c r="O50" s="7">
        <f>COUNT(O5:O44)</f>
        <v>32</v>
      </c>
      <c r="P50" s="33">
        <v>0</v>
      </c>
      <c r="Q50" s="7">
        <f>COUNT(Q5:Q44)</f>
        <v>23</v>
      </c>
      <c r="R50" s="33">
        <v>0</v>
      </c>
      <c r="S50" s="7">
        <f>COUNT(S5:S44)</f>
        <v>9</v>
      </c>
      <c r="T50" s="33">
        <v>0</v>
      </c>
      <c r="U50" s="7">
        <f>COUNT(U5:U44)</f>
        <v>32</v>
      </c>
      <c r="V50" s="33">
        <v>0</v>
      </c>
      <c r="W50" s="7">
        <f>COUNT(W5:W44)</f>
        <v>16</v>
      </c>
      <c r="X50" s="33">
        <v>0</v>
      </c>
      <c r="Y50" s="7">
        <f>COUNT(Y5:Y44)</f>
        <v>16</v>
      </c>
      <c r="Z50" s="33">
        <v>0</v>
      </c>
      <c r="AA50" s="7">
        <f>COUNT(AA5:AA44)</f>
        <v>32</v>
      </c>
      <c r="AB50" s="33">
        <v>0</v>
      </c>
      <c r="AC50" s="7">
        <f>COUNT(AC5:AC44)</f>
        <v>32</v>
      </c>
      <c r="AD50" s="33">
        <v>0</v>
      </c>
      <c r="AE50" s="7">
        <f>COUNT(AE5:AE44)</f>
        <v>23</v>
      </c>
      <c r="AF50" s="33">
        <v>0</v>
      </c>
      <c r="AG50" s="7">
        <f>COUNT(AG5:AG44)</f>
        <v>9</v>
      </c>
      <c r="AH50" s="33">
        <v>0</v>
      </c>
      <c r="AI50" s="7">
        <f>COUNT(AI5:AI44)</f>
        <v>32</v>
      </c>
      <c r="AJ50" s="33">
        <v>0</v>
      </c>
      <c r="AK50" s="7">
        <f>COUNT(AK5:AK44)</f>
        <v>15</v>
      </c>
      <c r="AL50" s="33">
        <v>0</v>
      </c>
      <c r="AM50" s="7">
        <f>COUNT(AM5:AM44)</f>
        <v>17</v>
      </c>
      <c r="AN50" s="33">
        <v>0</v>
      </c>
      <c r="AO50" s="8" t="s">
        <v>35</v>
      </c>
      <c r="AP50" s="67">
        <f>SUM(C50:AN50)</f>
        <v>417</v>
      </c>
      <c r="AQ50" s="81"/>
      <c r="AR50" s="81"/>
    </row>
    <row r="51" spans="1:44" s="3" customFormat="1" ht="20.100000000000001" customHeight="1">
      <c r="A51" s="310" t="s">
        <v>36</v>
      </c>
      <c r="B51" s="311"/>
      <c r="C51" s="7">
        <v>0</v>
      </c>
      <c r="D51" s="7">
        <f>COUNT(D5:D44)</f>
        <v>5</v>
      </c>
      <c r="E51" s="8">
        <v>0</v>
      </c>
      <c r="F51" s="7">
        <f>COUNT(F5:F44)</f>
        <v>3</v>
      </c>
      <c r="G51" s="8">
        <v>0</v>
      </c>
      <c r="H51" s="7">
        <f>COUNT(H5:H44)</f>
        <v>7</v>
      </c>
      <c r="I51" s="8">
        <v>0</v>
      </c>
      <c r="J51" s="7">
        <f>COUNT(J5:J44)</f>
        <v>2</v>
      </c>
      <c r="K51" s="8">
        <v>0</v>
      </c>
      <c r="L51" s="7">
        <f>COUNT(L5:L44)</f>
        <v>6</v>
      </c>
      <c r="M51" s="8">
        <v>0</v>
      </c>
      <c r="N51" s="7">
        <f>COUNT(N5:N44)</f>
        <v>8</v>
      </c>
      <c r="O51" s="8">
        <v>0</v>
      </c>
      <c r="P51" s="7">
        <f>COUNT(P5:P44)</f>
        <v>8</v>
      </c>
      <c r="Q51" s="8">
        <v>0</v>
      </c>
      <c r="R51" s="7">
        <f>COUNT(R5:R44)</f>
        <v>6</v>
      </c>
      <c r="S51" s="8">
        <v>0</v>
      </c>
      <c r="T51" s="7">
        <f>COUNT(T5:T44)</f>
        <v>2</v>
      </c>
      <c r="U51" s="8">
        <v>0</v>
      </c>
      <c r="V51" s="7">
        <f>COUNT(V5:V44)</f>
        <v>8</v>
      </c>
      <c r="W51" s="8">
        <v>0</v>
      </c>
      <c r="X51" s="7">
        <f>COUNT(X5:X44)</f>
        <v>4</v>
      </c>
      <c r="Y51" s="8">
        <v>0</v>
      </c>
      <c r="Z51" s="7">
        <f>COUNT(Z5:Z44)</f>
        <v>4</v>
      </c>
      <c r="AA51" s="8">
        <v>0</v>
      </c>
      <c r="AB51" s="7">
        <f>COUNT(AB5:AB44)</f>
        <v>8</v>
      </c>
      <c r="AC51" s="8">
        <v>0</v>
      </c>
      <c r="AD51" s="7">
        <f>COUNT(AD5:AD44)</f>
        <v>8</v>
      </c>
      <c r="AE51" s="8">
        <v>0</v>
      </c>
      <c r="AF51" s="7">
        <f>COUNT(AF5:AF44)</f>
        <v>6</v>
      </c>
      <c r="AG51" s="7">
        <v>0</v>
      </c>
      <c r="AH51" s="7">
        <f>COUNT(AH5:AH44)</f>
        <v>2</v>
      </c>
      <c r="AI51" s="8">
        <v>0</v>
      </c>
      <c r="AJ51" s="7">
        <f>COUNT(AJ5:AJ44)</f>
        <v>8</v>
      </c>
      <c r="AK51" s="8">
        <v>0</v>
      </c>
      <c r="AL51" s="7">
        <f>COUNT(AL5:AL44)</f>
        <v>4</v>
      </c>
      <c r="AM51" s="8">
        <v>0</v>
      </c>
      <c r="AN51" s="7">
        <f>COUNT(AN5:AN44)</f>
        <v>4</v>
      </c>
      <c r="AO51" s="8" t="s">
        <v>37</v>
      </c>
      <c r="AP51" s="67">
        <f>SUM(C51:AN51)</f>
        <v>103</v>
      </c>
      <c r="AQ51" s="81"/>
      <c r="AR51" s="81"/>
    </row>
    <row r="52" spans="1:44" s="3" customFormat="1" ht="20.100000000000001" customHeight="1">
      <c r="A52" s="312" t="s">
        <v>38</v>
      </c>
      <c r="B52" s="313"/>
      <c r="C52" s="306" t="str">
        <f>C2</f>
        <v>T01 - AFFORDABLE</v>
      </c>
      <c r="D52" s="307"/>
      <c r="E52" s="306" t="str">
        <f>E2</f>
        <v>T01 - MARKET RATE</v>
      </c>
      <c r="F52" s="307"/>
      <c r="G52" s="306" t="str">
        <f>G2</f>
        <v>T02 - MARKET RATE</v>
      </c>
      <c r="H52" s="307"/>
      <c r="I52" s="306" t="str">
        <f>I2</f>
        <v>T03 - AFFORDABLE</v>
      </c>
      <c r="J52" s="307"/>
      <c r="K52" s="306" t="str">
        <f>K2</f>
        <v>T03 - MARKET RATE</v>
      </c>
      <c r="L52" s="307"/>
      <c r="M52" s="306" t="str">
        <f>M2</f>
        <v>T04 - MARKET RATE</v>
      </c>
      <c r="N52" s="307"/>
      <c r="O52" s="306" t="str">
        <f>O2</f>
        <v>T05 - MARKET RATE</v>
      </c>
      <c r="P52" s="307"/>
      <c r="Q52" s="306" t="str">
        <f>Q2</f>
        <v>T06 - AFFORDABLE</v>
      </c>
      <c r="R52" s="307"/>
      <c r="S52" s="306" t="str">
        <f>S2</f>
        <v>T06 - MARKET RATE</v>
      </c>
      <c r="T52" s="307"/>
      <c r="U52" s="306" t="str">
        <f>U2</f>
        <v>T07 - MARKET RATE</v>
      </c>
      <c r="V52" s="307"/>
      <c r="W52" s="306" t="str">
        <f>W2</f>
        <v>T08 - AFFORDABLE</v>
      </c>
      <c r="X52" s="307"/>
      <c r="Y52" s="306" t="str">
        <f>Y2</f>
        <v>T08 - MARKET RATE</v>
      </c>
      <c r="Z52" s="307"/>
      <c r="AA52" s="306" t="str">
        <f>AA2</f>
        <v>T09 - MARKET RATE</v>
      </c>
      <c r="AB52" s="307"/>
      <c r="AC52" s="306" t="str">
        <f>AC2</f>
        <v>T10 - MARKET RATE</v>
      </c>
      <c r="AD52" s="307"/>
      <c r="AE52" s="306" t="str">
        <f>AE2</f>
        <v>T11 - AFFORDABLE</v>
      </c>
      <c r="AF52" s="307"/>
      <c r="AG52" s="306" t="str">
        <f>AG2</f>
        <v>T11 - MARKET RATE</v>
      </c>
      <c r="AH52" s="307"/>
      <c r="AI52" s="306" t="str">
        <f>AI2</f>
        <v>T12 - MARKET RATE</v>
      </c>
      <c r="AJ52" s="307"/>
      <c r="AK52" s="306" t="str">
        <f>AK2</f>
        <v>T14 - AFFORDABLE</v>
      </c>
      <c r="AL52" s="307"/>
      <c r="AM52" s="306" t="str">
        <f>AM2</f>
        <v>T14 - MARKET RATE</v>
      </c>
      <c r="AN52" s="307"/>
      <c r="AO52" s="8"/>
      <c r="AP52" s="68"/>
      <c r="AQ52" s="82"/>
      <c r="AR52" s="82"/>
    </row>
    <row r="53" spans="1:44" ht="20.100000000000001" customHeight="1">
      <c r="A53" s="25"/>
      <c r="B53" s="25"/>
      <c r="C53" s="25"/>
      <c r="D53" s="25"/>
      <c r="E53" s="25"/>
      <c r="F53" s="25"/>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5"/>
      <c r="AP53" s="69"/>
      <c r="AQ53" s="79"/>
      <c r="AR53" s="79"/>
    </row>
    <row r="54" spans="1:44" s="3" customFormat="1" ht="30" customHeight="1">
      <c r="A54" s="310" t="s">
        <v>39</v>
      </c>
      <c r="B54" s="311"/>
      <c r="C54" s="8" t="s">
        <v>40</v>
      </c>
      <c r="D54" s="8" t="s">
        <v>41</v>
      </c>
      <c r="E54" s="8" t="s">
        <v>42</v>
      </c>
      <c r="F54" s="8" t="s">
        <v>43</v>
      </c>
      <c r="G54" s="8" t="s">
        <v>44</v>
      </c>
      <c r="H54" s="8" t="s">
        <v>45</v>
      </c>
      <c r="I54" s="8" t="s">
        <v>46</v>
      </c>
      <c r="J54" s="8" t="s">
        <v>47</v>
      </c>
      <c r="K54" s="8" t="s">
        <v>48</v>
      </c>
      <c r="L54" s="8" t="s">
        <v>49</v>
      </c>
      <c r="M54" s="8" t="s">
        <v>50</v>
      </c>
      <c r="N54" s="8" t="s">
        <v>51</v>
      </c>
      <c r="O54" s="8" t="s">
        <v>52</v>
      </c>
      <c r="P54" s="8" t="s">
        <v>53</v>
      </c>
      <c r="Q54" s="8" t="s">
        <v>54</v>
      </c>
      <c r="R54" s="8" t="s">
        <v>55</v>
      </c>
      <c r="S54" s="8" t="s">
        <v>56</v>
      </c>
      <c r="T54" s="8" t="s">
        <v>57</v>
      </c>
      <c r="U54" s="8" t="s">
        <v>58</v>
      </c>
      <c r="V54" s="8" t="s">
        <v>59</v>
      </c>
      <c r="W54" s="8" t="s">
        <v>60</v>
      </c>
      <c r="X54" s="8" t="s">
        <v>61</v>
      </c>
      <c r="Y54" s="8" t="s">
        <v>62</v>
      </c>
      <c r="Z54" s="8" t="s">
        <v>63</v>
      </c>
      <c r="AA54" s="8" t="s">
        <v>64</v>
      </c>
      <c r="AB54" s="8" t="s">
        <v>65</v>
      </c>
      <c r="AC54" s="8" t="s">
        <v>66</v>
      </c>
      <c r="AD54" s="8" t="s">
        <v>67</v>
      </c>
      <c r="AE54" s="8" t="s">
        <v>68</v>
      </c>
      <c r="AF54" s="8" t="s">
        <v>69</v>
      </c>
      <c r="AG54" s="8" t="s">
        <v>70</v>
      </c>
      <c r="AH54" s="8" t="s">
        <v>71</v>
      </c>
      <c r="AI54" s="8" t="s">
        <v>72</v>
      </c>
      <c r="AJ54" s="8" t="s">
        <v>73</v>
      </c>
      <c r="AK54" s="8" t="s">
        <v>74</v>
      </c>
      <c r="AL54" s="8" t="s">
        <v>75</v>
      </c>
      <c r="AM54" s="8" t="s">
        <v>76</v>
      </c>
      <c r="AN54" s="8" t="s">
        <v>77</v>
      </c>
      <c r="AO54" s="38"/>
      <c r="AP54" s="70"/>
      <c r="AQ54" s="82"/>
      <c r="AR54" s="82"/>
    </row>
    <row r="55" spans="1:44" s="3" customFormat="1" ht="30" customHeight="1">
      <c r="A55" s="308" t="s">
        <v>78</v>
      </c>
      <c r="B55" s="309"/>
      <c r="C55" s="8" t="s">
        <v>79</v>
      </c>
      <c r="D55" s="8" t="s">
        <v>79</v>
      </c>
      <c r="E55" s="8" t="s">
        <v>80</v>
      </c>
      <c r="F55" s="8" t="s">
        <v>80</v>
      </c>
      <c r="G55" s="8" t="s">
        <v>81</v>
      </c>
      <c r="H55" s="8" t="s">
        <v>81</v>
      </c>
      <c r="I55" s="8" t="s">
        <v>82</v>
      </c>
      <c r="J55" s="8" t="s">
        <v>82</v>
      </c>
      <c r="K55" s="8" t="s">
        <v>83</v>
      </c>
      <c r="L55" s="8" t="s">
        <v>83</v>
      </c>
      <c r="M55" s="8" t="s">
        <v>80</v>
      </c>
      <c r="N55" s="8" t="s">
        <v>80</v>
      </c>
      <c r="O55" s="8" t="s">
        <v>80</v>
      </c>
      <c r="P55" s="8" t="s">
        <v>80</v>
      </c>
      <c r="Q55" s="8" t="s">
        <v>79</v>
      </c>
      <c r="R55" s="8" t="s">
        <v>79</v>
      </c>
      <c r="S55" s="8" t="s">
        <v>80</v>
      </c>
      <c r="T55" s="8" t="s">
        <v>80</v>
      </c>
      <c r="U55" s="8" t="s">
        <v>80</v>
      </c>
      <c r="V55" s="8" t="s">
        <v>80</v>
      </c>
      <c r="W55" s="8" t="s">
        <v>79</v>
      </c>
      <c r="X55" s="8" t="s">
        <v>79</v>
      </c>
      <c r="Y55" s="8" t="s">
        <v>80</v>
      </c>
      <c r="Z55" s="8" t="s">
        <v>80</v>
      </c>
      <c r="AA55" s="8" t="s">
        <v>83</v>
      </c>
      <c r="AB55" s="8" t="s">
        <v>83</v>
      </c>
      <c r="AC55" s="8" t="s">
        <v>80</v>
      </c>
      <c r="AD55" s="8" t="s">
        <v>80</v>
      </c>
      <c r="AE55" s="8" t="s">
        <v>79</v>
      </c>
      <c r="AF55" s="8" t="s">
        <v>79</v>
      </c>
      <c r="AG55" s="8" t="s">
        <v>80</v>
      </c>
      <c r="AH55" s="8" t="s">
        <v>80</v>
      </c>
      <c r="AI55" s="8" t="s">
        <v>80</v>
      </c>
      <c r="AJ55" s="8" t="s">
        <v>80</v>
      </c>
      <c r="AK55" s="8" t="s">
        <v>82</v>
      </c>
      <c r="AL55" s="8" t="s">
        <v>82</v>
      </c>
      <c r="AM55" s="8" t="s">
        <v>83</v>
      </c>
      <c r="AN55" s="8" t="s">
        <v>83</v>
      </c>
      <c r="AO55" s="38"/>
      <c r="AP55" s="70"/>
      <c r="AQ55" s="82"/>
      <c r="AR55" s="82"/>
    </row>
    <row r="56" spans="1:44" s="3" customFormat="1" ht="30" customHeight="1">
      <c r="A56" s="308" t="s">
        <v>84</v>
      </c>
      <c r="B56" s="309"/>
      <c r="C56" s="53"/>
      <c r="D56" s="53"/>
      <c r="E56" s="53"/>
      <c r="F56" s="53"/>
      <c r="G56" s="53"/>
      <c r="H56" s="53"/>
      <c r="I56" s="8" t="s">
        <v>85</v>
      </c>
      <c r="J56" s="8" t="s">
        <v>85</v>
      </c>
      <c r="K56" s="8" t="s">
        <v>86</v>
      </c>
      <c r="L56" s="8" t="s">
        <v>86</v>
      </c>
      <c r="M56" s="53"/>
      <c r="N56" s="53"/>
      <c r="O56" s="53"/>
      <c r="P56" s="53"/>
      <c r="Q56" s="53"/>
      <c r="R56" s="53"/>
      <c r="S56" s="53"/>
      <c r="T56" s="53"/>
      <c r="U56" s="53"/>
      <c r="V56" s="53"/>
      <c r="W56" s="53"/>
      <c r="X56" s="53"/>
      <c r="Y56" s="53"/>
      <c r="Z56" s="53"/>
      <c r="AA56" s="8" t="s">
        <v>86</v>
      </c>
      <c r="AB56" s="8" t="s">
        <v>86</v>
      </c>
      <c r="AC56" s="53"/>
      <c r="AD56" s="53"/>
      <c r="AE56" s="53"/>
      <c r="AF56" s="53"/>
      <c r="AG56" s="53"/>
      <c r="AH56" s="53"/>
      <c r="AI56" s="53"/>
      <c r="AJ56" s="53"/>
      <c r="AK56" s="8" t="s">
        <v>85</v>
      </c>
      <c r="AL56" s="8" t="s">
        <v>85</v>
      </c>
      <c r="AM56" s="8" t="s">
        <v>86</v>
      </c>
      <c r="AN56" s="8" t="s">
        <v>86</v>
      </c>
      <c r="AO56" s="38"/>
      <c r="AP56" s="70"/>
      <c r="AQ56" s="82"/>
      <c r="AR56" s="82"/>
    </row>
    <row r="57" spans="1:44" s="3" customFormat="1" ht="30" customHeight="1">
      <c r="A57" s="310" t="s">
        <v>87</v>
      </c>
      <c r="B57" s="311"/>
      <c r="C57" s="8" t="s">
        <v>88</v>
      </c>
      <c r="D57" s="8" t="s">
        <v>88</v>
      </c>
      <c r="E57" s="8" t="s">
        <v>89</v>
      </c>
      <c r="F57" s="8" t="s">
        <v>89</v>
      </c>
      <c r="G57" s="53"/>
      <c r="H57" s="53"/>
      <c r="I57" s="8" t="s">
        <v>90</v>
      </c>
      <c r="J57" s="8" t="s">
        <v>90</v>
      </c>
      <c r="K57" s="8" t="s">
        <v>91</v>
      </c>
      <c r="L57" s="8" t="s">
        <v>91</v>
      </c>
      <c r="M57" s="53"/>
      <c r="N57" s="53"/>
      <c r="O57" s="53"/>
      <c r="P57" s="53"/>
      <c r="Q57" s="53"/>
      <c r="R57" s="53"/>
      <c r="S57" s="53"/>
      <c r="T57" s="53"/>
      <c r="U57" s="53"/>
      <c r="V57" s="53"/>
      <c r="W57" s="53"/>
      <c r="X57" s="53"/>
      <c r="Y57" s="53"/>
      <c r="Z57" s="53"/>
      <c r="AA57" s="53"/>
      <c r="AB57" s="53"/>
      <c r="AC57" s="53"/>
      <c r="AD57" s="53"/>
      <c r="AE57" s="8" t="s">
        <v>92</v>
      </c>
      <c r="AF57" s="8" t="s">
        <v>92</v>
      </c>
      <c r="AG57" s="8" t="s">
        <v>93</v>
      </c>
      <c r="AH57" s="8" t="s">
        <v>93</v>
      </c>
      <c r="AI57" s="53"/>
      <c r="AJ57" s="53"/>
      <c r="AK57" s="53"/>
      <c r="AL57" s="53"/>
      <c r="AM57" s="53"/>
      <c r="AN57" s="53"/>
      <c r="AO57" s="38"/>
      <c r="AP57" s="70"/>
      <c r="AQ57" s="82"/>
      <c r="AR57" s="82"/>
    </row>
    <row r="58" spans="1:44" s="3" customFormat="1" ht="19.899999999999999" customHeight="1">
      <c r="A58" s="84"/>
      <c r="B58" s="27" t="s">
        <v>94</v>
      </c>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6"/>
      <c r="AP58" s="87"/>
      <c r="AQ58" s="82"/>
      <c r="AR58" s="82"/>
    </row>
    <row r="59" spans="1:44" s="3" customFormat="1" ht="30" customHeight="1">
      <c r="A59" s="310" t="s">
        <v>95</v>
      </c>
      <c r="B59" s="311"/>
      <c r="C59" s="8">
        <v>0</v>
      </c>
      <c r="D59" s="8">
        <v>0</v>
      </c>
      <c r="E59" s="8">
        <v>3</v>
      </c>
      <c r="F59" s="8">
        <v>3</v>
      </c>
      <c r="G59" s="8">
        <v>3</v>
      </c>
      <c r="H59" s="8">
        <v>3</v>
      </c>
      <c r="I59" s="8">
        <v>0</v>
      </c>
      <c r="J59" s="8">
        <v>0</v>
      </c>
      <c r="K59" s="8">
        <v>3</v>
      </c>
      <c r="L59" s="8">
        <v>3</v>
      </c>
      <c r="M59" s="8">
        <v>3</v>
      </c>
      <c r="N59" s="8">
        <v>3</v>
      </c>
      <c r="O59" s="8">
        <v>3</v>
      </c>
      <c r="P59" s="8">
        <v>3</v>
      </c>
      <c r="Q59" s="8">
        <v>0</v>
      </c>
      <c r="R59" s="8">
        <v>0</v>
      </c>
      <c r="S59" s="8">
        <v>3</v>
      </c>
      <c r="T59" s="8">
        <v>3</v>
      </c>
      <c r="U59" s="8">
        <v>3</v>
      </c>
      <c r="V59" s="8">
        <v>3</v>
      </c>
      <c r="W59" s="8">
        <v>0</v>
      </c>
      <c r="X59" s="8">
        <v>0</v>
      </c>
      <c r="Y59" s="8">
        <v>3</v>
      </c>
      <c r="Z59" s="8">
        <v>3</v>
      </c>
      <c r="AA59" s="8">
        <v>3</v>
      </c>
      <c r="AB59" s="8">
        <v>3</v>
      </c>
      <c r="AC59" s="8">
        <v>3</v>
      </c>
      <c r="AD59" s="8">
        <v>3</v>
      </c>
      <c r="AE59" s="8">
        <v>0</v>
      </c>
      <c r="AF59" s="8">
        <v>0</v>
      </c>
      <c r="AG59" s="8">
        <v>3</v>
      </c>
      <c r="AH59" s="8">
        <v>3</v>
      </c>
      <c r="AI59" s="8">
        <v>3</v>
      </c>
      <c r="AJ59" s="8">
        <v>3</v>
      </c>
      <c r="AK59" s="8">
        <v>0</v>
      </c>
      <c r="AL59" s="8">
        <v>0</v>
      </c>
      <c r="AM59" s="8">
        <v>5</v>
      </c>
      <c r="AN59" s="8">
        <v>5</v>
      </c>
      <c r="AO59" s="38"/>
      <c r="AP59" s="70"/>
      <c r="AQ59" s="82"/>
      <c r="AR59" s="82"/>
    </row>
    <row r="60" spans="1:44" s="3" customFormat="1" ht="30" customHeight="1">
      <c r="A60" s="310" t="s">
        <v>96</v>
      </c>
      <c r="B60" s="311"/>
      <c r="C60" s="8">
        <v>2</v>
      </c>
      <c r="D60" s="8">
        <v>2</v>
      </c>
      <c r="E60" s="8">
        <v>4</v>
      </c>
      <c r="F60" s="8">
        <v>4</v>
      </c>
      <c r="G60" s="8">
        <v>4</v>
      </c>
      <c r="H60" s="8">
        <v>4</v>
      </c>
      <c r="I60" s="8">
        <v>6</v>
      </c>
      <c r="J60" s="8">
        <v>6</v>
      </c>
      <c r="K60" s="8">
        <v>7</v>
      </c>
      <c r="L60" s="8">
        <v>7</v>
      </c>
      <c r="M60" s="8">
        <v>4</v>
      </c>
      <c r="N60" s="8">
        <v>4</v>
      </c>
      <c r="O60" s="8">
        <v>4</v>
      </c>
      <c r="P60" s="8">
        <v>4</v>
      </c>
      <c r="Q60" s="8">
        <v>2</v>
      </c>
      <c r="R60" s="8">
        <v>2</v>
      </c>
      <c r="S60" s="8">
        <v>4</v>
      </c>
      <c r="T60" s="8">
        <v>4</v>
      </c>
      <c r="U60" s="8">
        <v>4</v>
      </c>
      <c r="V60" s="8">
        <v>4</v>
      </c>
      <c r="W60" s="8">
        <v>2</v>
      </c>
      <c r="X60" s="8">
        <v>2</v>
      </c>
      <c r="Y60" s="8">
        <v>4</v>
      </c>
      <c r="Z60" s="8">
        <v>4</v>
      </c>
      <c r="AA60" s="8">
        <v>7</v>
      </c>
      <c r="AB60" s="8">
        <v>7</v>
      </c>
      <c r="AC60" s="8">
        <v>4</v>
      </c>
      <c r="AD60" s="8">
        <v>4</v>
      </c>
      <c r="AE60" s="8">
        <v>2</v>
      </c>
      <c r="AF60" s="8">
        <v>2</v>
      </c>
      <c r="AG60" s="8">
        <v>4</v>
      </c>
      <c r="AH60" s="8">
        <v>4</v>
      </c>
      <c r="AI60" s="8">
        <v>4</v>
      </c>
      <c r="AJ60" s="8">
        <v>4</v>
      </c>
      <c r="AK60" s="8">
        <v>6</v>
      </c>
      <c r="AL60" s="8">
        <v>6</v>
      </c>
      <c r="AM60" s="8">
        <v>7</v>
      </c>
      <c r="AN60" s="8">
        <v>7</v>
      </c>
      <c r="AO60" s="38"/>
      <c r="AP60" s="70"/>
      <c r="AQ60" s="82"/>
      <c r="AR60" s="82"/>
    </row>
    <row r="61" spans="1:44" ht="20.100000000000001" hidden="1" customHeight="1">
      <c r="A61" s="25"/>
      <c r="B61" s="25"/>
      <c r="C61" s="25"/>
      <c r="D61" s="25"/>
      <c r="E61" s="25"/>
      <c r="F61" s="25"/>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5"/>
      <c r="AP61" s="24"/>
      <c r="AQ61" s="79"/>
      <c r="AR61" s="79"/>
    </row>
    <row r="62" spans="1:44" ht="20.100000000000001" hidden="1" customHeight="1">
      <c r="A62" s="25"/>
      <c r="B62" s="37" t="s">
        <v>97</v>
      </c>
      <c r="C62" s="25"/>
      <c r="D62" s="25"/>
      <c r="E62" s="25"/>
      <c r="F62" s="25"/>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5"/>
      <c r="AP62" s="24"/>
      <c r="AQ62" s="79"/>
      <c r="AR62" s="79"/>
    </row>
    <row r="63" spans="1:44" ht="20.100000000000001" hidden="1" customHeight="1">
      <c r="A63" s="305" t="s">
        <v>98</v>
      </c>
      <c r="B63" s="36"/>
      <c r="C63" s="59"/>
      <c r="D63" s="59"/>
      <c r="E63" s="59"/>
      <c r="F63" s="59"/>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35"/>
      <c r="AP63" s="34"/>
      <c r="AQ63" s="79"/>
      <c r="AR63" s="79"/>
    </row>
    <row r="64" spans="1:44" ht="20.100000000000001" hidden="1" customHeight="1">
      <c r="A64" s="305"/>
      <c r="B64" s="29" t="s">
        <v>99</v>
      </c>
      <c r="C64" s="33">
        <f>C49</f>
        <v>16</v>
      </c>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22" t="str">
        <f t="shared" ref="AO64:AO101" si="5">B64</f>
        <v>K01.T1-AFF</v>
      </c>
      <c r="AP64" s="20">
        <f t="shared" ref="AP64:AP101" si="6">SUM(C64:AN64)</f>
        <v>16</v>
      </c>
      <c r="AQ64" s="83"/>
      <c r="AR64" s="83"/>
    </row>
    <row r="65" spans="1:44" ht="20.100000000000001" hidden="1" customHeight="1">
      <c r="A65" s="305"/>
      <c r="B65" s="29" t="s">
        <v>46</v>
      </c>
      <c r="C65" s="54"/>
      <c r="D65" s="54"/>
      <c r="E65" s="54"/>
      <c r="F65" s="54"/>
      <c r="G65" s="54"/>
      <c r="H65" s="54"/>
      <c r="I65" s="33">
        <f>I49</f>
        <v>7</v>
      </c>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22" t="str">
        <f t="shared" si="5"/>
        <v>K03.T1-AFF</v>
      </c>
      <c r="AP65" s="20">
        <f t="shared" si="6"/>
        <v>7</v>
      </c>
      <c r="AQ65" s="83"/>
      <c r="AR65" s="83"/>
    </row>
    <row r="66" spans="1:44" ht="20.100000000000001" hidden="1" customHeight="1">
      <c r="A66" s="305"/>
      <c r="B66" s="29" t="s">
        <v>54</v>
      </c>
      <c r="C66" s="54"/>
      <c r="D66" s="54"/>
      <c r="E66" s="54"/>
      <c r="F66" s="54"/>
      <c r="G66" s="54"/>
      <c r="H66" s="54"/>
      <c r="I66" s="54"/>
      <c r="J66" s="54"/>
      <c r="K66" s="54"/>
      <c r="L66" s="54"/>
      <c r="M66" s="54"/>
      <c r="N66" s="54"/>
      <c r="O66" s="54"/>
      <c r="P66" s="54"/>
      <c r="Q66" s="33">
        <f>Q49</f>
        <v>23</v>
      </c>
      <c r="R66" s="54"/>
      <c r="S66" s="54"/>
      <c r="T66" s="54"/>
      <c r="U66" s="54"/>
      <c r="V66" s="54"/>
      <c r="W66" s="54"/>
      <c r="X66" s="54"/>
      <c r="Y66" s="54"/>
      <c r="Z66" s="54"/>
      <c r="AA66" s="54"/>
      <c r="AB66" s="54"/>
      <c r="AC66" s="54"/>
      <c r="AD66" s="54"/>
      <c r="AE66" s="54"/>
      <c r="AF66" s="54"/>
      <c r="AG66" s="54"/>
      <c r="AH66" s="54"/>
      <c r="AI66" s="54"/>
      <c r="AJ66" s="54"/>
      <c r="AK66" s="54"/>
      <c r="AL66" s="54"/>
      <c r="AM66" s="54"/>
      <c r="AN66" s="54"/>
      <c r="AO66" s="22" t="str">
        <f t="shared" si="5"/>
        <v>K06.T1-AFF</v>
      </c>
      <c r="AP66" s="20">
        <f t="shared" si="6"/>
        <v>23</v>
      </c>
      <c r="AQ66" s="83"/>
      <c r="AR66" s="83"/>
    </row>
    <row r="67" spans="1:44" ht="20.100000000000001" hidden="1" customHeight="1">
      <c r="A67" s="305"/>
      <c r="B67" s="29" t="s">
        <v>60</v>
      </c>
      <c r="C67" s="54"/>
      <c r="D67" s="54"/>
      <c r="E67" s="54"/>
      <c r="F67" s="54"/>
      <c r="G67" s="54"/>
      <c r="H67" s="54"/>
      <c r="I67" s="54"/>
      <c r="J67" s="54"/>
      <c r="K67" s="54"/>
      <c r="L67" s="54"/>
      <c r="M67" s="54"/>
      <c r="N67" s="54"/>
      <c r="O67" s="54"/>
      <c r="P67" s="54"/>
      <c r="Q67" s="54"/>
      <c r="R67" s="54"/>
      <c r="S67" s="54"/>
      <c r="T67" s="54"/>
      <c r="U67" s="54"/>
      <c r="V67" s="54"/>
      <c r="W67" s="33">
        <f>W49</f>
        <v>16</v>
      </c>
      <c r="X67" s="54"/>
      <c r="Y67" s="54"/>
      <c r="Z67" s="54"/>
      <c r="AA67" s="54"/>
      <c r="AB67" s="54"/>
      <c r="AC67" s="54"/>
      <c r="AD67" s="54"/>
      <c r="AE67" s="54"/>
      <c r="AF67" s="54"/>
      <c r="AG67" s="54"/>
      <c r="AH67" s="54"/>
      <c r="AI67" s="54"/>
      <c r="AJ67" s="54"/>
      <c r="AK67" s="54"/>
      <c r="AL67" s="54"/>
      <c r="AM67" s="54"/>
      <c r="AN67" s="54"/>
      <c r="AO67" s="22" t="str">
        <f t="shared" si="5"/>
        <v>K08.T1-AFF</v>
      </c>
      <c r="AP67" s="20">
        <f t="shared" si="6"/>
        <v>16</v>
      </c>
      <c r="AQ67" s="83"/>
      <c r="AR67" s="83"/>
    </row>
    <row r="68" spans="1:44" ht="20.100000000000001" hidden="1" customHeight="1">
      <c r="A68" s="305"/>
      <c r="B68" s="29" t="s">
        <v>68</v>
      </c>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33">
        <f>AE49</f>
        <v>23</v>
      </c>
      <c r="AF68" s="54"/>
      <c r="AG68" s="54"/>
      <c r="AH68" s="54"/>
      <c r="AI68" s="54"/>
      <c r="AJ68" s="54"/>
      <c r="AK68" s="54"/>
      <c r="AL68" s="54"/>
      <c r="AM68" s="54"/>
      <c r="AN68" s="54"/>
      <c r="AO68" s="22" t="str">
        <f t="shared" si="5"/>
        <v>K11.T1-AFF</v>
      </c>
      <c r="AP68" s="20">
        <f t="shared" si="6"/>
        <v>23</v>
      </c>
      <c r="AQ68" s="83"/>
      <c r="AR68" s="83"/>
    </row>
    <row r="69" spans="1:44" ht="20.100000000000001" hidden="1" customHeight="1">
      <c r="A69" s="305"/>
      <c r="B69" s="29" t="s">
        <v>74</v>
      </c>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33">
        <f>AK49</f>
        <v>15</v>
      </c>
      <c r="AL69" s="54"/>
      <c r="AM69" s="54"/>
      <c r="AN69" s="54"/>
      <c r="AO69" s="22" t="str">
        <f t="shared" si="5"/>
        <v>K14.T1-AFF</v>
      </c>
      <c r="AP69" s="20">
        <f t="shared" si="6"/>
        <v>15</v>
      </c>
      <c r="AQ69" s="83"/>
      <c r="AR69" s="83"/>
    </row>
    <row r="70" spans="1:44" ht="20.100000000000001" hidden="1" customHeight="1">
      <c r="A70" s="305"/>
      <c r="B70" s="29" t="s">
        <v>100</v>
      </c>
      <c r="C70" s="54"/>
      <c r="D70" s="33">
        <f>D49</f>
        <v>5</v>
      </c>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22" t="str">
        <f t="shared" si="5"/>
        <v>K01.T1(A)-AFF</v>
      </c>
      <c r="AP70" s="20">
        <f t="shared" si="6"/>
        <v>5</v>
      </c>
      <c r="AQ70" s="83"/>
      <c r="AR70" s="83"/>
    </row>
    <row r="71" spans="1:44" ht="20.100000000000001" hidden="1" customHeight="1">
      <c r="A71" s="305"/>
      <c r="B71" s="32" t="s">
        <v>47</v>
      </c>
      <c r="C71" s="55"/>
      <c r="D71" s="55"/>
      <c r="E71" s="55"/>
      <c r="F71" s="55"/>
      <c r="G71" s="55"/>
      <c r="H71" s="55"/>
      <c r="I71" s="55"/>
      <c r="J71" s="31">
        <f>J49</f>
        <v>2</v>
      </c>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2" t="str">
        <f t="shared" si="5"/>
        <v>K03.T1(A)-AFF</v>
      </c>
      <c r="AP71" s="20">
        <f t="shared" si="6"/>
        <v>2</v>
      </c>
      <c r="AQ71" s="83"/>
      <c r="AR71" s="83"/>
    </row>
    <row r="72" spans="1:44" ht="20.100000000000001" hidden="1" customHeight="1">
      <c r="A72" s="305"/>
      <c r="B72" s="29" t="s">
        <v>55</v>
      </c>
      <c r="C72" s="54"/>
      <c r="D72" s="54"/>
      <c r="E72" s="54"/>
      <c r="F72" s="54"/>
      <c r="G72" s="54"/>
      <c r="H72" s="54"/>
      <c r="I72" s="54"/>
      <c r="J72" s="54"/>
      <c r="K72" s="54"/>
      <c r="L72" s="54"/>
      <c r="M72" s="54"/>
      <c r="N72" s="54"/>
      <c r="O72" s="54"/>
      <c r="P72" s="54"/>
      <c r="Q72" s="54"/>
      <c r="R72" s="33">
        <f>R49</f>
        <v>6</v>
      </c>
      <c r="S72" s="54"/>
      <c r="T72" s="54"/>
      <c r="U72" s="54"/>
      <c r="V72" s="54"/>
      <c r="W72" s="54"/>
      <c r="X72" s="54"/>
      <c r="Y72" s="54"/>
      <c r="Z72" s="54"/>
      <c r="AA72" s="54"/>
      <c r="AB72" s="54"/>
      <c r="AC72" s="54"/>
      <c r="AD72" s="54"/>
      <c r="AE72" s="54"/>
      <c r="AF72" s="54"/>
      <c r="AG72" s="54"/>
      <c r="AH72" s="54"/>
      <c r="AI72" s="54"/>
      <c r="AJ72" s="54"/>
      <c r="AK72" s="54"/>
      <c r="AL72" s="54"/>
      <c r="AM72" s="54"/>
      <c r="AN72" s="54"/>
      <c r="AO72" s="22" t="str">
        <f t="shared" si="5"/>
        <v>K06.T1(A)-AFF</v>
      </c>
      <c r="AP72" s="20">
        <f t="shared" si="6"/>
        <v>6</v>
      </c>
      <c r="AQ72" s="83"/>
      <c r="AR72" s="83"/>
    </row>
    <row r="73" spans="1:44" ht="20.100000000000001" hidden="1" customHeight="1">
      <c r="A73" s="305"/>
      <c r="B73" s="29" t="s">
        <v>61</v>
      </c>
      <c r="C73" s="54"/>
      <c r="D73" s="54"/>
      <c r="E73" s="54"/>
      <c r="F73" s="54"/>
      <c r="G73" s="54"/>
      <c r="H73" s="54"/>
      <c r="I73" s="54"/>
      <c r="J73" s="54"/>
      <c r="K73" s="54"/>
      <c r="L73" s="54"/>
      <c r="M73" s="54"/>
      <c r="N73" s="54"/>
      <c r="O73" s="54"/>
      <c r="P73" s="54"/>
      <c r="Q73" s="54"/>
      <c r="R73" s="54"/>
      <c r="S73" s="54"/>
      <c r="T73" s="54"/>
      <c r="U73" s="54"/>
      <c r="V73" s="54"/>
      <c r="W73" s="54"/>
      <c r="X73" s="33">
        <f>X49</f>
        <v>4</v>
      </c>
      <c r="Y73" s="54"/>
      <c r="Z73" s="54"/>
      <c r="AA73" s="54"/>
      <c r="AB73" s="54"/>
      <c r="AC73" s="54"/>
      <c r="AD73" s="54"/>
      <c r="AE73" s="54"/>
      <c r="AF73" s="54"/>
      <c r="AG73" s="54"/>
      <c r="AH73" s="54"/>
      <c r="AI73" s="54"/>
      <c r="AJ73" s="54"/>
      <c r="AK73" s="54"/>
      <c r="AL73" s="54"/>
      <c r="AM73" s="54"/>
      <c r="AN73" s="54"/>
      <c r="AO73" s="22" t="str">
        <f t="shared" si="5"/>
        <v>K08.T1(A)-AFF</v>
      </c>
      <c r="AP73" s="20">
        <f t="shared" si="6"/>
        <v>4</v>
      </c>
      <c r="AQ73" s="83"/>
      <c r="AR73" s="83"/>
    </row>
    <row r="74" spans="1:44" ht="20.100000000000001" hidden="1" customHeight="1">
      <c r="A74" s="305"/>
      <c r="B74" s="29" t="s">
        <v>69</v>
      </c>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33">
        <f>AF49</f>
        <v>6</v>
      </c>
      <c r="AG74" s="54"/>
      <c r="AH74" s="54"/>
      <c r="AI74" s="54"/>
      <c r="AJ74" s="54"/>
      <c r="AK74" s="54"/>
      <c r="AL74" s="54"/>
      <c r="AM74" s="54"/>
      <c r="AN74" s="54"/>
      <c r="AO74" s="22" t="str">
        <f t="shared" si="5"/>
        <v>K11.T1(A)-AFF</v>
      </c>
      <c r="AP74" s="20">
        <f t="shared" si="6"/>
        <v>6</v>
      </c>
      <c r="AQ74" s="83"/>
      <c r="AR74" s="83"/>
    </row>
    <row r="75" spans="1:44" ht="20.100000000000001" hidden="1" customHeight="1">
      <c r="A75" s="305"/>
      <c r="B75" s="29" t="s">
        <v>75</v>
      </c>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33">
        <f>AL49</f>
        <v>4</v>
      </c>
      <c r="AM75" s="54"/>
      <c r="AN75" s="54"/>
      <c r="AO75" s="22" t="str">
        <f t="shared" si="5"/>
        <v>K14.T1(A)-AFF</v>
      </c>
      <c r="AP75" s="20">
        <f t="shared" si="6"/>
        <v>4</v>
      </c>
      <c r="AQ75" s="83"/>
      <c r="AR75" s="83"/>
    </row>
    <row r="76" spans="1:44" ht="20.100000000000001" hidden="1" customHeight="1">
      <c r="A76" s="305"/>
      <c r="B76" s="29" t="s">
        <v>42</v>
      </c>
      <c r="C76" s="54"/>
      <c r="D76" s="54"/>
      <c r="E76" s="33">
        <f>E49</f>
        <v>16</v>
      </c>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22" t="str">
        <f t="shared" si="5"/>
        <v>K01.T1-MR</v>
      </c>
      <c r="AP76" s="20">
        <f t="shared" si="6"/>
        <v>16</v>
      </c>
      <c r="AQ76" s="83"/>
      <c r="AR76" s="83"/>
    </row>
    <row r="77" spans="1:44" ht="20.100000000000001" hidden="1" customHeight="1">
      <c r="A77" s="305"/>
      <c r="B77" s="29" t="s">
        <v>44</v>
      </c>
      <c r="C77" s="54"/>
      <c r="D77" s="54"/>
      <c r="E77" s="54"/>
      <c r="F77" s="54"/>
      <c r="G77" s="33">
        <f>G49</f>
        <v>33</v>
      </c>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22" t="str">
        <f t="shared" si="5"/>
        <v>K02.T1-MR</v>
      </c>
      <c r="AP77" s="20">
        <f t="shared" si="6"/>
        <v>33</v>
      </c>
      <c r="AQ77" s="83"/>
      <c r="AR77" s="83"/>
    </row>
    <row r="78" spans="1:44" ht="20.100000000000001" hidden="1" customHeight="1">
      <c r="A78" s="305"/>
      <c r="B78" s="29" t="s">
        <v>48</v>
      </c>
      <c r="C78" s="54"/>
      <c r="D78" s="54"/>
      <c r="E78" s="54"/>
      <c r="F78" s="54"/>
      <c r="G78" s="54"/>
      <c r="H78" s="54"/>
      <c r="I78" s="54"/>
      <c r="J78" s="54"/>
      <c r="K78" s="33">
        <f>K49</f>
        <v>25</v>
      </c>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22" t="str">
        <f t="shared" si="5"/>
        <v>K03.T1-MR</v>
      </c>
      <c r="AP78" s="20">
        <f t="shared" si="6"/>
        <v>25</v>
      </c>
      <c r="AQ78" s="83"/>
      <c r="AR78" s="83"/>
    </row>
    <row r="79" spans="1:44" ht="20.100000000000001" hidden="1" customHeight="1">
      <c r="A79" s="305"/>
      <c r="B79" s="29" t="s">
        <v>50</v>
      </c>
      <c r="C79" s="54"/>
      <c r="D79" s="54"/>
      <c r="E79" s="54"/>
      <c r="F79" s="54"/>
      <c r="G79" s="54"/>
      <c r="H79" s="54"/>
      <c r="I79" s="54"/>
      <c r="J79" s="54"/>
      <c r="K79" s="54"/>
      <c r="L79" s="54"/>
      <c r="M79" s="33">
        <f>M49</f>
        <v>32</v>
      </c>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22" t="str">
        <f t="shared" si="5"/>
        <v>K04.T1-MR</v>
      </c>
      <c r="AP79" s="20">
        <f t="shared" si="6"/>
        <v>32</v>
      </c>
      <c r="AQ79" s="83"/>
      <c r="AR79" s="83"/>
    </row>
    <row r="80" spans="1:44" ht="20.100000000000001" hidden="1" customHeight="1">
      <c r="A80" s="305"/>
      <c r="B80" s="29" t="s">
        <v>52</v>
      </c>
      <c r="C80" s="54"/>
      <c r="D80" s="54"/>
      <c r="E80" s="54"/>
      <c r="F80" s="54"/>
      <c r="G80" s="54"/>
      <c r="H80" s="54"/>
      <c r="I80" s="54"/>
      <c r="J80" s="54"/>
      <c r="K80" s="54"/>
      <c r="L80" s="54"/>
      <c r="M80" s="54"/>
      <c r="N80" s="54"/>
      <c r="O80" s="33">
        <f>O49</f>
        <v>32</v>
      </c>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22" t="str">
        <f t="shared" si="5"/>
        <v>K05.T1-MR</v>
      </c>
      <c r="AP80" s="20">
        <f t="shared" si="6"/>
        <v>32</v>
      </c>
      <c r="AQ80" s="83"/>
      <c r="AR80" s="83"/>
    </row>
    <row r="81" spans="1:44" ht="20.100000000000001" hidden="1" customHeight="1">
      <c r="A81" s="305"/>
      <c r="B81" s="29" t="s">
        <v>56</v>
      </c>
      <c r="C81" s="54"/>
      <c r="D81" s="54"/>
      <c r="E81" s="54"/>
      <c r="F81" s="54"/>
      <c r="G81" s="54"/>
      <c r="H81" s="54"/>
      <c r="I81" s="54"/>
      <c r="J81" s="54"/>
      <c r="K81" s="54"/>
      <c r="L81" s="54"/>
      <c r="M81" s="54"/>
      <c r="N81" s="54"/>
      <c r="O81" s="54"/>
      <c r="P81" s="54"/>
      <c r="Q81" s="54"/>
      <c r="R81" s="54"/>
      <c r="S81" s="33">
        <f>S49</f>
        <v>9</v>
      </c>
      <c r="T81" s="54"/>
      <c r="U81" s="54"/>
      <c r="V81" s="54"/>
      <c r="W81" s="54"/>
      <c r="X81" s="54"/>
      <c r="Y81" s="54"/>
      <c r="Z81" s="54"/>
      <c r="AA81" s="54"/>
      <c r="AB81" s="54"/>
      <c r="AC81" s="54"/>
      <c r="AD81" s="54"/>
      <c r="AE81" s="54"/>
      <c r="AF81" s="54"/>
      <c r="AG81" s="54"/>
      <c r="AH81" s="54"/>
      <c r="AI81" s="54"/>
      <c r="AJ81" s="54"/>
      <c r="AK81" s="54"/>
      <c r="AL81" s="54"/>
      <c r="AM81" s="54"/>
      <c r="AN81" s="54"/>
      <c r="AO81" s="22" t="str">
        <f t="shared" si="5"/>
        <v>K06.T1-MR</v>
      </c>
      <c r="AP81" s="20">
        <f t="shared" si="6"/>
        <v>9</v>
      </c>
      <c r="AQ81" s="83"/>
      <c r="AR81" s="83"/>
    </row>
    <row r="82" spans="1:44" ht="20.100000000000001" hidden="1" customHeight="1">
      <c r="A82" s="305"/>
      <c r="B82" s="29" t="s">
        <v>58</v>
      </c>
      <c r="C82" s="54"/>
      <c r="D82" s="54"/>
      <c r="E82" s="54"/>
      <c r="F82" s="54"/>
      <c r="G82" s="54"/>
      <c r="H82" s="54"/>
      <c r="I82" s="54"/>
      <c r="J82" s="54"/>
      <c r="K82" s="54"/>
      <c r="L82" s="54"/>
      <c r="M82" s="54"/>
      <c r="N82" s="54"/>
      <c r="O82" s="54"/>
      <c r="P82" s="54"/>
      <c r="Q82" s="54"/>
      <c r="R82" s="54"/>
      <c r="S82" s="54"/>
      <c r="T82" s="54"/>
      <c r="U82" s="33">
        <f>U49</f>
        <v>32</v>
      </c>
      <c r="V82" s="54"/>
      <c r="W82" s="54"/>
      <c r="X82" s="54"/>
      <c r="Y82" s="54"/>
      <c r="Z82" s="54"/>
      <c r="AA82" s="54"/>
      <c r="AB82" s="54"/>
      <c r="AC82" s="54"/>
      <c r="AD82" s="54"/>
      <c r="AE82" s="54"/>
      <c r="AF82" s="54"/>
      <c r="AG82" s="54"/>
      <c r="AH82" s="54"/>
      <c r="AI82" s="54"/>
      <c r="AJ82" s="54"/>
      <c r="AK82" s="54"/>
      <c r="AL82" s="54"/>
      <c r="AM82" s="54"/>
      <c r="AN82" s="54"/>
      <c r="AO82" s="22" t="str">
        <f t="shared" si="5"/>
        <v>K07.T1-MR</v>
      </c>
      <c r="AP82" s="20">
        <f t="shared" si="6"/>
        <v>32</v>
      </c>
      <c r="AQ82" s="83"/>
      <c r="AR82" s="83"/>
    </row>
    <row r="83" spans="1:44" ht="20.100000000000001" hidden="1" customHeight="1">
      <c r="A83" s="305"/>
      <c r="B83" s="29" t="s">
        <v>62</v>
      </c>
      <c r="C83" s="54"/>
      <c r="D83" s="54"/>
      <c r="E83" s="54"/>
      <c r="F83" s="54"/>
      <c r="G83" s="54"/>
      <c r="H83" s="54"/>
      <c r="I83" s="54"/>
      <c r="J83" s="54"/>
      <c r="K83" s="54"/>
      <c r="L83" s="54"/>
      <c r="M83" s="54"/>
      <c r="N83" s="54"/>
      <c r="O83" s="54"/>
      <c r="P83" s="54"/>
      <c r="Q83" s="54"/>
      <c r="R83" s="54"/>
      <c r="S83" s="54"/>
      <c r="T83" s="54"/>
      <c r="U83" s="54"/>
      <c r="V83" s="54"/>
      <c r="W83" s="54"/>
      <c r="X83" s="54"/>
      <c r="Y83" s="33">
        <f>Y49</f>
        <v>16</v>
      </c>
      <c r="Z83" s="54"/>
      <c r="AA83" s="54"/>
      <c r="AB83" s="54"/>
      <c r="AC83" s="54"/>
      <c r="AD83" s="54"/>
      <c r="AE83" s="54"/>
      <c r="AF83" s="54"/>
      <c r="AG83" s="54"/>
      <c r="AH83" s="54"/>
      <c r="AI83" s="54"/>
      <c r="AJ83" s="54"/>
      <c r="AK83" s="54"/>
      <c r="AL83" s="54"/>
      <c r="AM83" s="54"/>
      <c r="AN83" s="54"/>
      <c r="AO83" s="22" t="str">
        <f t="shared" si="5"/>
        <v>K08.T1-MR</v>
      </c>
      <c r="AP83" s="20">
        <f t="shared" si="6"/>
        <v>16</v>
      </c>
      <c r="AQ83" s="83"/>
      <c r="AR83" s="83"/>
    </row>
    <row r="84" spans="1:44" ht="20.100000000000001" hidden="1" customHeight="1">
      <c r="A84" s="305"/>
      <c r="B84" s="29" t="s">
        <v>64</v>
      </c>
      <c r="C84" s="54"/>
      <c r="D84" s="54"/>
      <c r="E84" s="54"/>
      <c r="F84" s="54"/>
      <c r="G84" s="54"/>
      <c r="H84" s="54"/>
      <c r="I84" s="54"/>
      <c r="J84" s="54"/>
      <c r="K84" s="54"/>
      <c r="L84" s="54"/>
      <c r="M84" s="54"/>
      <c r="N84" s="54"/>
      <c r="O84" s="54"/>
      <c r="P84" s="54"/>
      <c r="Q84" s="54"/>
      <c r="R84" s="54"/>
      <c r="S84" s="54"/>
      <c r="T84" s="54"/>
      <c r="U84" s="54"/>
      <c r="V84" s="54"/>
      <c r="W84" s="54"/>
      <c r="X84" s="54"/>
      <c r="Y84" s="54"/>
      <c r="Z84" s="54"/>
      <c r="AA84" s="33">
        <f>AA49</f>
        <v>32</v>
      </c>
      <c r="AB84" s="54"/>
      <c r="AC84" s="54"/>
      <c r="AD84" s="54"/>
      <c r="AE84" s="54"/>
      <c r="AF84" s="54"/>
      <c r="AG84" s="54"/>
      <c r="AH84" s="54"/>
      <c r="AI84" s="54"/>
      <c r="AJ84" s="54"/>
      <c r="AK84" s="54"/>
      <c r="AL84" s="54"/>
      <c r="AM84" s="54"/>
      <c r="AN84" s="54"/>
      <c r="AO84" s="22" t="str">
        <f t="shared" si="5"/>
        <v>K09.T1-MR</v>
      </c>
      <c r="AP84" s="20">
        <f t="shared" si="6"/>
        <v>32</v>
      </c>
      <c r="AQ84" s="83"/>
      <c r="AR84" s="83"/>
    </row>
    <row r="85" spans="1:44" ht="20.100000000000001" hidden="1" customHeight="1">
      <c r="A85" s="305"/>
      <c r="B85" s="29" t="s">
        <v>66</v>
      </c>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33">
        <f>AC49</f>
        <v>32</v>
      </c>
      <c r="AD85" s="54"/>
      <c r="AE85" s="54"/>
      <c r="AF85" s="54"/>
      <c r="AG85" s="54"/>
      <c r="AH85" s="54"/>
      <c r="AI85" s="54"/>
      <c r="AJ85" s="54"/>
      <c r="AK85" s="54"/>
      <c r="AL85" s="54"/>
      <c r="AM85" s="54"/>
      <c r="AN85" s="54"/>
      <c r="AO85" s="22" t="str">
        <f t="shared" si="5"/>
        <v>K10.T1-MR</v>
      </c>
      <c r="AP85" s="20">
        <f t="shared" si="6"/>
        <v>32</v>
      </c>
      <c r="AQ85" s="83"/>
      <c r="AR85" s="83"/>
    </row>
    <row r="86" spans="1:44" ht="20.100000000000001" hidden="1" customHeight="1">
      <c r="A86" s="305"/>
      <c r="B86" s="29" t="s">
        <v>70</v>
      </c>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33">
        <f>AG49</f>
        <v>9</v>
      </c>
      <c r="AH86" s="54"/>
      <c r="AI86" s="54"/>
      <c r="AJ86" s="54"/>
      <c r="AK86" s="54"/>
      <c r="AL86" s="54"/>
      <c r="AM86" s="54"/>
      <c r="AN86" s="54"/>
      <c r="AO86" s="22" t="str">
        <f t="shared" si="5"/>
        <v>K11.T1-MR</v>
      </c>
      <c r="AP86" s="20">
        <f t="shared" si="6"/>
        <v>9</v>
      </c>
      <c r="AQ86" s="83"/>
      <c r="AR86" s="83"/>
    </row>
    <row r="87" spans="1:44" ht="20.100000000000001" hidden="1" customHeight="1">
      <c r="A87" s="305"/>
      <c r="B87" s="29" t="s">
        <v>72</v>
      </c>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33">
        <f>AI49</f>
        <v>32</v>
      </c>
      <c r="AJ87" s="54"/>
      <c r="AK87" s="54"/>
      <c r="AL87" s="54"/>
      <c r="AM87" s="54"/>
      <c r="AN87" s="54"/>
      <c r="AO87" s="22" t="str">
        <f t="shared" si="5"/>
        <v>K12.T1-MR</v>
      </c>
      <c r="AP87" s="20">
        <f t="shared" si="6"/>
        <v>32</v>
      </c>
      <c r="AQ87" s="83"/>
      <c r="AR87" s="83"/>
    </row>
    <row r="88" spans="1:44" ht="20.100000000000001" hidden="1" customHeight="1">
      <c r="A88" s="305"/>
      <c r="B88" s="29" t="s">
        <v>76</v>
      </c>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33">
        <f>AM49</f>
        <v>17</v>
      </c>
      <c r="AN88" s="54"/>
      <c r="AO88" s="22" t="str">
        <f t="shared" si="5"/>
        <v>K14.T1-MR</v>
      </c>
      <c r="AP88" s="20">
        <f t="shared" si="6"/>
        <v>17</v>
      </c>
      <c r="AQ88" s="83"/>
      <c r="AR88" s="83"/>
    </row>
    <row r="89" spans="1:44" ht="20.100000000000001" hidden="1" customHeight="1">
      <c r="A89" s="305"/>
      <c r="B89" s="29" t="s">
        <v>43</v>
      </c>
      <c r="C89" s="54"/>
      <c r="D89" s="54"/>
      <c r="E89" s="54"/>
      <c r="F89" s="33">
        <f>F49</f>
        <v>3</v>
      </c>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22" t="str">
        <f t="shared" si="5"/>
        <v>K01.T1(A)-MR</v>
      </c>
      <c r="AP89" s="20">
        <f t="shared" si="6"/>
        <v>3</v>
      </c>
      <c r="AQ89" s="83"/>
      <c r="AR89" s="83"/>
    </row>
    <row r="90" spans="1:44" ht="20.100000000000001" hidden="1" customHeight="1">
      <c r="A90" s="305"/>
      <c r="B90" s="29" t="s">
        <v>45</v>
      </c>
      <c r="C90" s="54"/>
      <c r="D90" s="54"/>
      <c r="E90" s="54"/>
      <c r="F90" s="54"/>
      <c r="G90" s="54"/>
      <c r="H90" s="33">
        <f>H49</f>
        <v>7</v>
      </c>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22" t="str">
        <f t="shared" si="5"/>
        <v>K02.T1(A)-MR</v>
      </c>
      <c r="AP90" s="20">
        <f t="shared" si="6"/>
        <v>7</v>
      </c>
      <c r="AQ90" s="83"/>
      <c r="AR90" s="83"/>
    </row>
    <row r="91" spans="1:44" ht="20.100000000000001" hidden="1" customHeight="1">
      <c r="A91" s="305"/>
      <c r="B91" s="29" t="s">
        <v>49</v>
      </c>
      <c r="C91" s="54"/>
      <c r="D91" s="54"/>
      <c r="E91" s="54"/>
      <c r="F91" s="54"/>
      <c r="G91" s="54"/>
      <c r="H91" s="54"/>
      <c r="I91" s="54"/>
      <c r="J91" s="54"/>
      <c r="K91" s="54"/>
      <c r="L91" s="33">
        <f>L49</f>
        <v>6</v>
      </c>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22" t="str">
        <f t="shared" si="5"/>
        <v>K03.T1(A)-MR</v>
      </c>
      <c r="AP91" s="20">
        <f t="shared" si="6"/>
        <v>6</v>
      </c>
      <c r="AQ91" s="83"/>
      <c r="AR91" s="83"/>
    </row>
    <row r="92" spans="1:44" ht="20.100000000000001" hidden="1" customHeight="1">
      <c r="A92" s="305"/>
      <c r="B92" s="29" t="s">
        <v>51</v>
      </c>
      <c r="C92" s="54"/>
      <c r="D92" s="54"/>
      <c r="E92" s="54"/>
      <c r="F92" s="54"/>
      <c r="G92" s="54"/>
      <c r="H92" s="54"/>
      <c r="I92" s="54"/>
      <c r="J92" s="54"/>
      <c r="K92" s="54"/>
      <c r="L92" s="54"/>
      <c r="M92" s="54"/>
      <c r="N92" s="33">
        <f>N49</f>
        <v>8</v>
      </c>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22" t="str">
        <f t="shared" si="5"/>
        <v>K04.T1(A)-MR</v>
      </c>
      <c r="AP92" s="20">
        <f t="shared" si="6"/>
        <v>8</v>
      </c>
      <c r="AQ92" s="83"/>
      <c r="AR92" s="83"/>
    </row>
    <row r="93" spans="1:44" ht="20.100000000000001" hidden="1" customHeight="1">
      <c r="A93" s="305"/>
      <c r="B93" s="29" t="s">
        <v>53</v>
      </c>
      <c r="C93" s="54"/>
      <c r="D93" s="54"/>
      <c r="E93" s="54"/>
      <c r="F93" s="54"/>
      <c r="G93" s="54"/>
      <c r="H93" s="54"/>
      <c r="I93" s="54"/>
      <c r="J93" s="54"/>
      <c r="K93" s="54"/>
      <c r="L93" s="54"/>
      <c r="M93" s="54"/>
      <c r="N93" s="54"/>
      <c r="O93" s="54"/>
      <c r="P93" s="33">
        <f>P49</f>
        <v>8</v>
      </c>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22" t="str">
        <f t="shared" si="5"/>
        <v>K05.T1(A)-MR</v>
      </c>
      <c r="AP93" s="20">
        <f t="shared" si="6"/>
        <v>8</v>
      </c>
      <c r="AQ93" s="83"/>
      <c r="AR93" s="83"/>
    </row>
    <row r="94" spans="1:44" ht="20.100000000000001" hidden="1" customHeight="1">
      <c r="A94" s="305"/>
      <c r="B94" s="29" t="s">
        <v>57</v>
      </c>
      <c r="C94" s="54"/>
      <c r="D94" s="54"/>
      <c r="E94" s="54"/>
      <c r="F94" s="54"/>
      <c r="G94" s="54"/>
      <c r="H94" s="54"/>
      <c r="I94" s="54"/>
      <c r="J94" s="54"/>
      <c r="K94" s="54"/>
      <c r="L94" s="54"/>
      <c r="M94" s="54"/>
      <c r="N94" s="54"/>
      <c r="O94" s="54"/>
      <c r="P94" s="54"/>
      <c r="Q94" s="54"/>
      <c r="R94" s="54"/>
      <c r="S94" s="54"/>
      <c r="T94" s="33">
        <f>T49</f>
        <v>2</v>
      </c>
      <c r="U94" s="54"/>
      <c r="V94" s="54"/>
      <c r="W94" s="54"/>
      <c r="X94" s="54"/>
      <c r="Y94" s="54"/>
      <c r="Z94" s="54"/>
      <c r="AA94" s="54"/>
      <c r="AB94" s="54"/>
      <c r="AC94" s="54"/>
      <c r="AD94" s="54"/>
      <c r="AE94" s="54"/>
      <c r="AF94" s="54"/>
      <c r="AG94" s="54"/>
      <c r="AH94" s="54"/>
      <c r="AI94" s="54"/>
      <c r="AJ94" s="54"/>
      <c r="AK94" s="54"/>
      <c r="AL94" s="54"/>
      <c r="AM94" s="54"/>
      <c r="AN94" s="54"/>
      <c r="AO94" s="22" t="str">
        <f t="shared" si="5"/>
        <v>K06.T1(A)-MR</v>
      </c>
      <c r="AP94" s="20">
        <f t="shared" si="6"/>
        <v>2</v>
      </c>
      <c r="AQ94" s="83"/>
      <c r="AR94" s="83"/>
    </row>
    <row r="95" spans="1:44" ht="20.100000000000001" hidden="1" customHeight="1">
      <c r="A95" s="305"/>
      <c r="B95" s="29" t="s">
        <v>59</v>
      </c>
      <c r="C95" s="54"/>
      <c r="D95" s="54"/>
      <c r="E95" s="54"/>
      <c r="F95" s="54"/>
      <c r="G95" s="54"/>
      <c r="H95" s="54"/>
      <c r="I95" s="54"/>
      <c r="J95" s="54"/>
      <c r="K95" s="54"/>
      <c r="L95" s="54"/>
      <c r="M95" s="54"/>
      <c r="N95" s="54"/>
      <c r="O95" s="54"/>
      <c r="P95" s="54"/>
      <c r="Q95" s="54"/>
      <c r="R95" s="54"/>
      <c r="S95" s="54"/>
      <c r="T95" s="54"/>
      <c r="U95" s="54"/>
      <c r="V95" s="33">
        <f>V49</f>
        <v>8</v>
      </c>
      <c r="W95" s="54"/>
      <c r="X95" s="54"/>
      <c r="Y95" s="54"/>
      <c r="Z95" s="54"/>
      <c r="AA95" s="54"/>
      <c r="AB95" s="54"/>
      <c r="AC95" s="54"/>
      <c r="AD95" s="54"/>
      <c r="AE95" s="54"/>
      <c r="AF95" s="54"/>
      <c r="AG95" s="54"/>
      <c r="AH95" s="54"/>
      <c r="AI95" s="54"/>
      <c r="AJ95" s="54"/>
      <c r="AK95" s="54"/>
      <c r="AL95" s="54"/>
      <c r="AM95" s="54"/>
      <c r="AN95" s="54"/>
      <c r="AO95" s="22" t="str">
        <f t="shared" si="5"/>
        <v>K07.T1(A)-MR</v>
      </c>
      <c r="AP95" s="20">
        <f t="shared" si="6"/>
        <v>8</v>
      </c>
      <c r="AQ95" s="83"/>
      <c r="AR95" s="83"/>
    </row>
    <row r="96" spans="1:44" ht="20.100000000000001" hidden="1" customHeight="1">
      <c r="A96" s="305"/>
      <c r="B96" s="29" t="s">
        <v>63</v>
      </c>
      <c r="C96" s="54"/>
      <c r="D96" s="54"/>
      <c r="E96" s="54"/>
      <c r="F96" s="54"/>
      <c r="G96" s="54"/>
      <c r="H96" s="54"/>
      <c r="I96" s="54"/>
      <c r="J96" s="54"/>
      <c r="K96" s="54"/>
      <c r="L96" s="54"/>
      <c r="M96" s="54"/>
      <c r="N96" s="54"/>
      <c r="O96" s="54"/>
      <c r="P96" s="54"/>
      <c r="Q96" s="54"/>
      <c r="R96" s="54"/>
      <c r="S96" s="54"/>
      <c r="T96" s="54"/>
      <c r="U96" s="54"/>
      <c r="V96" s="54"/>
      <c r="W96" s="54"/>
      <c r="X96" s="54"/>
      <c r="Y96" s="54"/>
      <c r="Z96" s="33">
        <f>Z49</f>
        <v>4</v>
      </c>
      <c r="AA96" s="54"/>
      <c r="AB96" s="54"/>
      <c r="AC96" s="54"/>
      <c r="AD96" s="54"/>
      <c r="AE96" s="54"/>
      <c r="AF96" s="54"/>
      <c r="AG96" s="54"/>
      <c r="AH96" s="54"/>
      <c r="AI96" s="54"/>
      <c r="AJ96" s="54"/>
      <c r="AK96" s="54"/>
      <c r="AL96" s="54"/>
      <c r="AM96" s="54"/>
      <c r="AN96" s="54"/>
      <c r="AO96" s="22" t="str">
        <f t="shared" si="5"/>
        <v>K08.T1(A)-MR</v>
      </c>
      <c r="AP96" s="20">
        <f t="shared" si="6"/>
        <v>4</v>
      </c>
      <c r="AQ96" s="83"/>
      <c r="AR96" s="83"/>
    </row>
    <row r="97" spans="1:44" ht="20.100000000000001" hidden="1" customHeight="1">
      <c r="A97" s="305"/>
      <c r="B97" s="29" t="s">
        <v>65</v>
      </c>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33">
        <f>AB49</f>
        <v>8</v>
      </c>
      <c r="AC97" s="54"/>
      <c r="AD97" s="54"/>
      <c r="AE97" s="54"/>
      <c r="AF97" s="54"/>
      <c r="AG97" s="54"/>
      <c r="AH97" s="54"/>
      <c r="AI97" s="54"/>
      <c r="AJ97" s="54"/>
      <c r="AK97" s="54"/>
      <c r="AL97" s="54"/>
      <c r="AM97" s="54"/>
      <c r="AN97" s="54"/>
      <c r="AO97" s="22" t="str">
        <f t="shared" si="5"/>
        <v>K09.T1(A)-MR</v>
      </c>
      <c r="AP97" s="20">
        <f t="shared" si="6"/>
        <v>8</v>
      </c>
      <c r="AQ97" s="83"/>
      <c r="AR97" s="83"/>
    </row>
    <row r="98" spans="1:44" ht="20.100000000000001" hidden="1" customHeight="1">
      <c r="A98" s="305"/>
      <c r="B98" s="29" t="s">
        <v>67</v>
      </c>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33">
        <f>AD49</f>
        <v>8</v>
      </c>
      <c r="AE98" s="54"/>
      <c r="AF98" s="54"/>
      <c r="AG98" s="54"/>
      <c r="AH98" s="54"/>
      <c r="AI98" s="54"/>
      <c r="AJ98" s="54"/>
      <c r="AK98" s="54"/>
      <c r="AL98" s="54"/>
      <c r="AM98" s="54"/>
      <c r="AN98" s="54"/>
      <c r="AO98" s="22" t="str">
        <f t="shared" si="5"/>
        <v>K10.T1(A)-MR</v>
      </c>
      <c r="AP98" s="20">
        <f t="shared" si="6"/>
        <v>8</v>
      </c>
      <c r="AQ98" s="83"/>
      <c r="AR98" s="83"/>
    </row>
    <row r="99" spans="1:44" ht="20.100000000000001" hidden="1" customHeight="1">
      <c r="A99" s="305"/>
      <c r="B99" s="29" t="s">
        <v>71</v>
      </c>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33">
        <f>AH49</f>
        <v>2</v>
      </c>
      <c r="AI99" s="54"/>
      <c r="AJ99" s="54"/>
      <c r="AK99" s="54"/>
      <c r="AL99" s="54"/>
      <c r="AM99" s="54"/>
      <c r="AN99" s="54"/>
      <c r="AO99" s="22" t="str">
        <f t="shared" si="5"/>
        <v>K11.T1(A)-MR</v>
      </c>
      <c r="AP99" s="20">
        <f t="shared" si="6"/>
        <v>2</v>
      </c>
      <c r="AQ99" s="83"/>
      <c r="AR99" s="83"/>
    </row>
    <row r="100" spans="1:44" ht="20.100000000000001" hidden="1" customHeight="1">
      <c r="A100" s="305"/>
      <c r="B100" s="29" t="s">
        <v>73</v>
      </c>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33">
        <f>AJ49</f>
        <v>8</v>
      </c>
      <c r="AK100" s="54"/>
      <c r="AL100" s="54"/>
      <c r="AM100" s="54"/>
      <c r="AN100" s="54"/>
      <c r="AO100" s="22" t="str">
        <f t="shared" si="5"/>
        <v>K12.T1(A)-MR</v>
      </c>
      <c r="AP100" s="20">
        <f t="shared" si="6"/>
        <v>8</v>
      </c>
      <c r="AQ100" s="83"/>
      <c r="AR100" s="83"/>
    </row>
    <row r="101" spans="1:44" ht="20.100000000000001" hidden="1" customHeight="1">
      <c r="A101" s="305"/>
      <c r="B101" s="29" t="s">
        <v>77</v>
      </c>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33">
        <f>AN49</f>
        <v>4</v>
      </c>
      <c r="AO101" s="22" t="str">
        <f t="shared" si="5"/>
        <v>K14.T1(A)-MR</v>
      </c>
      <c r="AP101" s="20">
        <f t="shared" si="6"/>
        <v>4</v>
      </c>
      <c r="AQ101" s="83"/>
      <c r="AR101" s="83"/>
    </row>
    <row r="102" spans="1:44" ht="20.100000000000001" hidden="1" customHeight="1">
      <c r="A102" s="305"/>
      <c r="B102" s="29"/>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30" t="s">
        <v>101</v>
      </c>
      <c r="AP102" s="20">
        <f>SUM(AP64:AP101)</f>
        <v>520</v>
      </c>
      <c r="AQ102" s="83"/>
      <c r="AR102" s="83"/>
    </row>
    <row r="103" spans="1:44" ht="20.100000000000001" hidden="1" customHeight="1">
      <c r="A103" s="305"/>
      <c r="B103" s="29"/>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29"/>
      <c r="AP103" s="5"/>
      <c r="AQ103" s="35"/>
      <c r="AR103" s="35"/>
    </row>
    <row r="104" spans="1:44" ht="20.100000000000001" hidden="1" customHeight="1">
      <c r="A104" s="28"/>
      <c r="B104" s="27" t="s">
        <v>102</v>
      </c>
      <c r="C104" s="25"/>
      <c r="D104" s="25"/>
      <c r="E104" s="25"/>
      <c r="F104" s="25"/>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5"/>
      <c r="AP104" s="24"/>
      <c r="AQ104" s="79"/>
      <c r="AR104" s="79"/>
    </row>
    <row r="105" spans="1:44" ht="20.100000000000001" hidden="1" customHeight="1">
      <c r="A105" s="302" t="s">
        <v>103</v>
      </c>
      <c r="B105" s="5"/>
      <c r="C105" s="56"/>
      <c r="D105" s="56"/>
      <c r="E105" s="56"/>
      <c r="F105" s="56"/>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21"/>
      <c r="AP105" s="5"/>
      <c r="AQ105" s="35"/>
      <c r="AR105" s="35"/>
    </row>
    <row r="106" spans="1:44" ht="20.100000000000001" hidden="1" customHeight="1">
      <c r="A106" s="303"/>
      <c r="B106" s="23" t="s">
        <v>79</v>
      </c>
      <c r="C106" s="7">
        <f>C49</f>
        <v>16</v>
      </c>
      <c r="D106" s="7">
        <f>D49</f>
        <v>5</v>
      </c>
      <c r="E106" s="56"/>
      <c r="F106" s="56"/>
      <c r="G106" s="57"/>
      <c r="H106" s="57"/>
      <c r="I106" s="57"/>
      <c r="J106" s="57"/>
      <c r="K106" s="57"/>
      <c r="L106" s="57"/>
      <c r="M106" s="57"/>
      <c r="N106" s="57"/>
      <c r="O106" s="57"/>
      <c r="P106" s="57"/>
      <c r="Q106" s="9">
        <f>Q49</f>
        <v>23</v>
      </c>
      <c r="R106" s="9">
        <f>R49</f>
        <v>6</v>
      </c>
      <c r="S106" s="57"/>
      <c r="T106" s="57"/>
      <c r="U106" s="56"/>
      <c r="V106" s="56"/>
      <c r="W106" s="9">
        <f>W49</f>
        <v>16</v>
      </c>
      <c r="X106" s="9">
        <f>X49</f>
        <v>4</v>
      </c>
      <c r="Y106" s="57"/>
      <c r="Z106" s="57"/>
      <c r="AA106" s="57"/>
      <c r="AB106" s="57"/>
      <c r="AC106" s="57"/>
      <c r="AD106" s="57"/>
      <c r="AE106" s="9">
        <f>AE49</f>
        <v>23</v>
      </c>
      <c r="AF106" s="9">
        <f>AF49</f>
        <v>6</v>
      </c>
      <c r="AG106" s="57"/>
      <c r="AH106" s="57"/>
      <c r="AI106" s="57"/>
      <c r="AJ106" s="57"/>
      <c r="AK106" s="57"/>
      <c r="AL106" s="57"/>
      <c r="AM106" s="57"/>
      <c r="AN106" s="57"/>
      <c r="AO106" s="22" t="str">
        <f t="shared" ref="AO106:AO112" si="7">B106</f>
        <v>T1(AFF)_36-PRIM</v>
      </c>
      <c r="AP106" s="20">
        <f t="shared" ref="AP106:AP112" si="8">SUM(C106:AN106)</f>
        <v>99</v>
      </c>
      <c r="AQ106" s="83"/>
      <c r="AR106" s="83"/>
    </row>
    <row r="107" spans="1:44" ht="20.100000000000001" hidden="1" customHeight="1">
      <c r="A107" s="303"/>
      <c r="B107" s="23" t="s">
        <v>82</v>
      </c>
      <c r="C107" s="56"/>
      <c r="D107" s="56"/>
      <c r="E107" s="56"/>
      <c r="F107" s="56"/>
      <c r="G107" s="56"/>
      <c r="H107" s="56"/>
      <c r="I107" s="7">
        <f>I49</f>
        <v>7</v>
      </c>
      <c r="J107" s="7">
        <f>J49</f>
        <v>2</v>
      </c>
      <c r="K107" s="56"/>
      <c r="L107" s="56"/>
      <c r="M107" s="56"/>
      <c r="N107" s="56"/>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9">
        <f>AK49</f>
        <v>15</v>
      </c>
      <c r="AL107" s="9">
        <f>AL49</f>
        <v>4</v>
      </c>
      <c r="AM107" s="57"/>
      <c r="AN107" s="57"/>
      <c r="AO107" s="22" t="str">
        <f t="shared" si="7"/>
        <v>T1(AFF)_60-PRIM</v>
      </c>
      <c r="AP107" s="20">
        <f t="shared" si="8"/>
        <v>28</v>
      </c>
      <c r="AQ107" s="83"/>
      <c r="AR107" s="83"/>
    </row>
    <row r="108" spans="1:44" ht="20.100000000000001" hidden="1" customHeight="1">
      <c r="A108" s="303"/>
      <c r="B108" s="23" t="s">
        <v>85</v>
      </c>
      <c r="C108" s="56"/>
      <c r="D108" s="56"/>
      <c r="E108" s="56"/>
      <c r="F108" s="56"/>
      <c r="G108" s="57"/>
      <c r="H108" s="57"/>
      <c r="I108" s="9">
        <f>I49</f>
        <v>7</v>
      </c>
      <c r="J108" s="9">
        <f>J49</f>
        <v>2</v>
      </c>
      <c r="K108" s="57"/>
      <c r="L108" s="57"/>
      <c r="M108" s="57"/>
      <c r="N108" s="57"/>
      <c r="O108" s="56"/>
      <c r="P108" s="56"/>
      <c r="Q108" s="57"/>
      <c r="R108" s="57"/>
      <c r="S108" s="57"/>
      <c r="T108" s="57"/>
      <c r="U108" s="57"/>
      <c r="V108" s="57"/>
      <c r="W108" s="56"/>
      <c r="X108" s="56"/>
      <c r="Y108" s="56"/>
      <c r="Z108" s="56"/>
      <c r="AA108" s="56"/>
      <c r="AB108" s="56"/>
      <c r="AC108" s="57"/>
      <c r="AD108" s="57"/>
      <c r="AE108" s="57"/>
      <c r="AF108" s="57"/>
      <c r="AG108" s="57"/>
      <c r="AH108" s="57"/>
      <c r="AI108" s="57"/>
      <c r="AJ108" s="57"/>
      <c r="AK108" s="9">
        <f>AK49</f>
        <v>15</v>
      </c>
      <c r="AL108" s="9">
        <f>AL49</f>
        <v>4</v>
      </c>
      <c r="AM108" s="57"/>
      <c r="AN108" s="57"/>
      <c r="AO108" s="22" t="str">
        <f t="shared" si="7"/>
        <v>T1(AFF)_36-SEC</v>
      </c>
      <c r="AP108" s="20">
        <f t="shared" si="8"/>
        <v>28</v>
      </c>
      <c r="AQ108" s="83"/>
      <c r="AR108" s="83"/>
    </row>
    <row r="109" spans="1:44" ht="20.100000000000001" hidden="1" customHeight="1">
      <c r="A109" s="303"/>
      <c r="B109" s="23" t="s">
        <v>80</v>
      </c>
      <c r="C109" s="56"/>
      <c r="D109" s="56"/>
      <c r="E109" s="7">
        <f>E49</f>
        <v>16</v>
      </c>
      <c r="F109" s="7">
        <f>F49</f>
        <v>3</v>
      </c>
      <c r="G109" s="57"/>
      <c r="H109" s="57"/>
      <c r="I109" s="57"/>
      <c r="J109" s="57"/>
      <c r="K109" s="57"/>
      <c r="L109" s="57"/>
      <c r="M109" s="9">
        <f>M49</f>
        <v>32</v>
      </c>
      <c r="N109" s="9">
        <f>N49</f>
        <v>8</v>
      </c>
      <c r="O109" s="9">
        <f>O49</f>
        <v>32</v>
      </c>
      <c r="P109" s="9">
        <f>P49</f>
        <v>8</v>
      </c>
      <c r="Q109" s="56"/>
      <c r="R109" s="56"/>
      <c r="S109" s="7">
        <f>S49</f>
        <v>9</v>
      </c>
      <c r="T109" s="7">
        <f>T49</f>
        <v>2</v>
      </c>
      <c r="U109" s="9">
        <f>U49</f>
        <v>32</v>
      </c>
      <c r="V109" s="9">
        <f>V49</f>
        <v>8</v>
      </c>
      <c r="W109" s="57"/>
      <c r="X109" s="57"/>
      <c r="Y109" s="9">
        <f>Y49</f>
        <v>16</v>
      </c>
      <c r="Z109" s="9">
        <f>Z49</f>
        <v>4</v>
      </c>
      <c r="AA109" s="57"/>
      <c r="AB109" s="57"/>
      <c r="AC109" s="9">
        <f>AC49</f>
        <v>32</v>
      </c>
      <c r="AD109" s="9">
        <f>AD49</f>
        <v>8</v>
      </c>
      <c r="AE109" s="57"/>
      <c r="AF109" s="57"/>
      <c r="AG109" s="9">
        <f>AG49</f>
        <v>9</v>
      </c>
      <c r="AH109" s="9">
        <f>AH49</f>
        <v>2</v>
      </c>
      <c r="AI109" s="9">
        <f>AI49</f>
        <v>32</v>
      </c>
      <c r="AJ109" s="9">
        <f>AJ49</f>
        <v>8</v>
      </c>
      <c r="AK109" s="57"/>
      <c r="AL109" s="57"/>
      <c r="AM109" s="57"/>
      <c r="AN109" s="57"/>
      <c r="AO109" s="22" t="str">
        <f t="shared" si="7"/>
        <v>T1(MR)_36-PRIM</v>
      </c>
      <c r="AP109" s="20">
        <f t="shared" si="8"/>
        <v>261</v>
      </c>
      <c r="AQ109" s="83"/>
      <c r="AR109" s="83"/>
    </row>
    <row r="110" spans="1:44" ht="20.100000000000001" hidden="1" customHeight="1">
      <c r="A110" s="303"/>
      <c r="B110" s="23" t="s">
        <v>81</v>
      </c>
      <c r="C110" s="56"/>
      <c r="D110" s="56"/>
      <c r="E110" s="56"/>
      <c r="F110" s="56"/>
      <c r="G110" s="9">
        <f>G49</f>
        <v>33</v>
      </c>
      <c r="H110" s="9">
        <f>H49</f>
        <v>7</v>
      </c>
      <c r="I110" s="57"/>
      <c r="J110" s="57"/>
      <c r="K110" s="57"/>
      <c r="L110" s="57"/>
      <c r="M110" s="57"/>
      <c r="N110" s="57"/>
      <c r="O110" s="57"/>
      <c r="P110" s="57"/>
      <c r="Q110" s="57"/>
      <c r="R110" s="57"/>
      <c r="S110" s="57"/>
      <c r="T110" s="57"/>
      <c r="U110" s="56"/>
      <c r="V110" s="56"/>
      <c r="W110" s="57"/>
      <c r="X110" s="57"/>
      <c r="Y110" s="57"/>
      <c r="Z110" s="57"/>
      <c r="AA110" s="57"/>
      <c r="AB110" s="57"/>
      <c r="AC110" s="57"/>
      <c r="AD110" s="57"/>
      <c r="AE110" s="56"/>
      <c r="AF110" s="56"/>
      <c r="AG110" s="56"/>
      <c r="AH110" s="56"/>
      <c r="AI110" s="57"/>
      <c r="AJ110" s="57"/>
      <c r="AK110" s="57"/>
      <c r="AL110" s="57"/>
      <c r="AM110" s="57"/>
      <c r="AN110" s="57"/>
      <c r="AO110" s="22" t="str">
        <f t="shared" si="7"/>
        <v>T1(MR)_48-PRIM</v>
      </c>
      <c r="AP110" s="20">
        <f t="shared" si="8"/>
        <v>40</v>
      </c>
      <c r="AQ110" s="83"/>
      <c r="AR110" s="83"/>
    </row>
    <row r="111" spans="1:44" ht="20.100000000000001" hidden="1" customHeight="1">
      <c r="A111" s="303"/>
      <c r="B111" s="23" t="s">
        <v>83</v>
      </c>
      <c r="C111" s="56"/>
      <c r="D111" s="56"/>
      <c r="E111" s="56"/>
      <c r="F111" s="56"/>
      <c r="G111" s="57"/>
      <c r="H111" s="57"/>
      <c r="I111" s="56"/>
      <c r="J111" s="56"/>
      <c r="K111" s="7">
        <f>K49</f>
        <v>25</v>
      </c>
      <c r="L111" s="7">
        <f>L49</f>
        <v>6</v>
      </c>
      <c r="M111" s="57"/>
      <c r="N111" s="57"/>
      <c r="O111" s="57"/>
      <c r="P111" s="57"/>
      <c r="Q111" s="57"/>
      <c r="R111" s="57"/>
      <c r="S111" s="57"/>
      <c r="T111" s="57"/>
      <c r="U111" s="57"/>
      <c r="V111" s="57"/>
      <c r="W111" s="57"/>
      <c r="X111" s="57"/>
      <c r="Y111" s="57"/>
      <c r="Z111" s="57"/>
      <c r="AA111" s="7">
        <f>AA49</f>
        <v>32</v>
      </c>
      <c r="AB111" s="7">
        <f>AB49</f>
        <v>8</v>
      </c>
      <c r="AC111" s="56"/>
      <c r="AD111" s="56"/>
      <c r="AE111" s="57"/>
      <c r="AF111" s="57"/>
      <c r="AG111" s="57"/>
      <c r="AH111" s="57"/>
      <c r="AI111" s="56"/>
      <c r="AJ111" s="56"/>
      <c r="AK111" s="56"/>
      <c r="AL111" s="56"/>
      <c r="AM111" s="7">
        <f>AM49</f>
        <v>17</v>
      </c>
      <c r="AN111" s="7">
        <f>AN49</f>
        <v>4</v>
      </c>
      <c r="AO111" s="22" t="str">
        <f t="shared" si="7"/>
        <v>T1(MR)_60-PRIM</v>
      </c>
      <c r="AP111" s="20">
        <f t="shared" si="8"/>
        <v>92</v>
      </c>
      <c r="AQ111" s="83"/>
      <c r="AR111" s="83"/>
    </row>
    <row r="112" spans="1:44" ht="20.100000000000001" hidden="1" customHeight="1">
      <c r="A112" s="303"/>
      <c r="B112" s="23" t="s">
        <v>86</v>
      </c>
      <c r="C112" s="56"/>
      <c r="D112" s="56"/>
      <c r="E112" s="56"/>
      <c r="F112" s="56"/>
      <c r="G112" s="57"/>
      <c r="H112" s="57"/>
      <c r="I112" s="57"/>
      <c r="J112" s="57"/>
      <c r="K112" s="9">
        <f>K49</f>
        <v>25</v>
      </c>
      <c r="L112" s="9">
        <f>L49</f>
        <v>6</v>
      </c>
      <c r="M112" s="57"/>
      <c r="N112" s="57"/>
      <c r="O112" s="57"/>
      <c r="P112" s="57"/>
      <c r="Q112" s="57"/>
      <c r="R112" s="57"/>
      <c r="S112" s="57"/>
      <c r="T112" s="57"/>
      <c r="U112" s="57"/>
      <c r="V112" s="57"/>
      <c r="W112" s="57"/>
      <c r="X112" s="57"/>
      <c r="Y112" s="57"/>
      <c r="Z112" s="57"/>
      <c r="AA112" s="9">
        <f>AA49</f>
        <v>32</v>
      </c>
      <c r="AB112" s="9">
        <f>AB49</f>
        <v>8</v>
      </c>
      <c r="AC112" s="57"/>
      <c r="AD112" s="57"/>
      <c r="AE112" s="57"/>
      <c r="AF112" s="57"/>
      <c r="AG112" s="57"/>
      <c r="AH112" s="57"/>
      <c r="AI112" s="57"/>
      <c r="AJ112" s="57"/>
      <c r="AK112" s="57"/>
      <c r="AL112" s="57"/>
      <c r="AM112" s="9">
        <f>AM49</f>
        <v>17</v>
      </c>
      <c r="AN112" s="9">
        <f>AN49</f>
        <v>4</v>
      </c>
      <c r="AO112" s="22" t="str">
        <f t="shared" si="7"/>
        <v>T1(MR)_36-SEC</v>
      </c>
      <c r="AP112" s="20">
        <f t="shared" si="8"/>
        <v>92</v>
      </c>
      <c r="AQ112" s="83"/>
      <c r="AR112" s="83"/>
    </row>
    <row r="113" spans="1:44" ht="20.100000000000001" hidden="1" customHeight="1">
      <c r="A113" s="303"/>
      <c r="B113" s="5"/>
      <c r="C113" s="56"/>
      <c r="D113" s="56"/>
      <c r="E113" s="56"/>
      <c r="F113" s="56"/>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19" t="s">
        <v>104</v>
      </c>
      <c r="AP113" s="20">
        <f>SUM(AP106:AP112)</f>
        <v>640</v>
      </c>
      <c r="AQ113" s="83"/>
      <c r="AR113" s="83"/>
    </row>
    <row r="114" spans="1:44" ht="20.100000000000001" hidden="1" customHeight="1">
      <c r="A114" s="304"/>
      <c r="B114" s="5"/>
      <c r="C114" s="56"/>
      <c r="D114" s="56"/>
      <c r="E114" s="56"/>
      <c r="F114" s="56"/>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19"/>
      <c r="AP114" s="18"/>
      <c r="AQ114" s="83"/>
      <c r="AR114" s="83"/>
    </row>
    <row r="115" spans="1:44" ht="20.100000000000001" hidden="1" customHeight="1">
      <c r="A115" s="28"/>
      <c r="B115" s="27" t="s">
        <v>105</v>
      </c>
      <c r="C115" s="25"/>
      <c r="D115" s="25"/>
      <c r="E115" s="25"/>
      <c r="F115" s="25"/>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5"/>
      <c r="AP115" s="24"/>
      <c r="AQ115" s="79"/>
      <c r="AR115" s="79"/>
    </row>
    <row r="116" spans="1:44" ht="20.100000000000001" hidden="1" customHeight="1">
      <c r="A116" s="302" t="s">
        <v>106</v>
      </c>
      <c r="B116" s="5"/>
      <c r="C116" s="56"/>
      <c r="D116" s="56"/>
      <c r="E116" s="56"/>
      <c r="F116" s="56"/>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21"/>
      <c r="AP116" s="5"/>
      <c r="AQ116" s="35"/>
      <c r="AR116" s="35"/>
    </row>
    <row r="117" spans="1:44" ht="20.100000000000001" hidden="1" customHeight="1">
      <c r="A117" s="303"/>
      <c r="B117" s="23" t="s">
        <v>88</v>
      </c>
      <c r="C117" s="7">
        <f>C49</f>
        <v>16</v>
      </c>
      <c r="D117" s="7">
        <f>D49</f>
        <v>5</v>
      </c>
      <c r="E117" s="56"/>
      <c r="F117" s="56"/>
      <c r="G117" s="57"/>
      <c r="H117" s="57"/>
      <c r="I117" s="57"/>
      <c r="J117" s="57"/>
      <c r="K117" s="57"/>
      <c r="L117" s="57"/>
      <c r="M117" s="57"/>
      <c r="N117" s="57"/>
      <c r="O117" s="57"/>
      <c r="P117" s="57"/>
      <c r="Q117" s="57"/>
      <c r="R117" s="57"/>
      <c r="S117" s="57"/>
      <c r="T117" s="57"/>
      <c r="U117" s="56"/>
      <c r="V117" s="56"/>
      <c r="W117" s="57"/>
      <c r="X117" s="57"/>
      <c r="Y117" s="57"/>
      <c r="Z117" s="57"/>
      <c r="AA117" s="57"/>
      <c r="AB117" s="57"/>
      <c r="AC117" s="57"/>
      <c r="AD117" s="57"/>
      <c r="AE117" s="57"/>
      <c r="AF117" s="57"/>
      <c r="AG117" s="57"/>
      <c r="AH117" s="57"/>
      <c r="AI117" s="57"/>
      <c r="AJ117" s="57"/>
      <c r="AK117" s="57"/>
      <c r="AL117" s="57"/>
      <c r="AM117" s="57"/>
      <c r="AN117" s="57"/>
      <c r="AO117" s="22" t="str">
        <f t="shared" ref="AO117:AO122" si="9">B117</f>
        <v>WAR01.T1-AFF</v>
      </c>
      <c r="AP117" s="20">
        <f t="shared" ref="AP117:AP122" si="10">SUM(C117:AI117)</f>
        <v>21</v>
      </c>
      <c r="AQ117" s="83"/>
      <c r="AR117" s="83"/>
    </row>
    <row r="118" spans="1:44" ht="20.100000000000001" hidden="1" customHeight="1">
      <c r="A118" s="303"/>
      <c r="B118" s="23" t="s">
        <v>90</v>
      </c>
      <c r="C118" s="56"/>
      <c r="D118" s="56"/>
      <c r="E118" s="56"/>
      <c r="F118" s="56"/>
      <c r="G118" s="56"/>
      <c r="H118" s="56"/>
      <c r="I118" s="7">
        <f>I49</f>
        <v>7</v>
      </c>
      <c r="J118" s="7">
        <f>J49</f>
        <v>2</v>
      </c>
      <c r="K118" s="56"/>
      <c r="L118" s="56"/>
      <c r="M118" s="56"/>
      <c r="N118" s="56"/>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22" t="str">
        <f t="shared" si="9"/>
        <v>WAR03.T1-AFF</v>
      </c>
      <c r="AP118" s="20">
        <f t="shared" si="10"/>
        <v>9</v>
      </c>
      <c r="AQ118" s="83"/>
      <c r="AR118" s="83"/>
    </row>
    <row r="119" spans="1:44" ht="20.100000000000001" hidden="1" customHeight="1">
      <c r="A119" s="303"/>
      <c r="B119" s="23" t="s">
        <v>92</v>
      </c>
      <c r="C119" s="56"/>
      <c r="D119" s="56"/>
      <c r="E119" s="56"/>
      <c r="F119" s="56"/>
      <c r="G119" s="57"/>
      <c r="H119" s="57"/>
      <c r="I119" s="57"/>
      <c r="J119" s="57"/>
      <c r="K119" s="57"/>
      <c r="L119" s="57"/>
      <c r="M119" s="57"/>
      <c r="N119" s="57"/>
      <c r="O119" s="56"/>
      <c r="P119" s="56"/>
      <c r="Q119" s="57"/>
      <c r="R119" s="57"/>
      <c r="S119" s="57"/>
      <c r="T119" s="57"/>
      <c r="U119" s="57"/>
      <c r="V119" s="57"/>
      <c r="W119" s="56"/>
      <c r="X119" s="56"/>
      <c r="Y119" s="56"/>
      <c r="Z119" s="56"/>
      <c r="AA119" s="56"/>
      <c r="AB119" s="56"/>
      <c r="AC119" s="57"/>
      <c r="AD119" s="57"/>
      <c r="AE119" s="9">
        <f>AE49</f>
        <v>23</v>
      </c>
      <c r="AF119" s="9">
        <f>AF49</f>
        <v>6</v>
      </c>
      <c r="AG119" s="57"/>
      <c r="AH119" s="57"/>
      <c r="AI119" s="57"/>
      <c r="AJ119" s="57"/>
      <c r="AK119" s="57"/>
      <c r="AL119" s="57"/>
      <c r="AM119" s="57"/>
      <c r="AN119" s="57"/>
      <c r="AO119" s="22" t="str">
        <f t="shared" si="9"/>
        <v>WAR11.T1-AFF</v>
      </c>
      <c r="AP119" s="20">
        <f t="shared" si="10"/>
        <v>29</v>
      </c>
      <c r="AQ119" s="83"/>
      <c r="AR119" s="83"/>
    </row>
    <row r="120" spans="1:44" ht="20.100000000000001" hidden="1" customHeight="1">
      <c r="A120" s="303"/>
      <c r="B120" s="23" t="s">
        <v>89</v>
      </c>
      <c r="C120" s="56"/>
      <c r="D120" s="56"/>
      <c r="E120" s="7">
        <f>E49</f>
        <v>16</v>
      </c>
      <c r="F120" s="7">
        <f>F49</f>
        <v>3</v>
      </c>
      <c r="G120" s="57"/>
      <c r="H120" s="57"/>
      <c r="I120" s="57"/>
      <c r="J120" s="57"/>
      <c r="K120" s="57"/>
      <c r="L120" s="57"/>
      <c r="M120" s="57"/>
      <c r="N120" s="57"/>
      <c r="O120" s="57"/>
      <c r="P120" s="57"/>
      <c r="Q120" s="56"/>
      <c r="R120" s="56"/>
      <c r="S120" s="56"/>
      <c r="T120" s="56"/>
      <c r="U120" s="57"/>
      <c r="V120" s="57"/>
      <c r="W120" s="57"/>
      <c r="X120" s="57"/>
      <c r="Y120" s="57"/>
      <c r="Z120" s="57"/>
      <c r="AA120" s="57"/>
      <c r="AB120" s="57"/>
      <c r="AC120" s="57"/>
      <c r="AD120" s="57"/>
      <c r="AE120" s="57"/>
      <c r="AF120" s="57"/>
      <c r="AG120" s="57"/>
      <c r="AH120" s="57"/>
      <c r="AI120" s="57"/>
      <c r="AJ120" s="57"/>
      <c r="AK120" s="57"/>
      <c r="AL120" s="57"/>
      <c r="AM120" s="57"/>
      <c r="AN120" s="57"/>
      <c r="AO120" s="22" t="str">
        <f t="shared" si="9"/>
        <v>WAR01.T1-MR</v>
      </c>
      <c r="AP120" s="20">
        <f t="shared" si="10"/>
        <v>19</v>
      </c>
      <c r="AQ120" s="83"/>
      <c r="AR120" s="83"/>
    </row>
    <row r="121" spans="1:44" ht="20.100000000000001" hidden="1" customHeight="1">
      <c r="A121" s="303"/>
      <c r="B121" s="23" t="s">
        <v>91</v>
      </c>
      <c r="C121" s="56"/>
      <c r="D121" s="56"/>
      <c r="E121" s="56"/>
      <c r="F121" s="56"/>
      <c r="G121" s="57"/>
      <c r="H121" s="57"/>
      <c r="I121" s="57"/>
      <c r="J121" s="57"/>
      <c r="K121" s="9">
        <f>K49</f>
        <v>25</v>
      </c>
      <c r="L121" s="9">
        <f>L49</f>
        <v>6</v>
      </c>
      <c r="M121" s="57"/>
      <c r="N121" s="57"/>
      <c r="O121" s="57"/>
      <c r="P121" s="57"/>
      <c r="Q121" s="57"/>
      <c r="R121" s="57"/>
      <c r="S121" s="57"/>
      <c r="T121" s="57"/>
      <c r="U121" s="56"/>
      <c r="V121" s="56"/>
      <c r="W121" s="57"/>
      <c r="X121" s="57"/>
      <c r="Y121" s="57"/>
      <c r="Z121" s="57"/>
      <c r="AA121" s="57"/>
      <c r="AB121" s="57"/>
      <c r="AC121" s="57"/>
      <c r="AD121" s="57"/>
      <c r="AE121" s="56"/>
      <c r="AF121" s="56"/>
      <c r="AG121" s="56"/>
      <c r="AH121" s="56"/>
      <c r="AI121" s="57"/>
      <c r="AJ121" s="57"/>
      <c r="AK121" s="57"/>
      <c r="AL121" s="57"/>
      <c r="AM121" s="57"/>
      <c r="AN121" s="57"/>
      <c r="AO121" s="22" t="str">
        <f t="shared" si="9"/>
        <v>WAR03.T1-MR</v>
      </c>
      <c r="AP121" s="20">
        <f t="shared" si="10"/>
        <v>31</v>
      </c>
      <c r="AQ121" s="83"/>
      <c r="AR121" s="83"/>
    </row>
    <row r="122" spans="1:44" ht="20.100000000000001" hidden="1" customHeight="1">
      <c r="A122" s="303"/>
      <c r="B122" s="23" t="s">
        <v>93</v>
      </c>
      <c r="C122" s="56"/>
      <c r="D122" s="56"/>
      <c r="E122" s="56"/>
      <c r="F122" s="56"/>
      <c r="G122" s="57"/>
      <c r="H122" s="57"/>
      <c r="I122" s="56"/>
      <c r="J122" s="56"/>
      <c r="K122" s="56"/>
      <c r="L122" s="56"/>
      <c r="M122" s="57"/>
      <c r="N122" s="57"/>
      <c r="O122" s="57"/>
      <c r="P122" s="57"/>
      <c r="Q122" s="57"/>
      <c r="R122" s="57"/>
      <c r="S122" s="57"/>
      <c r="T122" s="57"/>
      <c r="U122" s="57"/>
      <c r="V122" s="57"/>
      <c r="W122" s="57"/>
      <c r="X122" s="57"/>
      <c r="Y122" s="57"/>
      <c r="Z122" s="57"/>
      <c r="AA122" s="56"/>
      <c r="AB122" s="56"/>
      <c r="AC122" s="56"/>
      <c r="AD122" s="56"/>
      <c r="AE122" s="57"/>
      <c r="AF122" s="57"/>
      <c r="AG122" s="9">
        <f>AG49</f>
        <v>9</v>
      </c>
      <c r="AH122" s="9">
        <f>AH49</f>
        <v>2</v>
      </c>
      <c r="AI122" s="56"/>
      <c r="AJ122" s="56"/>
      <c r="AK122" s="56"/>
      <c r="AL122" s="56"/>
      <c r="AM122" s="56"/>
      <c r="AN122" s="56"/>
      <c r="AO122" s="22" t="str">
        <f t="shared" si="9"/>
        <v>WAR11.T1-MR</v>
      </c>
      <c r="AP122" s="20">
        <f t="shared" si="10"/>
        <v>11</v>
      </c>
      <c r="AQ122" s="83"/>
      <c r="AR122" s="83"/>
    </row>
    <row r="123" spans="1:44" ht="20.100000000000001" hidden="1" customHeight="1">
      <c r="A123" s="303"/>
      <c r="B123" s="5"/>
      <c r="C123" s="56"/>
      <c r="D123" s="56"/>
      <c r="E123" s="56"/>
      <c r="F123" s="56"/>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19" t="s">
        <v>107</v>
      </c>
      <c r="AP123" s="20">
        <f>SUM(AP117:AP122)</f>
        <v>120</v>
      </c>
      <c r="AQ123" s="83"/>
      <c r="AR123" s="83"/>
    </row>
    <row r="124" spans="1:44" ht="19.899999999999999" hidden="1" customHeight="1">
      <c r="A124" s="304"/>
      <c r="B124" s="5"/>
      <c r="C124" s="56"/>
      <c r="D124" s="56"/>
      <c r="E124" s="56"/>
      <c r="F124" s="56"/>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19"/>
      <c r="AP124" s="18"/>
      <c r="AQ124" s="83"/>
      <c r="AR124" s="83"/>
    </row>
    <row r="125" spans="1:44" ht="20.100000000000001" hidden="1" customHeight="1">
      <c r="A125" s="28"/>
      <c r="B125" s="27" t="s">
        <v>94</v>
      </c>
      <c r="C125" s="25"/>
      <c r="D125" s="25"/>
      <c r="E125" s="25"/>
      <c r="F125" s="25"/>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5"/>
      <c r="AP125" s="24"/>
      <c r="AQ125" s="79"/>
      <c r="AR125" s="79"/>
    </row>
    <row r="126" spans="1:44" ht="20.100000000000001" hidden="1" customHeight="1">
      <c r="A126" s="302" t="s">
        <v>108</v>
      </c>
      <c r="B126" s="5"/>
      <c r="C126" s="56"/>
      <c r="D126" s="56"/>
      <c r="E126" s="56"/>
      <c r="F126" s="56"/>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21"/>
      <c r="AP126" s="5"/>
      <c r="AQ126" s="35"/>
      <c r="AR126" s="35"/>
    </row>
    <row r="127" spans="1:44" ht="20.100000000000001" hidden="1" customHeight="1">
      <c r="A127" s="303"/>
      <c r="B127" s="23"/>
      <c r="C127" s="56"/>
      <c r="D127" s="56"/>
      <c r="E127" s="56"/>
      <c r="F127" s="56"/>
      <c r="G127" s="56"/>
      <c r="H127" s="56"/>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22"/>
      <c r="AP127" s="20"/>
      <c r="AQ127" s="83"/>
      <c r="AR127" s="83"/>
    </row>
    <row r="128" spans="1:44" ht="20.100000000000001" hidden="1" customHeight="1">
      <c r="A128" s="303"/>
      <c r="B128" s="23" t="s">
        <v>109</v>
      </c>
      <c r="C128" s="56"/>
      <c r="D128" s="56"/>
      <c r="E128" s="7">
        <f>E49*3</f>
        <v>48</v>
      </c>
      <c r="F128" s="7">
        <f>F49*3</f>
        <v>9</v>
      </c>
      <c r="G128" s="7">
        <f>G49*3</f>
        <v>99</v>
      </c>
      <c r="H128" s="7">
        <f>H49*3</f>
        <v>21</v>
      </c>
      <c r="I128" s="56"/>
      <c r="J128" s="56"/>
      <c r="K128" s="7">
        <f t="shared" ref="K128:P128" si="11">K49*3</f>
        <v>75</v>
      </c>
      <c r="L128" s="7">
        <f t="shared" si="11"/>
        <v>18</v>
      </c>
      <c r="M128" s="7">
        <f t="shared" si="11"/>
        <v>96</v>
      </c>
      <c r="N128" s="7">
        <f t="shared" si="11"/>
        <v>24</v>
      </c>
      <c r="O128" s="9">
        <f t="shared" si="11"/>
        <v>96</v>
      </c>
      <c r="P128" s="9">
        <f t="shared" si="11"/>
        <v>24</v>
      </c>
      <c r="Q128" s="57"/>
      <c r="R128" s="57"/>
      <c r="S128" s="9">
        <f>S49*3</f>
        <v>27</v>
      </c>
      <c r="T128" s="9">
        <f>T49*3</f>
        <v>6</v>
      </c>
      <c r="U128" s="9">
        <f>U49*3</f>
        <v>96</v>
      </c>
      <c r="V128" s="9">
        <f>V49*3</f>
        <v>24</v>
      </c>
      <c r="W128" s="57"/>
      <c r="X128" s="57"/>
      <c r="Y128" s="9">
        <f t="shared" ref="Y128:AD128" si="12">Y49*3</f>
        <v>48</v>
      </c>
      <c r="Z128" s="9">
        <f t="shared" si="12"/>
        <v>12</v>
      </c>
      <c r="AA128" s="9">
        <f t="shared" si="12"/>
        <v>96</v>
      </c>
      <c r="AB128" s="9">
        <f t="shared" si="12"/>
        <v>24</v>
      </c>
      <c r="AC128" s="9">
        <f t="shared" si="12"/>
        <v>96</v>
      </c>
      <c r="AD128" s="9">
        <f t="shared" si="12"/>
        <v>24</v>
      </c>
      <c r="AE128" s="57"/>
      <c r="AF128" s="57"/>
      <c r="AG128" s="9">
        <f>AG49*3</f>
        <v>27</v>
      </c>
      <c r="AH128" s="9">
        <f>AH49*3</f>
        <v>6</v>
      </c>
      <c r="AI128" s="9">
        <f>AI49*3</f>
        <v>96</v>
      </c>
      <c r="AJ128" s="9">
        <f>AJ49*3</f>
        <v>24</v>
      </c>
      <c r="AK128" s="57"/>
      <c r="AL128" s="57"/>
      <c r="AM128" s="9">
        <f>AM49*5</f>
        <v>85</v>
      </c>
      <c r="AN128" s="9">
        <f>AN49*5</f>
        <v>20</v>
      </c>
      <c r="AO128" s="22" t="str">
        <f>B128</f>
        <v>T1-K18-HANDLE</v>
      </c>
      <c r="AP128" s="20">
        <f>SUM(C128:AN128)</f>
        <v>1221</v>
      </c>
      <c r="AQ128" s="83"/>
      <c r="AR128" s="83"/>
    </row>
    <row r="129" spans="1:44" ht="20.100000000000001" hidden="1" customHeight="1">
      <c r="A129" s="303"/>
      <c r="B129" s="23"/>
      <c r="C129" s="56"/>
      <c r="D129" s="56"/>
      <c r="E129" s="56"/>
      <c r="F129" s="56"/>
      <c r="G129" s="56"/>
      <c r="H129" s="56"/>
      <c r="I129" s="56"/>
      <c r="J129" s="56"/>
      <c r="K129" s="56"/>
      <c r="L129" s="56"/>
      <c r="M129" s="56"/>
      <c r="N129" s="57"/>
      <c r="O129" s="57"/>
      <c r="P129" s="57"/>
      <c r="Q129" s="57"/>
      <c r="R129" s="57"/>
      <c r="S129" s="57"/>
      <c r="T129" s="57"/>
      <c r="U129" s="57"/>
      <c r="V129" s="57"/>
      <c r="W129" s="56"/>
      <c r="X129" s="56"/>
      <c r="Y129" s="56"/>
      <c r="Z129" s="56"/>
      <c r="AA129" s="56"/>
      <c r="AB129" s="56"/>
      <c r="AC129" s="56"/>
      <c r="AD129" s="56"/>
      <c r="AE129" s="57"/>
      <c r="AF129" s="57"/>
      <c r="AG129" s="57"/>
      <c r="AH129" s="57"/>
      <c r="AI129" s="57"/>
      <c r="AJ129" s="57"/>
      <c r="AK129" s="57"/>
      <c r="AL129" s="57"/>
      <c r="AM129" s="57"/>
      <c r="AN129" s="57"/>
      <c r="AO129" s="22"/>
      <c r="AP129" s="20"/>
      <c r="AQ129" s="83"/>
      <c r="AR129" s="83"/>
    </row>
    <row r="130" spans="1:44" ht="20.100000000000001" hidden="1" customHeight="1">
      <c r="A130" s="303"/>
      <c r="B130" s="23" t="s">
        <v>110</v>
      </c>
      <c r="C130" s="7">
        <f>C49*4</f>
        <v>64</v>
      </c>
      <c r="D130" s="7">
        <f>D49*4</f>
        <v>20</v>
      </c>
      <c r="E130" s="7">
        <f>E49*4</f>
        <v>64</v>
      </c>
      <c r="F130" s="7">
        <f>F49*4</f>
        <v>12</v>
      </c>
      <c r="G130" s="57"/>
      <c r="H130" s="57"/>
      <c r="I130" s="9">
        <f>I49*2</f>
        <v>14</v>
      </c>
      <c r="J130" s="9">
        <f>J49*2</f>
        <v>4</v>
      </c>
      <c r="K130" s="9">
        <f>K49*2</f>
        <v>50</v>
      </c>
      <c r="L130" s="9">
        <f>L49*2</f>
        <v>12</v>
      </c>
      <c r="M130" s="57"/>
      <c r="N130" s="57"/>
      <c r="O130" s="57"/>
      <c r="P130" s="57"/>
      <c r="Q130" s="57"/>
      <c r="R130" s="57"/>
      <c r="S130" s="57"/>
      <c r="T130" s="57"/>
      <c r="U130" s="57"/>
      <c r="V130" s="57"/>
      <c r="W130" s="56"/>
      <c r="X130" s="56"/>
      <c r="Y130" s="56"/>
      <c r="Z130" s="56"/>
      <c r="AA130" s="56"/>
      <c r="AB130" s="56"/>
      <c r="AC130" s="57"/>
      <c r="AD130" s="57"/>
      <c r="AE130" s="9">
        <f>AE49*2</f>
        <v>46</v>
      </c>
      <c r="AF130" s="9">
        <f>AF49*2</f>
        <v>12</v>
      </c>
      <c r="AG130" s="9">
        <f>AG49*2</f>
        <v>18</v>
      </c>
      <c r="AH130" s="9">
        <f>AH49*2</f>
        <v>4</v>
      </c>
      <c r="AI130" s="57"/>
      <c r="AJ130" s="57"/>
      <c r="AK130" s="57"/>
      <c r="AL130" s="57"/>
      <c r="AM130" s="57"/>
      <c r="AN130" s="57"/>
      <c r="AO130" s="22" t="str">
        <f>B130</f>
        <v>T1-W18-HANDLE</v>
      </c>
      <c r="AP130" s="20">
        <f>SUM(C130:AN130)</f>
        <v>320</v>
      </c>
      <c r="AQ130" s="83"/>
      <c r="AR130" s="83"/>
    </row>
    <row r="131" spans="1:44" ht="20.100000000000001" hidden="1" customHeight="1">
      <c r="A131" s="303"/>
      <c r="B131" s="23" t="s">
        <v>111</v>
      </c>
      <c r="C131" s="7">
        <f>C49*2</f>
        <v>32</v>
      </c>
      <c r="D131" s="7">
        <f>D49*2</f>
        <v>10</v>
      </c>
      <c r="E131" s="7">
        <f>E49*4</f>
        <v>64</v>
      </c>
      <c r="F131" s="7">
        <f>F49*4</f>
        <v>12</v>
      </c>
      <c r="G131" s="9">
        <f>G49*4</f>
        <v>132</v>
      </c>
      <c r="H131" s="9">
        <f>H49*4</f>
        <v>28</v>
      </c>
      <c r="I131" s="9">
        <f>I49*6</f>
        <v>42</v>
      </c>
      <c r="J131" s="9">
        <f>J49*6</f>
        <v>12</v>
      </c>
      <c r="K131" s="9">
        <f>K49*7</f>
        <v>175</v>
      </c>
      <c r="L131" s="9">
        <f>L49*7</f>
        <v>42</v>
      </c>
      <c r="M131" s="9">
        <f>M49*4</f>
        <v>128</v>
      </c>
      <c r="N131" s="9">
        <f>N49*4</f>
        <v>32</v>
      </c>
      <c r="O131" s="9">
        <f>O49*4</f>
        <v>128</v>
      </c>
      <c r="P131" s="9">
        <f>P49*4</f>
        <v>32</v>
      </c>
      <c r="Q131" s="9">
        <f>Q49*2</f>
        <v>46</v>
      </c>
      <c r="R131" s="9">
        <f>R49*2</f>
        <v>12</v>
      </c>
      <c r="S131" s="9">
        <f>S49*4</f>
        <v>36</v>
      </c>
      <c r="T131" s="9">
        <f>T49*4</f>
        <v>8</v>
      </c>
      <c r="U131" s="7">
        <f>U49*4</f>
        <v>128</v>
      </c>
      <c r="V131" s="7">
        <f>V49*4</f>
        <v>32</v>
      </c>
      <c r="W131" s="9">
        <f>W49*2</f>
        <v>32</v>
      </c>
      <c r="X131" s="9">
        <f>X49*2</f>
        <v>8</v>
      </c>
      <c r="Y131" s="9">
        <f>Y49*4</f>
        <v>64</v>
      </c>
      <c r="Z131" s="9">
        <f>Z49*4</f>
        <v>16</v>
      </c>
      <c r="AA131" s="9">
        <f>AA49*7</f>
        <v>224</v>
      </c>
      <c r="AB131" s="9">
        <f>AB49*7</f>
        <v>56</v>
      </c>
      <c r="AC131" s="9">
        <f>AC49*4</f>
        <v>128</v>
      </c>
      <c r="AD131" s="9">
        <f>AD49*4</f>
        <v>32</v>
      </c>
      <c r="AE131" s="7">
        <f>AE49*2</f>
        <v>46</v>
      </c>
      <c r="AF131" s="7">
        <f>AF49*2</f>
        <v>12</v>
      </c>
      <c r="AG131" s="7">
        <f>AG49*4</f>
        <v>36</v>
      </c>
      <c r="AH131" s="7">
        <f>AH49*4</f>
        <v>8</v>
      </c>
      <c r="AI131" s="9">
        <f>AI49*4</f>
        <v>128</v>
      </c>
      <c r="AJ131" s="9">
        <f>AJ49*4</f>
        <v>32</v>
      </c>
      <c r="AK131" s="9">
        <f>AK49*6</f>
        <v>90</v>
      </c>
      <c r="AL131" s="9">
        <f>AL49*6</f>
        <v>24</v>
      </c>
      <c r="AM131" s="9">
        <f>AM49*7</f>
        <v>119</v>
      </c>
      <c r="AN131" s="9">
        <f>AN49*7</f>
        <v>28</v>
      </c>
      <c r="AO131" s="22" t="str">
        <f>B131</f>
        <v>T1-V-HANDLE</v>
      </c>
      <c r="AP131" s="20">
        <f>SUM(C131:AN131)</f>
        <v>2214</v>
      </c>
      <c r="AQ131" s="83"/>
      <c r="AR131" s="83"/>
    </row>
    <row r="132" spans="1:44" ht="19.899999999999999" hidden="1" customHeight="1">
      <c r="A132" s="303"/>
      <c r="B132" s="23"/>
      <c r="C132" s="56"/>
      <c r="D132" s="56"/>
      <c r="E132" s="56"/>
      <c r="F132" s="56"/>
      <c r="G132" s="57"/>
      <c r="H132" s="57"/>
      <c r="I132" s="56"/>
      <c r="J132" s="56"/>
      <c r="K132" s="56"/>
      <c r="L132" s="56"/>
      <c r="M132" s="57"/>
      <c r="N132" s="57"/>
      <c r="O132" s="57"/>
      <c r="P132" s="57"/>
      <c r="Q132" s="57"/>
      <c r="R132" s="57"/>
      <c r="S132" s="57"/>
      <c r="T132" s="57"/>
      <c r="U132" s="57"/>
      <c r="V132" s="57"/>
      <c r="W132" s="57"/>
      <c r="X132" s="57"/>
      <c r="Y132" s="57"/>
      <c r="Z132" s="57"/>
      <c r="AA132" s="56"/>
      <c r="AB132" s="56"/>
      <c r="AC132" s="56"/>
      <c r="AD132" s="56"/>
      <c r="AE132" s="57"/>
      <c r="AF132" s="57"/>
      <c r="AG132" s="57"/>
      <c r="AH132" s="57"/>
      <c r="AI132" s="56"/>
      <c r="AJ132" s="56"/>
      <c r="AK132" s="56"/>
      <c r="AL132" s="56"/>
      <c r="AM132" s="56"/>
      <c r="AN132" s="56"/>
      <c r="AO132" s="19" t="s">
        <v>112</v>
      </c>
      <c r="AP132" s="20">
        <f>SUM(AP126:AP131)</f>
        <v>3755</v>
      </c>
      <c r="AQ132" s="83"/>
      <c r="AR132" s="83"/>
    </row>
    <row r="133" spans="1:44" ht="20.100000000000001" hidden="1" customHeight="1">
      <c r="A133" s="304"/>
      <c r="B133" s="5"/>
      <c r="C133" s="56"/>
      <c r="D133" s="56"/>
      <c r="E133" s="56"/>
      <c r="F133" s="56"/>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19"/>
      <c r="AP133" s="18"/>
      <c r="AQ133" s="83"/>
      <c r="AR133" s="83"/>
    </row>
    <row r="134" spans="1:44" ht="15" hidden="1">
      <c r="A134" s="17"/>
      <c r="B134" s="15"/>
      <c r="C134" s="15"/>
      <c r="D134" s="15"/>
      <c r="E134" s="15"/>
      <c r="F134" s="15"/>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5"/>
      <c r="AP134" s="14"/>
      <c r="AQ134" s="35"/>
      <c r="AR134" s="35"/>
    </row>
    <row r="135" spans="1:44" ht="15" hidden="1">
      <c r="A135" s="13"/>
      <c r="B135" s="11"/>
      <c r="C135" s="11"/>
      <c r="D135" s="11"/>
      <c r="E135" s="11"/>
      <c r="F135" s="11"/>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1"/>
      <c r="AP135" s="10"/>
      <c r="AQ135" s="35"/>
      <c r="AR135" s="35"/>
    </row>
    <row r="138" spans="1:44" ht="25.15" customHeight="1">
      <c r="AO138" s="8" t="s">
        <v>113</v>
      </c>
      <c r="AP138" s="67">
        <f>SUM(E49:H49,K49:P49,S49:V49,Y49:AD49,AG49:AJ49,AM49:AN49)</f>
        <v>393</v>
      </c>
    </row>
    <row r="139" spans="1:44" ht="25.15" customHeight="1">
      <c r="AO139" s="8" t="s">
        <v>114</v>
      </c>
      <c r="AP139" s="67">
        <f>SUM(C49:D49,I49:J49,Q49:R49,W49:X49,AE49:AF49,AK49:AL49)</f>
        <v>127</v>
      </c>
    </row>
  </sheetData>
  <mergeCells count="70">
    <mergeCell ref="AR2:AR4"/>
    <mergeCell ref="AK2:AL2"/>
    <mergeCell ref="AM2:AN2"/>
    <mergeCell ref="AO2:AP2"/>
    <mergeCell ref="AO3:AP3"/>
    <mergeCell ref="AI3:AJ3"/>
    <mergeCell ref="W3:Z3"/>
    <mergeCell ref="AK3:AN3"/>
    <mergeCell ref="AQ2:AQ4"/>
    <mergeCell ref="AE2:AF2"/>
    <mergeCell ref="AG2:AH2"/>
    <mergeCell ref="B5:B44"/>
    <mergeCell ref="U3:V3"/>
    <mergeCell ref="Q3:T3"/>
    <mergeCell ref="A50:B50"/>
    <mergeCell ref="A49:B49"/>
    <mergeCell ref="O3:P3"/>
    <mergeCell ref="A51:B51"/>
    <mergeCell ref="AI2:AJ2"/>
    <mergeCell ref="A126:A133"/>
    <mergeCell ref="W2:X2"/>
    <mergeCell ref="AE3:AH3"/>
    <mergeCell ref="M52:N52"/>
    <mergeCell ref="O52:P52"/>
    <mergeCell ref="Q52:R52"/>
    <mergeCell ref="S52:T52"/>
    <mergeCell ref="O2:P2"/>
    <mergeCell ref="U2:V2"/>
    <mergeCell ref="Y2:Z2"/>
    <mergeCell ref="AA2:AB2"/>
    <mergeCell ref="AC2:AD2"/>
    <mergeCell ref="I3:L3"/>
    <mergeCell ref="W52:X52"/>
    <mergeCell ref="U52:V52"/>
    <mergeCell ref="M3:N3"/>
    <mergeCell ref="AA3:AB3"/>
    <mergeCell ref="AC3:AD3"/>
    <mergeCell ref="I2:J2"/>
    <mergeCell ref="K2:L2"/>
    <mergeCell ref="M2:N2"/>
    <mergeCell ref="Q2:R2"/>
    <mergeCell ref="S2:T2"/>
    <mergeCell ref="AM52:AN52"/>
    <mergeCell ref="Y52:Z52"/>
    <mergeCell ref="AA52:AB52"/>
    <mergeCell ref="AC52:AD52"/>
    <mergeCell ref="AE52:AF52"/>
    <mergeCell ref="AK52:AL52"/>
    <mergeCell ref="AG52:AH52"/>
    <mergeCell ref="AI52:AJ52"/>
    <mergeCell ref="C2:D2"/>
    <mergeCell ref="E2:F2"/>
    <mergeCell ref="G2:H2"/>
    <mergeCell ref="G52:H52"/>
    <mergeCell ref="C3:F3"/>
    <mergeCell ref="G3:H3"/>
    <mergeCell ref="C52:D52"/>
    <mergeCell ref="E52:F52"/>
    <mergeCell ref="A116:A124"/>
    <mergeCell ref="A105:A114"/>
    <mergeCell ref="A63:A103"/>
    <mergeCell ref="I52:J52"/>
    <mergeCell ref="K52:L52"/>
    <mergeCell ref="A56:B56"/>
    <mergeCell ref="A59:B59"/>
    <mergeCell ref="A60:B60"/>
    <mergeCell ref="A55:B55"/>
    <mergeCell ref="A52:B52"/>
    <mergeCell ref="A57:B57"/>
    <mergeCell ref="A54:B54"/>
  </mergeCells>
  <pageMargins left="0.25" right="0.25" top="0.75" bottom="0.75" header="0.3" footer="0.3"/>
  <pageSetup paperSize="17" scale="52" fitToWidth="2" orientation="landscape" r:id="rId1"/>
  <rowBreaks count="2" manualBreakCount="2">
    <brk id="60" max="43" man="1"/>
    <brk id="103" max="43" man="1"/>
  </rowBreaks>
  <colBreaks count="1" manualBreakCount="1">
    <brk id="22" max="133" man="1"/>
  </colBreaks>
  <ignoredErrors>
    <ignoredError sqref="AQ4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AB185-BF62-4CDA-9336-5691E4C35A93}">
  <sheetPr>
    <tabColor theme="5" tint="0.59999389629810485"/>
    <pageSetUpPr fitToPage="1"/>
  </sheetPr>
  <dimension ref="A1:T53"/>
  <sheetViews>
    <sheetView topLeftCell="A15" zoomScale="60" zoomScaleNormal="60" zoomScaleSheetLayoutView="48" workbookViewId="0">
      <selection activeCell="B2" sqref="B2:F3"/>
    </sheetView>
  </sheetViews>
  <sheetFormatPr defaultColWidth="8.75" defaultRowHeight="13.9"/>
  <cols>
    <col min="1" max="1" width="4.375" style="2" customWidth="1"/>
    <col min="2" max="2" width="16.75" style="2" customWidth="1"/>
    <col min="3" max="3" width="16.875" style="2" customWidth="1"/>
    <col min="4" max="4" width="16.375" style="4" customWidth="1"/>
    <col min="5" max="5" width="16.875" style="4" customWidth="1"/>
    <col min="6" max="7" width="16.375" style="4" customWidth="1"/>
    <col min="8" max="8" width="16.875" style="4" customWidth="1"/>
    <col min="9" max="9" width="16.375" style="4" customWidth="1"/>
    <col min="10" max="10" width="16.875" style="4" customWidth="1"/>
    <col min="11" max="12" width="16.375" style="4" customWidth="1"/>
    <col min="13" max="13" width="16.875" style="4" customWidth="1"/>
    <col min="14" max="14" width="16.375" style="4" customWidth="1"/>
    <col min="15" max="15" width="16.875" style="4" customWidth="1"/>
    <col min="16" max="16" width="12.75" style="2" customWidth="1"/>
    <col min="17" max="17" width="7.375" style="2" customWidth="1"/>
    <col min="18" max="18" width="16.375" style="2" customWidth="1"/>
    <col min="19" max="16384" width="8.75" style="2"/>
  </cols>
  <sheetData>
    <row r="1" spans="1:18" ht="71.25" customHeight="1">
      <c r="A1" s="61" t="s">
        <v>115</v>
      </c>
      <c r="B1" s="61"/>
      <c r="C1" s="61"/>
      <c r="D1" s="61"/>
      <c r="E1" s="1"/>
      <c r="F1" s="1"/>
      <c r="G1" s="1"/>
      <c r="H1" s="1"/>
      <c r="I1" s="1"/>
      <c r="J1" s="1"/>
      <c r="K1" s="1"/>
      <c r="L1" s="1"/>
      <c r="M1" s="1"/>
      <c r="N1" s="1"/>
      <c r="O1" s="1"/>
      <c r="P1" s="1"/>
      <c r="Q1" s="62"/>
    </row>
    <row r="2" spans="1:18" ht="17.45">
      <c r="A2" s="48" t="s">
        <v>1</v>
      </c>
      <c r="B2" s="21" t="s">
        <v>2</v>
      </c>
      <c r="C2" s="72" t="s">
        <v>116</v>
      </c>
      <c r="D2" s="72" t="s">
        <v>117</v>
      </c>
      <c r="E2" s="72" t="s">
        <v>118</v>
      </c>
      <c r="F2" s="72" t="s">
        <v>119</v>
      </c>
      <c r="G2" s="72" t="s">
        <v>120</v>
      </c>
      <c r="H2" s="72" t="s">
        <v>121</v>
      </c>
      <c r="I2" s="74" t="s">
        <v>122</v>
      </c>
      <c r="J2" s="74" t="s">
        <v>123</v>
      </c>
      <c r="K2" s="74" t="s">
        <v>124</v>
      </c>
      <c r="L2" s="74" t="s">
        <v>125</v>
      </c>
      <c r="M2" s="74" t="s">
        <v>126</v>
      </c>
      <c r="N2" s="74" t="s">
        <v>127</v>
      </c>
      <c r="O2" s="74" t="s">
        <v>128</v>
      </c>
      <c r="P2" s="331" t="s">
        <v>22</v>
      </c>
      <c r="Q2" s="332"/>
      <c r="R2" s="74" t="s">
        <v>129</v>
      </c>
    </row>
    <row r="3" spans="1:18" ht="17.45">
      <c r="A3" s="47"/>
      <c r="B3" s="46"/>
      <c r="C3" s="73" t="s">
        <v>25</v>
      </c>
      <c r="D3" s="75" t="s">
        <v>26</v>
      </c>
      <c r="E3" s="75" t="s">
        <v>27</v>
      </c>
      <c r="F3" s="75" t="s">
        <v>25</v>
      </c>
      <c r="G3" s="75" t="s">
        <v>25</v>
      </c>
      <c r="H3" s="75" t="s">
        <v>26</v>
      </c>
      <c r="I3" s="75" t="s">
        <v>26</v>
      </c>
      <c r="J3" s="75" t="s">
        <v>25</v>
      </c>
      <c r="K3" s="75" t="s">
        <v>27</v>
      </c>
      <c r="L3" s="75" t="s">
        <v>26</v>
      </c>
      <c r="M3" s="75" t="s">
        <v>26</v>
      </c>
      <c r="N3" s="75" t="s">
        <v>26</v>
      </c>
      <c r="O3" s="75" t="s">
        <v>27</v>
      </c>
      <c r="P3" s="333"/>
      <c r="Q3" s="334"/>
      <c r="R3" s="76" t="s">
        <v>130</v>
      </c>
    </row>
    <row r="4" spans="1:18" ht="20.45">
      <c r="A4" s="45"/>
      <c r="B4" s="44"/>
      <c r="C4" s="5"/>
      <c r="D4" s="9"/>
      <c r="E4" s="9"/>
      <c r="F4" s="9"/>
      <c r="G4" s="9"/>
      <c r="H4" s="9"/>
      <c r="I4" s="9"/>
      <c r="J4" s="9"/>
      <c r="K4" s="9"/>
      <c r="L4" s="9"/>
      <c r="M4" s="9"/>
      <c r="N4" s="9"/>
      <c r="O4" s="9"/>
      <c r="P4" s="7" t="s">
        <v>28</v>
      </c>
      <c r="Q4" s="63"/>
    </row>
    <row r="5" spans="1:18" ht="20.100000000000001" customHeight="1">
      <c r="A5" s="5">
        <f t="shared" ref="A5:A33" si="0">A6+1</f>
        <v>43</v>
      </c>
      <c r="B5" s="324" t="s">
        <v>131</v>
      </c>
      <c r="C5" s="6" t="s">
        <v>132</v>
      </c>
      <c r="D5" s="6" t="s">
        <v>133</v>
      </c>
      <c r="E5" s="51" t="s">
        <v>134</v>
      </c>
      <c r="F5" s="51" t="s">
        <v>134</v>
      </c>
      <c r="G5" s="6" t="s">
        <v>135</v>
      </c>
      <c r="H5" s="6" t="s">
        <v>136</v>
      </c>
      <c r="I5" s="51" t="s">
        <v>137</v>
      </c>
      <c r="J5" s="6" t="s">
        <v>138</v>
      </c>
      <c r="K5" s="6" t="s">
        <v>139</v>
      </c>
      <c r="L5" s="6" t="s">
        <v>140</v>
      </c>
      <c r="M5" s="6" t="s">
        <v>141</v>
      </c>
      <c r="N5" s="6" t="s">
        <v>142</v>
      </c>
      <c r="O5" s="6" t="s">
        <v>143</v>
      </c>
      <c r="P5" s="43">
        <f t="shared" ref="P5:P46" si="1">A5</f>
        <v>43</v>
      </c>
      <c r="Q5" s="64">
        <f t="shared" ref="Q5:Q46" si="2">COUNTA(C5:O5)</f>
        <v>13</v>
      </c>
      <c r="R5" s="77">
        <f t="shared" ref="R5:R41" si="3">R6+7</f>
        <v>46160</v>
      </c>
    </row>
    <row r="6" spans="1:18" ht="20.100000000000001" customHeight="1">
      <c r="A6" s="5">
        <f t="shared" si="0"/>
        <v>42</v>
      </c>
      <c r="B6" s="325"/>
      <c r="C6" s="51" t="s">
        <v>144</v>
      </c>
      <c r="D6" s="6" t="s">
        <v>145</v>
      </c>
      <c r="E6" s="6" t="s">
        <v>146</v>
      </c>
      <c r="F6" s="6" t="s">
        <v>147</v>
      </c>
      <c r="G6" s="6" t="s">
        <v>148</v>
      </c>
      <c r="H6" s="51" t="s">
        <v>149</v>
      </c>
      <c r="I6" s="6" t="s">
        <v>150</v>
      </c>
      <c r="J6" s="6" t="s">
        <v>151</v>
      </c>
      <c r="K6" s="6" t="s">
        <v>152</v>
      </c>
      <c r="L6" s="6" t="s">
        <v>153</v>
      </c>
      <c r="M6" s="6" t="s">
        <v>154</v>
      </c>
      <c r="N6" s="6" t="s">
        <v>155</v>
      </c>
      <c r="O6" s="6" t="s">
        <v>156</v>
      </c>
      <c r="P6" s="43">
        <f t="shared" si="1"/>
        <v>42</v>
      </c>
      <c r="Q6" s="64">
        <f t="shared" si="2"/>
        <v>13</v>
      </c>
      <c r="R6" s="77">
        <f t="shared" si="3"/>
        <v>46153</v>
      </c>
    </row>
    <row r="7" spans="1:18" ht="20.100000000000001" customHeight="1">
      <c r="A7" s="5">
        <f t="shared" si="0"/>
        <v>41</v>
      </c>
      <c r="B7" s="325"/>
      <c r="C7" s="6" t="s">
        <v>157</v>
      </c>
      <c r="D7" s="51" t="s">
        <v>158</v>
      </c>
      <c r="E7" s="6" t="s">
        <v>159</v>
      </c>
      <c r="F7" s="6" t="s">
        <v>160</v>
      </c>
      <c r="G7" s="6" t="s">
        <v>161</v>
      </c>
      <c r="H7" s="6" t="s">
        <v>162</v>
      </c>
      <c r="I7" s="6" t="s">
        <v>163</v>
      </c>
      <c r="J7" s="51" t="s">
        <v>164</v>
      </c>
      <c r="K7" s="51" t="s">
        <v>165</v>
      </c>
      <c r="L7" s="6" t="s">
        <v>166</v>
      </c>
      <c r="M7" s="51" t="s">
        <v>167</v>
      </c>
      <c r="N7" s="6" t="s">
        <v>168</v>
      </c>
      <c r="O7" s="6" t="s">
        <v>169</v>
      </c>
      <c r="P7" s="43">
        <f t="shared" si="1"/>
        <v>41</v>
      </c>
      <c r="Q7" s="64">
        <f t="shared" si="2"/>
        <v>13</v>
      </c>
      <c r="R7" s="77">
        <f t="shared" si="3"/>
        <v>46146</v>
      </c>
    </row>
    <row r="8" spans="1:18" ht="20.100000000000001" customHeight="1">
      <c r="A8" s="5">
        <f t="shared" si="0"/>
        <v>40</v>
      </c>
      <c r="B8" s="325"/>
      <c r="C8" s="6" t="s">
        <v>170</v>
      </c>
      <c r="D8" s="6" t="s">
        <v>171</v>
      </c>
      <c r="E8" s="6" t="s">
        <v>172</v>
      </c>
      <c r="F8" s="6" t="s">
        <v>173</v>
      </c>
      <c r="G8" s="6" t="s">
        <v>174</v>
      </c>
      <c r="H8" s="6" t="s">
        <v>175</v>
      </c>
      <c r="I8" s="6" t="s">
        <v>176</v>
      </c>
      <c r="J8" s="6" t="s">
        <v>177</v>
      </c>
      <c r="K8" s="6" t="s">
        <v>178</v>
      </c>
      <c r="L8" s="6" t="s">
        <v>179</v>
      </c>
      <c r="M8" s="6" t="s">
        <v>180</v>
      </c>
      <c r="N8" s="6" t="s">
        <v>181</v>
      </c>
      <c r="O8" s="6" t="s">
        <v>182</v>
      </c>
      <c r="P8" s="43">
        <f t="shared" si="1"/>
        <v>40</v>
      </c>
      <c r="Q8" s="64">
        <f t="shared" si="2"/>
        <v>13</v>
      </c>
      <c r="R8" s="77">
        <f t="shared" si="3"/>
        <v>46139</v>
      </c>
    </row>
    <row r="9" spans="1:18" ht="20.100000000000001" customHeight="1">
      <c r="A9" s="5">
        <f t="shared" si="0"/>
        <v>39</v>
      </c>
      <c r="B9" s="325"/>
      <c r="C9" s="6" t="s">
        <v>183</v>
      </c>
      <c r="D9" s="51" t="s">
        <v>184</v>
      </c>
      <c r="E9" s="51" t="s">
        <v>185</v>
      </c>
      <c r="F9" s="6" t="s">
        <v>186</v>
      </c>
      <c r="G9" s="51" t="s">
        <v>187</v>
      </c>
      <c r="H9" s="6" t="s">
        <v>188</v>
      </c>
      <c r="I9" s="6" t="s">
        <v>189</v>
      </c>
      <c r="J9" s="6" t="s">
        <v>190</v>
      </c>
      <c r="K9" s="6" t="s">
        <v>191</v>
      </c>
      <c r="L9" s="6" t="s">
        <v>192</v>
      </c>
      <c r="M9" s="6" t="s">
        <v>193</v>
      </c>
      <c r="N9" s="51" t="s">
        <v>194</v>
      </c>
      <c r="O9" s="6" t="s">
        <v>195</v>
      </c>
      <c r="P9" s="43">
        <f t="shared" si="1"/>
        <v>39</v>
      </c>
      <c r="Q9" s="64">
        <f t="shared" si="2"/>
        <v>13</v>
      </c>
      <c r="R9" s="77">
        <f t="shared" si="3"/>
        <v>46132</v>
      </c>
    </row>
    <row r="10" spans="1:18" ht="20.100000000000001" customHeight="1">
      <c r="A10" s="5">
        <f t="shared" si="0"/>
        <v>38</v>
      </c>
      <c r="B10" s="325"/>
      <c r="C10" s="6" t="s">
        <v>196</v>
      </c>
      <c r="D10" s="6" t="s">
        <v>197</v>
      </c>
      <c r="E10" s="6" t="s">
        <v>198</v>
      </c>
      <c r="F10" s="51" t="s">
        <v>199</v>
      </c>
      <c r="G10" s="6" t="s">
        <v>200</v>
      </c>
      <c r="H10" s="51" t="s">
        <v>201</v>
      </c>
      <c r="I10" s="6" t="s">
        <v>202</v>
      </c>
      <c r="J10" s="6" t="s">
        <v>203</v>
      </c>
      <c r="K10" s="51" t="s">
        <v>204</v>
      </c>
      <c r="L10" s="6" t="s">
        <v>205</v>
      </c>
      <c r="M10" s="6" t="s">
        <v>206</v>
      </c>
      <c r="N10" s="6" t="s">
        <v>207</v>
      </c>
      <c r="O10" s="6" t="s">
        <v>208</v>
      </c>
      <c r="P10" s="43">
        <f t="shared" si="1"/>
        <v>38</v>
      </c>
      <c r="Q10" s="64">
        <f t="shared" si="2"/>
        <v>13</v>
      </c>
      <c r="R10" s="77">
        <f t="shared" si="3"/>
        <v>46125</v>
      </c>
    </row>
    <row r="11" spans="1:18" ht="20.100000000000001" customHeight="1">
      <c r="A11" s="5">
        <f t="shared" si="0"/>
        <v>37</v>
      </c>
      <c r="B11" s="325"/>
      <c r="C11" s="6" t="s">
        <v>209</v>
      </c>
      <c r="D11" s="6" t="s">
        <v>210</v>
      </c>
      <c r="E11" s="6" t="s">
        <v>211</v>
      </c>
      <c r="F11" s="6" t="s">
        <v>212</v>
      </c>
      <c r="G11" s="6" t="s">
        <v>213</v>
      </c>
      <c r="H11" s="6" t="s">
        <v>214</v>
      </c>
      <c r="I11" s="6" t="s">
        <v>215</v>
      </c>
      <c r="J11" s="6" t="s">
        <v>215</v>
      </c>
      <c r="K11" s="6" t="s">
        <v>216</v>
      </c>
      <c r="L11" s="6" t="s">
        <v>217</v>
      </c>
      <c r="M11" s="51" t="s">
        <v>218</v>
      </c>
      <c r="N11" s="6" t="s">
        <v>219</v>
      </c>
      <c r="O11" s="51" t="s">
        <v>220</v>
      </c>
      <c r="P11" s="43">
        <f t="shared" si="1"/>
        <v>37</v>
      </c>
      <c r="Q11" s="64">
        <f t="shared" si="2"/>
        <v>13</v>
      </c>
      <c r="R11" s="77">
        <f t="shared" si="3"/>
        <v>46118</v>
      </c>
    </row>
    <row r="12" spans="1:18" ht="20.100000000000001" customHeight="1">
      <c r="A12" s="5">
        <f t="shared" si="0"/>
        <v>36</v>
      </c>
      <c r="B12" s="325"/>
      <c r="C12" s="6" t="s">
        <v>221</v>
      </c>
      <c r="D12" s="6" t="s">
        <v>222</v>
      </c>
      <c r="E12" s="51" t="s">
        <v>223</v>
      </c>
      <c r="F12" s="6" t="s">
        <v>224</v>
      </c>
      <c r="G12" s="6" t="s">
        <v>225</v>
      </c>
      <c r="H12" s="6" t="s">
        <v>226</v>
      </c>
      <c r="I12" s="6" t="s">
        <v>227</v>
      </c>
      <c r="J12" s="51" t="s">
        <v>228</v>
      </c>
      <c r="K12" s="6" t="s">
        <v>229</v>
      </c>
      <c r="L12" s="51" t="s">
        <v>230</v>
      </c>
      <c r="M12" s="6" t="s">
        <v>231</v>
      </c>
      <c r="N12" s="6" t="s">
        <v>232</v>
      </c>
      <c r="O12" s="6" t="s">
        <v>233</v>
      </c>
      <c r="P12" s="43">
        <f t="shared" si="1"/>
        <v>36</v>
      </c>
      <c r="Q12" s="64">
        <f t="shared" si="2"/>
        <v>13</v>
      </c>
      <c r="R12" s="77">
        <f t="shared" si="3"/>
        <v>46111</v>
      </c>
    </row>
    <row r="13" spans="1:18" ht="20.100000000000001" customHeight="1">
      <c r="A13" s="5">
        <f t="shared" si="0"/>
        <v>35</v>
      </c>
      <c r="B13" s="325"/>
      <c r="C13" s="6" t="s">
        <v>234</v>
      </c>
      <c r="D13" s="51" t="s">
        <v>235</v>
      </c>
      <c r="E13" s="6" t="s">
        <v>236</v>
      </c>
      <c r="F13" s="6" t="s">
        <v>237</v>
      </c>
      <c r="G13" s="6" t="s">
        <v>238</v>
      </c>
      <c r="H13" s="6" t="s">
        <v>239</v>
      </c>
      <c r="I13" s="51" t="s">
        <v>240</v>
      </c>
      <c r="J13" s="6" t="s">
        <v>241</v>
      </c>
      <c r="K13" s="6" t="s">
        <v>242</v>
      </c>
      <c r="L13" s="6" t="s">
        <v>243</v>
      </c>
      <c r="M13" s="6" t="s">
        <v>244</v>
      </c>
      <c r="N13" s="6" t="s">
        <v>245</v>
      </c>
      <c r="O13" s="6" t="s">
        <v>246</v>
      </c>
      <c r="P13" s="43">
        <f t="shared" si="1"/>
        <v>35</v>
      </c>
      <c r="Q13" s="64">
        <f t="shared" si="2"/>
        <v>13</v>
      </c>
      <c r="R13" s="77">
        <f t="shared" si="3"/>
        <v>46104</v>
      </c>
    </row>
    <row r="14" spans="1:18" ht="20.100000000000001" customHeight="1">
      <c r="A14" s="5">
        <f t="shared" si="0"/>
        <v>34</v>
      </c>
      <c r="B14" s="325"/>
      <c r="C14" s="6" t="s">
        <v>247</v>
      </c>
      <c r="D14" s="6" t="s">
        <v>248</v>
      </c>
      <c r="E14" s="6" t="s">
        <v>249</v>
      </c>
      <c r="F14" s="6" t="s">
        <v>250</v>
      </c>
      <c r="G14" s="6" t="s">
        <v>251</v>
      </c>
      <c r="H14" s="6" t="s">
        <v>252</v>
      </c>
      <c r="I14" s="6" t="s">
        <v>253</v>
      </c>
      <c r="J14" s="6" t="s">
        <v>254</v>
      </c>
      <c r="K14" s="6" t="s">
        <v>255</v>
      </c>
      <c r="L14" s="6" t="s">
        <v>256</v>
      </c>
      <c r="M14" s="6" t="s">
        <v>257</v>
      </c>
      <c r="N14" s="51" t="s">
        <v>258</v>
      </c>
      <c r="O14" s="51" t="s">
        <v>259</v>
      </c>
      <c r="P14" s="43">
        <f t="shared" si="1"/>
        <v>34</v>
      </c>
      <c r="Q14" s="64">
        <f t="shared" si="2"/>
        <v>13</v>
      </c>
      <c r="R14" s="77">
        <f t="shared" si="3"/>
        <v>46097</v>
      </c>
    </row>
    <row r="15" spans="1:18" ht="20.100000000000001" customHeight="1">
      <c r="A15" s="5">
        <f t="shared" si="0"/>
        <v>33</v>
      </c>
      <c r="B15" s="325"/>
      <c r="C15" s="6" t="s">
        <v>260</v>
      </c>
      <c r="D15" s="6" t="s">
        <v>261</v>
      </c>
      <c r="E15" s="6" t="s">
        <v>262</v>
      </c>
      <c r="F15" s="51" t="s">
        <v>263</v>
      </c>
      <c r="G15" s="6" t="s">
        <v>264</v>
      </c>
      <c r="H15" s="6" t="s">
        <v>265</v>
      </c>
      <c r="I15" s="6" t="s">
        <v>266</v>
      </c>
      <c r="J15" s="6" t="s">
        <v>267</v>
      </c>
      <c r="K15" s="51" t="s">
        <v>268</v>
      </c>
      <c r="L15" s="51" t="s">
        <v>269</v>
      </c>
      <c r="M15" s="6" t="s">
        <v>270</v>
      </c>
      <c r="N15" s="6" t="s">
        <v>271</v>
      </c>
      <c r="O15" s="6" t="s">
        <v>272</v>
      </c>
      <c r="P15" s="43">
        <f t="shared" si="1"/>
        <v>33</v>
      </c>
      <c r="Q15" s="64">
        <f t="shared" si="2"/>
        <v>13</v>
      </c>
      <c r="R15" s="77">
        <f t="shared" si="3"/>
        <v>46090</v>
      </c>
    </row>
    <row r="16" spans="1:18" ht="20.100000000000001" customHeight="1">
      <c r="A16" s="5">
        <f t="shared" si="0"/>
        <v>32</v>
      </c>
      <c r="B16" s="325"/>
      <c r="C16" s="6" t="s">
        <v>273</v>
      </c>
      <c r="D16" s="6" t="s">
        <v>274</v>
      </c>
      <c r="E16" s="51" t="s">
        <v>275</v>
      </c>
      <c r="F16" s="6" t="s">
        <v>276</v>
      </c>
      <c r="G16" s="51" t="s">
        <v>277</v>
      </c>
      <c r="H16" s="6" t="s">
        <v>278</v>
      </c>
      <c r="I16" s="6" t="s">
        <v>279</v>
      </c>
      <c r="J16" s="6" t="s">
        <v>280</v>
      </c>
      <c r="K16" s="6" t="s">
        <v>281</v>
      </c>
      <c r="L16" s="6" t="s">
        <v>282</v>
      </c>
      <c r="M16" s="51" t="s">
        <v>283</v>
      </c>
      <c r="N16" s="6" t="s">
        <v>284</v>
      </c>
      <c r="O16" s="6" t="s">
        <v>285</v>
      </c>
      <c r="P16" s="43">
        <f t="shared" si="1"/>
        <v>32</v>
      </c>
      <c r="Q16" s="64">
        <f t="shared" si="2"/>
        <v>13</v>
      </c>
      <c r="R16" s="77">
        <f t="shared" si="3"/>
        <v>46083</v>
      </c>
    </row>
    <row r="17" spans="1:18" ht="20.100000000000001" customHeight="1">
      <c r="A17" s="5">
        <f t="shared" si="0"/>
        <v>31</v>
      </c>
      <c r="B17" s="325"/>
      <c r="C17" s="6" t="s">
        <v>286</v>
      </c>
      <c r="D17" s="6" t="s">
        <v>287</v>
      </c>
      <c r="E17" s="6" t="s">
        <v>288</v>
      </c>
      <c r="F17" s="6" t="s">
        <v>289</v>
      </c>
      <c r="G17" s="6" t="s">
        <v>290</v>
      </c>
      <c r="H17" s="6" t="s">
        <v>291</v>
      </c>
      <c r="I17" s="51" t="s">
        <v>292</v>
      </c>
      <c r="J17" s="51" t="s">
        <v>293</v>
      </c>
      <c r="K17" s="6" t="s">
        <v>294</v>
      </c>
      <c r="L17" s="6" t="s">
        <v>295</v>
      </c>
      <c r="M17" s="6" t="s">
        <v>296</v>
      </c>
      <c r="N17" s="6" t="s">
        <v>297</v>
      </c>
      <c r="O17" s="6" t="s">
        <v>298</v>
      </c>
      <c r="P17" s="43">
        <f t="shared" si="1"/>
        <v>31</v>
      </c>
      <c r="Q17" s="64">
        <f t="shared" si="2"/>
        <v>13</v>
      </c>
      <c r="R17" s="77">
        <f t="shared" si="3"/>
        <v>46076</v>
      </c>
    </row>
    <row r="18" spans="1:18" ht="20.100000000000001" customHeight="1">
      <c r="A18" s="5">
        <f t="shared" si="0"/>
        <v>30</v>
      </c>
      <c r="B18" s="325"/>
      <c r="C18" s="6" t="s">
        <v>299</v>
      </c>
      <c r="D18" s="6" t="s">
        <v>300</v>
      </c>
      <c r="E18" s="6" t="s">
        <v>301</v>
      </c>
      <c r="F18" s="6" t="s">
        <v>302</v>
      </c>
      <c r="G18" s="6" t="s">
        <v>303</v>
      </c>
      <c r="H18" s="51" t="s">
        <v>304</v>
      </c>
      <c r="I18" s="6" t="s">
        <v>305</v>
      </c>
      <c r="J18" s="6" t="s">
        <v>306</v>
      </c>
      <c r="K18" s="6" t="s">
        <v>307</v>
      </c>
      <c r="L18" s="6" t="s">
        <v>308</v>
      </c>
      <c r="M18" s="6" t="s">
        <v>309</v>
      </c>
      <c r="N18" s="6" t="s">
        <v>310</v>
      </c>
      <c r="O18" s="6" t="s">
        <v>311</v>
      </c>
      <c r="P18" s="43">
        <f t="shared" si="1"/>
        <v>30</v>
      </c>
      <c r="Q18" s="64">
        <f t="shared" si="2"/>
        <v>13</v>
      </c>
      <c r="R18" s="77">
        <f t="shared" si="3"/>
        <v>46069</v>
      </c>
    </row>
    <row r="19" spans="1:18" ht="20.100000000000001" customHeight="1">
      <c r="A19" s="5">
        <f t="shared" si="0"/>
        <v>29</v>
      </c>
      <c r="B19" s="325"/>
      <c r="C19" s="6" t="s">
        <v>312</v>
      </c>
      <c r="D19" s="6" t="s">
        <v>313</v>
      </c>
      <c r="E19" s="6" t="s">
        <v>314</v>
      </c>
      <c r="F19" s="6" t="s">
        <v>315</v>
      </c>
      <c r="G19" s="51" t="s">
        <v>316</v>
      </c>
      <c r="H19" s="6" t="s">
        <v>317</v>
      </c>
      <c r="I19" s="6" t="s">
        <v>318</v>
      </c>
      <c r="J19" s="6" t="s">
        <v>319</v>
      </c>
      <c r="K19" s="51" t="s">
        <v>320</v>
      </c>
      <c r="L19" s="6" t="s">
        <v>321</v>
      </c>
      <c r="M19" s="6" t="s">
        <v>322</v>
      </c>
      <c r="N19" s="6" t="s">
        <v>323</v>
      </c>
      <c r="O19" s="6" t="s">
        <v>324</v>
      </c>
      <c r="P19" s="43">
        <f t="shared" si="1"/>
        <v>29</v>
      </c>
      <c r="Q19" s="64">
        <f t="shared" si="2"/>
        <v>13</v>
      </c>
      <c r="R19" s="77">
        <f t="shared" si="3"/>
        <v>46062</v>
      </c>
    </row>
    <row r="20" spans="1:18" ht="20.100000000000001" customHeight="1">
      <c r="A20" s="5">
        <f t="shared" si="0"/>
        <v>28</v>
      </c>
      <c r="B20" s="325"/>
      <c r="C20" s="6" t="s">
        <v>325</v>
      </c>
      <c r="D20" s="6" t="s">
        <v>326</v>
      </c>
      <c r="E20" s="6" t="s">
        <v>327</v>
      </c>
      <c r="F20" s="51" t="s">
        <v>328</v>
      </c>
      <c r="G20" s="6" t="s">
        <v>329</v>
      </c>
      <c r="H20" s="6" t="s">
        <v>330</v>
      </c>
      <c r="I20" s="6" t="s">
        <v>331</v>
      </c>
      <c r="J20" s="6" t="s">
        <v>332</v>
      </c>
      <c r="K20" s="6" t="s">
        <v>333</v>
      </c>
      <c r="L20" s="6" t="s">
        <v>334</v>
      </c>
      <c r="M20" s="51" t="s">
        <v>335</v>
      </c>
      <c r="N20" s="6" t="s">
        <v>336</v>
      </c>
      <c r="O20" s="51" t="s">
        <v>337</v>
      </c>
      <c r="P20" s="43">
        <f t="shared" si="1"/>
        <v>28</v>
      </c>
      <c r="Q20" s="64">
        <f t="shared" si="2"/>
        <v>13</v>
      </c>
      <c r="R20" s="77">
        <f t="shared" si="3"/>
        <v>46055</v>
      </c>
    </row>
    <row r="21" spans="1:18" ht="20.100000000000001" customHeight="1">
      <c r="A21" s="5">
        <f t="shared" si="0"/>
        <v>27</v>
      </c>
      <c r="B21" s="325"/>
      <c r="C21" s="51" t="s">
        <v>338</v>
      </c>
      <c r="D21" s="6" t="s">
        <v>339</v>
      </c>
      <c r="E21" s="6" t="s">
        <v>340</v>
      </c>
      <c r="F21" s="6" t="s">
        <v>341</v>
      </c>
      <c r="G21" s="6" t="s">
        <v>342</v>
      </c>
      <c r="H21" s="6" t="s">
        <v>343</v>
      </c>
      <c r="I21" s="6" t="s">
        <v>344</v>
      </c>
      <c r="J21" s="6" t="s">
        <v>345</v>
      </c>
      <c r="K21" s="6" t="s">
        <v>346</v>
      </c>
      <c r="L21" s="51" t="s">
        <v>347</v>
      </c>
      <c r="M21" s="6" t="s">
        <v>348</v>
      </c>
      <c r="N21" s="51" t="s">
        <v>349</v>
      </c>
      <c r="O21" s="6" t="s">
        <v>350</v>
      </c>
      <c r="P21" s="43">
        <f t="shared" si="1"/>
        <v>27</v>
      </c>
      <c r="Q21" s="64">
        <f t="shared" si="2"/>
        <v>13</v>
      </c>
      <c r="R21" s="77">
        <f t="shared" si="3"/>
        <v>46048</v>
      </c>
    </row>
    <row r="22" spans="1:18" ht="20.100000000000001" customHeight="1">
      <c r="A22" s="5">
        <f t="shared" si="0"/>
        <v>26</v>
      </c>
      <c r="B22" s="325"/>
      <c r="C22" s="6" t="s">
        <v>351</v>
      </c>
      <c r="D22" s="6" t="s">
        <v>352</v>
      </c>
      <c r="E22" s="6" t="s">
        <v>353</v>
      </c>
      <c r="F22" s="6" t="s">
        <v>354</v>
      </c>
      <c r="G22" s="6" t="s">
        <v>355</v>
      </c>
      <c r="H22" s="51" t="s">
        <v>356</v>
      </c>
      <c r="I22" s="6" t="s">
        <v>357</v>
      </c>
      <c r="J22" s="51" t="s">
        <v>358</v>
      </c>
      <c r="K22" s="6" t="s">
        <v>359</v>
      </c>
      <c r="L22" s="6" t="s">
        <v>360</v>
      </c>
      <c r="M22" s="6" t="s">
        <v>361</v>
      </c>
      <c r="N22" s="6" t="s">
        <v>362</v>
      </c>
      <c r="O22" s="6" t="s">
        <v>363</v>
      </c>
      <c r="P22" s="43">
        <f t="shared" si="1"/>
        <v>26</v>
      </c>
      <c r="Q22" s="64">
        <f t="shared" si="2"/>
        <v>13</v>
      </c>
      <c r="R22" s="77">
        <f t="shared" si="3"/>
        <v>46041</v>
      </c>
    </row>
    <row r="23" spans="1:18" ht="20.100000000000001" customHeight="1">
      <c r="A23" s="5">
        <f t="shared" si="0"/>
        <v>25</v>
      </c>
      <c r="B23" s="325"/>
      <c r="C23" s="51" t="s">
        <v>364</v>
      </c>
      <c r="D23" s="6" t="s">
        <v>365</v>
      </c>
      <c r="E23" s="6" t="s">
        <v>366</v>
      </c>
      <c r="F23" s="6" t="s">
        <v>367</v>
      </c>
      <c r="G23" s="6" t="s">
        <v>368</v>
      </c>
      <c r="H23" s="6" t="s">
        <v>369</v>
      </c>
      <c r="I23" s="51" t="s">
        <v>370</v>
      </c>
      <c r="J23" s="6" t="s">
        <v>371</v>
      </c>
      <c r="K23" s="51" t="s">
        <v>372</v>
      </c>
      <c r="L23" s="6" t="s">
        <v>373</v>
      </c>
      <c r="M23" s="6" t="s">
        <v>374</v>
      </c>
      <c r="N23" s="6" t="s">
        <v>375</v>
      </c>
      <c r="O23" s="6" t="s">
        <v>376</v>
      </c>
      <c r="P23" s="43">
        <f t="shared" si="1"/>
        <v>25</v>
      </c>
      <c r="Q23" s="64">
        <f t="shared" si="2"/>
        <v>13</v>
      </c>
      <c r="R23" s="77">
        <f t="shared" si="3"/>
        <v>46034</v>
      </c>
    </row>
    <row r="24" spans="1:18" ht="20.100000000000001" customHeight="1">
      <c r="A24" s="5">
        <f t="shared" si="0"/>
        <v>24</v>
      </c>
      <c r="B24" s="325"/>
      <c r="C24" s="6" t="s">
        <v>377</v>
      </c>
      <c r="D24" s="51" t="s">
        <v>378</v>
      </c>
      <c r="E24" s="6" t="s">
        <v>379</v>
      </c>
      <c r="F24" s="51" t="s">
        <v>380</v>
      </c>
      <c r="G24" s="6" t="s">
        <v>381</v>
      </c>
      <c r="H24" s="6" t="s">
        <v>382</v>
      </c>
      <c r="I24" s="6" t="s">
        <v>383</v>
      </c>
      <c r="J24" s="6" t="s">
        <v>384</v>
      </c>
      <c r="K24" s="6" t="s">
        <v>385</v>
      </c>
      <c r="L24" s="6" t="s">
        <v>386</v>
      </c>
      <c r="M24" s="51" t="s">
        <v>387</v>
      </c>
      <c r="N24" s="6" t="s">
        <v>388</v>
      </c>
      <c r="O24" s="51" t="s">
        <v>389</v>
      </c>
      <c r="P24" s="43">
        <f t="shared" si="1"/>
        <v>24</v>
      </c>
      <c r="Q24" s="64">
        <f t="shared" si="2"/>
        <v>13</v>
      </c>
      <c r="R24" s="77">
        <f t="shared" si="3"/>
        <v>46027</v>
      </c>
    </row>
    <row r="25" spans="1:18" ht="20.100000000000001" customHeight="1">
      <c r="A25" s="5">
        <f t="shared" si="0"/>
        <v>23</v>
      </c>
      <c r="B25" s="325"/>
      <c r="C25" s="6" t="s">
        <v>390</v>
      </c>
      <c r="D25" s="6" t="s">
        <v>391</v>
      </c>
      <c r="E25" s="6" t="s">
        <v>392</v>
      </c>
      <c r="F25" s="6" t="s">
        <v>393</v>
      </c>
      <c r="G25" s="6" t="s">
        <v>394</v>
      </c>
      <c r="H25" s="6" t="s">
        <v>395</v>
      </c>
      <c r="I25" s="6" t="s">
        <v>396</v>
      </c>
      <c r="J25" s="6" t="s">
        <v>397</v>
      </c>
      <c r="K25" s="6" t="s">
        <v>398</v>
      </c>
      <c r="L25" s="51" t="s">
        <v>399</v>
      </c>
      <c r="M25" s="6" t="s">
        <v>400</v>
      </c>
      <c r="N25" s="6" t="s">
        <v>401</v>
      </c>
      <c r="O25" s="6" t="s">
        <v>402</v>
      </c>
      <c r="P25" s="43">
        <f t="shared" si="1"/>
        <v>23</v>
      </c>
      <c r="Q25" s="64">
        <f t="shared" si="2"/>
        <v>13</v>
      </c>
      <c r="R25" s="77">
        <f t="shared" si="3"/>
        <v>46020</v>
      </c>
    </row>
    <row r="26" spans="1:18" ht="20.100000000000001" customHeight="1">
      <c r="A26" s="5">
        <f t="shared" si="0"/>
        <v>22</v>
      </c>
      <c r="B26" s="325"/>
      <c r="C26" s="6" t="s">
        <v>403</v>
      </c>
      <c r="D26" s="6" t="s">
        <v>404</v>
      </c>
      <c r="E26" s="51" t="s">
        <v>405</v>
      </c>
      <c r="F26" s="6" t="s">
        <v>406</v>
      </c>
      <c r="G26" s="6" t="s">
        <v>407</v>
      </c>
      <c r="H26" s="6" t="s">
        <v>408</v>
      </c>
      <c r="I26" s="6" t="s">
        <v>409</v>
      </c>
      <c r="J26" s="51" t="s">
        <v>410</v>
      </c>
      <c r="K26" s="6" t="s">
        <v>411</v>
      </c>
      <c r="L26" s="6" t="s">
        <v>412</v>
      </c>
      <c r="M26" s="6" t="s">
        <v>413</v>
      </c>
      <c r="N26" s="51" t="s">
        <v>414</v>
      </c>
      <c r="O26" s="6" t="s">
        <v>415</v>
      </c>
      <c r="P26" s="43">
        <f t="shared" si="1"/>
        <v>22</v>
      </c>
      <c r="Q26" s="64">
        <f t="shared" si="2"/>
        <v>13</v>
      </c>
      <c r="R26" s="77">
        <f t="shared" si="3"/>
        <v>46013</v>
      </c>
    </row>
    <row r="27" spans="1:18" ht="20.100000000000001" customHeight="1">
      <c r="A27" s="5">
        <f t="shared" si="0"/>
        <v>21</v>
      </c>
      <c r="B27" s="325"/>
      <c r="C27" s="51" t="s">
        <v>416</v>
      </c>
      <c r="D27" s="6" t="s">
        <v>417</v>
      </c>
      <c r="E27" s="6" t="s">
        <v>418</v>
      </c>
      <c r="F27" s="6" t="s">
        <v>419</v>
      </c>
      <c r="G27" s="6" t="s">
        <v>420</v>
      </c>
      <c r="H27" s="51" t="s">
        <v>421</v>
      </c>
      <c r="I27" s="6" t="s">
        <v>422</v>
      </c>
      <c r="J27" s="6" t="s">
        <v>423</v>
      </c>
      <c r="K27" s="51" t="s">
        <v>424</v>
      </c>
      <c r="L27" s="6" t="s">
        <v>425</v>
      </c>
      <c r="M27" s="6" t="s">
        <v>426</v>
      </c>
      <c r="N27" s="6" t="s">
        <v>427</v>
      </c>
      <c r="O27" s="6" t="s">
        <v>428</v>
      </c>
      <c r="P27" s="43">
        <f t="shared" si="1"/>
        <v>21</v>
      </c>
      <c r="Q27" s="64">
        <f t="shared" si="2"/>
        <v>13</v>
      </c>
      <c r="R27" s="77">
        <f t="shared" si="3"/>
        <v>46006</v>
      </c>
    </row>
    <row r="28" spans="1:18" ht="20.100000000000001" customHeight="1">
      <c r="A28" s="5">
        <f t="shared" si="0"/>
        <v>20</v>
      </c>
      <c r="B28" s="325"/>
      <c r="C28" s="6" t="s">
        <v>429</v>
      </c>
      <c r="D28" s="6" t="s">
        <v>430</v>
      </c>
      <c r="E28" s="6" t="s">
        <v>431</v>
      </c>
      <c r="F28" s="6" t="s">
        <v>432</v>
      </c>
      <c r="G28" s="51" t="s">
        <v>433</v>
      </c>
      <c r="H28" s="6" t="s">
        <v>434</v>
      </c>
      <c r="I28" s="6" t="s">
        <v>435</v>
      </c>
      <c r="J28" s="51" t="s">
        <v>436</v>
      </c>
      <c r="K28" s="6" t="s">
        <v>437</v>
      </c>
      <c r="L28" s="6" t="s">
        <v>438</v>
      </c>
      <c r="M28" s="51" t="s">
        <v>439</v>
      </c>
      <c r="N28" s="6" t="s">
        <v>440</v>
      </c>
      <c r="O28" s="6" t="s">
        <v>441</v>
      </c>
      <c r="P28" s="43">
        <f t="shared" si="1"/>
        <v>20</v>
      </c>
      <c r="Q28" s="64">
        <f t="shared" si="2"/>
        <v>13</v>
      </c>
      <c r="R28" s="77">
        <f>R30+7</f>
        <v>45999</v>
      </c>
    </row>
    <row r="29" spans="1:18" ht="20.100000000000001" customHeight="1">
      <c r="A29" s="5">
        <f t="shared" si="0"/>
        <v>19</v>
      </c>
      <c r="B29" s="325"/>
      <c r="C29" s="6" t="s">
        <v>442</v>
      </c>
      <c r="D29" s="6" t="s">
        <v>443</v>
      </c>
      <c r="E29" s="6" t="s">
        <v>444</v>
      </c>
      <c r="F29" s="6" t="s">
        <v>445</v>
      </c>
      <c r="G29" s="6" t="s">
        <v>446</v>
      </c>
      <c r="H29" s="6" t="s">
        <v>447</v>
      </c>
      <c r="I29" s="51" t="s">
        <v>448</v>
      </c>
      <c r="J29" s="6" t="s">
        <v>449</v>
      </c>
      <c r="K29" s="6" t="s">
        <v>450</v>
      </c>
      <c r="L29" s="51" t="s">
        <v>451</v>
      </c>
      <c r="M29" s="6" t="s">
        <v>452</v>
      </c>
      <c r="N29" s="51" t="s">
        <v>453</v>
      </c>
      <c r="O29" s="51" t="s">
        <v>454</v>
      </c>
      <c r="P29" s="43">
        <f t="shared" si="1"/>
        <v>19</v>
      </c>
      <c r="Q29" s="64">
        <f t="shared" si="2"/>
        <v>13</v>
      </c>
      <c r="R29" s="77" t="s">
        <v>455</v>
      </c>
    </row>
    <row r="30" spans="1:18" ht="20.100000000000001" customHeight="1">
      <c r="A30" s="5">
        <f t="shared" si="0"/>
        <v>18</v>
      </c>
      <c r="B30" s="325"/>
      <c r="C30" s="6" t="s">
        <v>456</v>
      </c>
      <c r="D30" s="6" t="s">
        <v>457</v>
      </c>
      <c r="E30" s="51" t="s">
        <v>458</v>
      </c>
      <c r="F30" s="6" t="s">
        <v>459</v>
      </c>
      <c r="G30" s="51" t="s">
        <v>460</v>
      </c>
      <c r="H30" s="51" t="s">
        <v>461</v>
      </c>
      <c r="I30" s="6" t="s">
        <v>462</v>
      </c>
      <c r="J30" s="6" t="s">
        <v>463</v>
      </c>
      <c r="K30" s="6" t="s">
        <v>464</v>
      </c>
      <c r="L30" s="6" t="s">
        <v>465</v>
      </c>
      <c r="M30" s="6" t="s">
        <v>466</v>
      </c>
      <c r="N30" s="6" t="s">
        <v>467</v>
      </c>
      <c r="O30" s="6" t="s">
        <v>468</v>
      </c>
      <c r="P30" s="43">
        <f t="shared" si="1"/>
        <v>18</v>
      </c>
      <c r="Q30" s="64">
        <f t="shared" si="2"/>
        <v>13</v>
      </c>
      <c r="R30" s="77">
        <f t="shared" si="3"/>
        <v>45992</v>
      </c>
    </row>
    <row r="31" spans="1:18" ht="20.100000000000001" customHeight="1">
      <c r="A31" s="5">
        <f t="shared" si="0"/>
        <v>17</v>
      </c>
      <c r="B31" s="325"/>
      <c r="C31" s="6" t="s">
        <v>469</v>
      </c>
      <c r="D31" s="51" t="s">
        <v>470</v>
      </c>
      <c r="E31" s="6" t="s">
        <v>471</v>
      </c>
      <c r="F31" s="51" t="s">
        <v>472</v>
      </c>
      <c r="G31" s="6" t="s">
        <v>473</v>
      </c>
      <c r="H31" s="6" t="s">
        <v>474</v>
      </c>
      <c r="I31" s="6" t="s">
        <v>475</v>
      </c>
      <c r="J31" s="6" t="s">
        <v>476</v>
      </c>
      <c r="K31" s="6" t="s">
        <v>477</v>
      </c>
      <c r="L31" s="6" t="s">
        <v>478</v>
      </c>
      <c r="M31" s="6" t="s">
        <v>479</v>
      </c>
      <c r="N31" s="6" t="s">
        <v>480</v>
      </c>
      <c r="O31" s="6" t="s">
        <v>481</v>
      </c>
      <c r="P31" s="43">
        <f t="shared" si="1"/>
        <v>17</v>
      </c>
      <c r="Q31" s="64">
        <f t="shared" si="2"/>
        <v>13</v>
      </c>
      <c r="R31" s="77">
        <f t="shared" si="3"/>
        <v>45985</v>
      </c>
    </row>
    <row r="32" spans="1:18" ht="20.100000000000001" customHeight="1">
      <c r="A32" s="5">
        <f t="shared" si="0"/>
        <v>16</v>
      </c>
      <c r="B32" s="325"/>
      <c r="C32" s="51" t="s">
        <v>482</v>
      </c>
      <c r="D32" s="6" t="s">
        <v>483</v>
      </c>
      <c r="E32" s="6" t="s">
        <v>484</v>
      </c>
      <c r="F32" s="6" t="s">
        <v>485</v>
      </c>
      <c r="G32" s="6" t="s">
        <v>486</v>
      </c>
      <c r="H32" s="6" t="s">
        <v>487</v>
      </c>
      <c r="I32" s="6" t="s">
        <v>488</v>
      </c>
      <c r="J32" s="6" t="s">
        <v>489</v>
      </c>
      <c r="K32" s="6" t="s">
        <v>490</v>
      </c>
      <c r="L32" s="51" t="s">
        <v>491</v>
      </c>
      <c r="M32" s="6" t="s">
        <v>492</v>
      </c>
      <c r="N32" s="6" t="s">
        <v>493</v>
      </c>
      <c r="O32" s="6" t="s">
        <v>494</v>
      </c>
      <c r="P32" s="43">
        <f t="shared" si="1"/>
        <v>16</v>
      </c>
      <c r="Q32" s="64">
        <f t="shared" si="2"/>
        <v>13</v>
      </c>
      <c r="R32" s="77">
        <f t="shared" si="3"/>
        <v>45978</v>
      </c>
    </row>
    <row r="33" spans="1:20" ht="20.100000000000001" customHeight="1">
      <c r="A33" s="5">
        <f t="shared" si="0"/>
        <v>15</v>
      </c>
      <c r="B33" s="325"/>
      <c r="C33" s="6" t="s">
        <v>495</v>
      </c>
      <c r="D33" s="51" t="s">
        <v>496</v>
      </c>
      <c r="E33" s="6" t="s">
        <v>497</v>
      </c>
      <c r="F33" s="6" t="s">
        <v>498</v>
      </c>
      <c r="G33" s="6" t="s">
        <v>499</v>
      </c>
      <c r="H33" s="6" t="s">
        <v>500</v>
      </c>
      <c r="I33" s="6" t="s">
        <v>501</v>
      </c>
      <c r="J33" s="6" t="s">
        <v>502</v>
      </c>
      <c r="K33" s="6" t="s">
        <v>503</v>
      </c>
      <c r="L33" s="6" t="s">
        <v>504</v>
      </c>
      <c r="M33" s="6" t="s">
        <v>505</v>
      </c>
      <c r="N33" s="6" t="s">
        <v>506</v>
      </c>
      <c r="O33" s="6" t="s">
        <v>507</v>
      </c>
      <c r="P33" s="43">
        <f t="shared" si="1"/>
        <v>15</v>
      </c>
      <c r="Q33" s="64">
        <f t="shared" si="2"/>
        <v>13</v>
      </c>
      <c r="R33" s="77">
        <f>R34+7</f>
        <v>45971</v>
      </c>
    </row>
    <row r="34" spans="1:20" ht="20.100000000000001" customHeight="1">
      <c r="A34" s="5">
        <v>14</v>
      </c>
      <c r="B34" s="325"/>
      <c r="C34" s="6" t="s">
        <v>508</v>
      </c>
      <c r="D34" s="6" t="s">
        <v>509</v>
      </c>
      <c r="E34" s="6" t="s">
        <v>510</v>
      </c>
      <c r="F34" s="6" t="s">
        <v>511</v>
      </c>
      <c r="G34" s="6" t="s">
        <v>512</v>
      </c>
      <c r="H34" s="6" t="s">
        <v>513</v>
      </c>
      <c r="I34" s="6" t="s">
        <v>514</v>
      </c>
      <c r="J34" s="51" t="s">
        <v>515</v>
      </c>
      <c r="K34" s="6" t="s">
        <v>516</v>
      </c>
      <c r="L34" s="6" t="s">
        <v>517</v>
      </c>
      <c r="M34" s="6" t="s">
        <v>518</v>
      </c>
      <c r="N34" s="51" t="s">
        <v>519</v>
      </c>
      <c r="O34" s="6" t="s">
        <v>520</v>
      </c>
      <c r="P34" s="43">
        <f t="shared" si="1"/>
        <v>14</v>
      </c>
      <c r="Q34" s="64">
        <f t="shared" si="2"/>
        <v>13</v>
      </c>
      <c r="R34" s="77">
        <f t="shared" si="3"/>
        <v>45964</v>
      </c>
    </row>
    <row r="35" spans="1:20" ht="20.100000000000001" customHeight="1">
      <c r="A35" s="5">
        <f t="shared" ref="A35:A45" si="4">A36+1</f>
        <v>12</v>
      </c>
      <c r="B35" s="325"/>
      <c r="C35" s="51" t="s">
        <v>521</v>
      </c>
      <c r="D35" s="6" t="s">
        <v>522</v>
      </c>
      <c r="E35" s="6" t="s">
        <v>523</v>
      </c>
      <c r="F35" s="6" t="s">
        <v>524</v>
      </c>
      <c r="G35" s="6" t="s">
        <v>525</v>
      </c>
      <c r="H35" s="6" t="s">
        <v>526</v>
      </c>
      <c r="I35" s="51" t="s">
        <v>527</v>
      </c>
      <c r="J35" s="6" t="s">
        <v>528</v>
      </c>
      <c r="K35" s="6" t="s">
        <v>529</v>
      </c>
      <c r="L35" s="6" t="s">
        <v>530</v>
      </c>
      <c r="M35" s="6" t="s">
        <v>531</v>
      </c>
      <c r="N35" s="6" t="s">
        <v>532</v>
      </c>
      <c r="O35" s="6" t="s">
        <v>533</v>
      </c>
      <c r="P35" s="43">
        <f t="shared" si="1"/>
        <v>12</v>
      </c>
      <c r="Q35" s="64">
        <f t="shared" si="2"/>
        <v>13</v>
      </c>
      <c r="R35" s="77">
        <f t="shared" si="3"/>
        <v>45957</v>
      </c>
    </row>
    <row r="36" spans="1:20" ht="20.100000000000001" customHeight="1">
      <c r="A36" s="5">
        <f t="shared" si="4"/>
        <v>11</v>
      </c>
      <c r="B36" s="325"/>
      <c r="C36" s="6" t="s">
        <v>534</v>
      </c>
      <c r="D36" s="6" t="s">
        <v>535</v>
      </c>
      <c r="E36" s="6" t="s">
        <v>536</v>
      </c>
      <c r="F36" s="6" t="s">
        <v>537</v>
      </c>
      <c r="G36" s="6" t="s">
        <v>538</v>
      </c>
      <c r="H36" s="51" t="s">
        <v>539</v>
      </c>
      <c r="I36" s="6" t="s">
        <v>540</v>
      </c>
      <c r="J36" s="6" t="s">
        <v>541</v>
      </c>
      <c r="K36" s="6" t="s">
        <v>542</v>
      </c>
      <c r="L36" s="6" t="s">
        <v>543</v>
      </c>
      <c r="M36" s="6" t="s">
        <v>544</v>
      </c>
      <c r="N36" s="6" t="s">
        <v>545</v>
      </c>
      <c r="O36" s="51" t="s">
        <v>546</v>
      </c>
      <c r="P36" s="43">
        <f t="shared" si="1"/>
        <v>11</v>
      </c>
      <c r="Q36" s="64">
        <f t="shared" si="2"/>
        <v>13</v>
      </c>
      <c r="R36" s="77">
        <f>R38+7</f>
        <v>45950</v>
      </c>
    </row>
    <row r="37" spans="1:20" ht="20.100000000000001" customHeight="1">
      <c r="A37" s="5">
        <f t="shared" si="4"/>
        <v>10</v>
      </c>
      <c r="B37" s="325"/>
      <c r="C37" s="6" t="s">
        <v>547</v>
      </c>
      <c r="D37" s="6" t="s">
        <v>548</v>
      </c>
      <c r="E37" s="51" t="s">
        <v>549</v>
      </c>
      <c r="F37" s="51" t="s">
        <v>550</v>
      </c>
      <c r="G37" s="51" t="s">
        <v>551</v>
      </c>
      <c r="H37" s="6" t="s">
        <v>552</v>
      </c>
      <c r="I37" s="6" t="s">
        <v>553</v>
      </c>
      <c r="J37" s="6" t="s">
        <v>554</v>
      </c>
      <c r="K37" s="6" t="s">
        <v>555</v>
      </c>
      <c r="L37" s="51" t="s">
        <v>556</v>
      </c>
      <c r="M37" s="6" t="s">
        <v>557</v>
      </c>
      <c r="N37" s="6" t="s">
        <v>558</v>
      </c>
      <c r="O37" s="6" t="s">
        <v>559</v>
      </c>
      <c r="P37" s="43">
        <f t="shared" si="1"/>
        <v>10</v>
      </c>
      <c r="Q37" s="64">
        <f t="shared" si="2"/>
        <v>13</v>
      </c>
      <c r="R37" s="77" t="s">
        <v>455</v>
      </c>
    </row>
    <row r="38" spans="1:20" ht="20.100000000000001" customHeight="1">
      <c r="A38" s="5">
        <f t="shared" si="4"/>
        <v>9</v>
      </c>
      <c r="B38" s="325"/>
      <c r="C38" s="51" t="s">
        <v>560</v>
      </c>
      <c r="D38" s="6" t="s">
        <v>561</v>
      </c>
      <c r="E38" s="6" t="s">
        <v>562</v>
      </c>
      <c r="F38" s="6" t="s">
        <v>563</v>
      </c>
      <c r="G38" s="6" t="s">
        <v>564</v>
      </c>
      <c r="H38" s="6" t="s">
        <v>565</v>
      </c>
      <c r="I38" s="51" t="s">
        <v>566</v>
      </c>
      <c r="J38" s="6" t="s">
        <v>567</v>
      </c>
      <c r="K38" s="6" t="s">
        <v>568</v>
      </c>
      <c r="L38" s="6" t="s">
        <v>569</v>
      </c>
      <c r="M38" s="6" t="s">
        <v>570</v>
      </c>
      <c r="N38" s="51" t="s">
        <v>571</v>
      </c>
      <c r="O38" s="6" t="s">
        <v>572</v>
      </c>
      <c r="P38" s="43">
        <f t="shared" si="1"/>
        <v>9</v>
      </c>
      <c r="Q38" s="64">
        <f t="shared" si="2"/>
        <v>13</v>
      </c>
      <c r="R38" s="77">
        <f t="shared" si="3"/>
        <v>45943</v>
      </c>
      <c r="T38" s="2" t="s">
        <v>573</v>
      </c>
    </row>
    <row r="39" spans="1:20" ht="20.100000000000001" customHeight="1">
      <c r="A39" s="5">
        <f t="shared" si="4"/>
        <v>8</v>
      </c>
      <c r="B39" s="325"/>
      <c r="C39" s="6" t="s">
        <v>574</v>
      </c>
      <c r="D39" s="6" t="s">
        <v>575</v>
      </c>
      <c r="E39" s="6" t="s">
        <v>576</v>
      </c>
      <c r="F39" s="6" t="s">
        <v>577</v>
      </c>
      <c r="G39" s="6" t="s">
        <v>578</v>
      </c>
      <c r="H39" s="6" t="s">
        <v>579</v>
      </c>
      <c r="I39" s="6" t="s">
        <v>580</v>
      </c>
      <c r="J39" s="6" t="s">
        <v>581</v>
      </c>
      <c r="K39" s="51" t="s">
        <v>582</v>
      </c>
      <c r="L39" s="51" t="s">
        <v>583</v>
      </c>
      <c r="M39" s="6" t="s">
        <v>584</v>
      </c>
      <c r="N39" s="6" t="s">
        <v>585</v>
      </c>
      <c r="O39" s="6" t="s">
        <v>586</v>
      </c>
      <c r="P39" s="43">
        <f t="shared" si="1"/>
        <v>8</v>
      </c>
      <c r="Q39" s="64">
        <f t="shared" si="2"/>
        <v>13</v>
      </c>
      <c r="R39" s="77">
        <f t="shared" si="3"/>
        <v>45936</v>
      </c>
    </row>
    <row r="40" spans="1:20" ht="20.100000000000001" customHeight="1">
      <c r="A40" s="5">
        <f t="shared" si="4"/>
        <v>7</v>
      </c>
      <c r="B40" s="325"/>
      <c r="C40" s="51" t="s">
        <v>587</v>
      </c>
      <c r="D40" s="6" t="s">
        <v>588</v>
      </c>
      <c r="E40" s="6" t="s">
        <v>589</v>
      </c>
      <c r="F40" s="6" t="s">
        <v>590</v>
      </c>
      <c r="G40" s="6" t="s">
        <v>591</v>
      </c>
      <c r="H40" s="6" t="s">
        <v>592</v>
      </c>
      <c r="I40" s="6" t="s">
        <v>593</v>
      </c>
      <c r="J40" s="6" t="s">
        <v>594</v>
      </c>
      <c r="K40" s="6" t="s">
        <v>595</v>
      </c>
      <c r="L40" s="6" t="s">
        <v>596</v>
      </c>
      <c r="M40" s="51" t="s">
        <v>597</v>
      </c>
      <c r="N40" s="6" t="s">
        <v>598</v>
      </c>
      <c r="O40" s="6" t="s">
        <v>599</v>
      </c>
      <c r="P40" s="43">
        <f t="shared" si="1"/>
        <v>7</v>
      </c>
      <c r="Q40" s="64">
        <f t="shared" si="2"/>
        <v>13</v>
      </c>
      <c r="R40" s="77">
        <f t="shared" si="3"/>
        <v>45929</v>
      </c>
    </row>
    <row r="41" spans="1:20" ht="20.100000000000001" customHeight="1">
      <c r="A41" s="5">
        <f t="shared" si="4"/>
        <v>6</v>
      </c>
      <c r="B41" s="325"/>
      <c r="C41" s="6" t="s">
        <v>600</v>
      </c>
      <c r="D41" s="6" t="s">
        <v>601</v>
      </c>
      <c r="E41" s="6" t="s">
        <v>602</v>
      </c>
      <c r="F41" s="51" t="s">
        <v>603</v>
      </c>
      <c r="G41" s="6" t="s">
        <v>604</v>
      </c>
      <c r="H41" s="6" t="s">
        <v>605</v>
      </c>
      <c r="I41" s="51" t="s">
        <v>606</v>
      </c>
      <c r="J41" s="6" t="s">
        <v>607</v>
      </c>
      <c r="K41" s="6" t="s">
        <v>608</v>
      </c>
      <c r="L41" s="6" t="s">
        <v>609</v>
      </c>
      <c r="M41" s="6" t="s">
        <v>610</v>
      </c>
      <c r="N41" s="6" t="s">
        <v>611</v>
      </c>
      <c r="O41" s="51" t="s">
        <v>612</v>
      </c>
      <c r="P41" s="43">
        <f t="shared" si="1"/>
        <v>6</v>
      </c>
      <c r="Q41" s="64">
        <f t="shared" si="2"/>
        <v>13</v>
      </c>
      <c r="R41" s="77">
        <f t="shared" si="3"/>
        <v>45922</v>
      </c>
      <c r="T41" s="2" t="s">
        <v>573</v>
      </c>
    </row>
    <row r="42" spans="1:20" ht="20.100000000000001" customHeight="1">
      <c r="A42" s="5">
        <f t="shared" si="4"/>
        <v>5</v>
      </c>
      <c r="B42" s="325"/>
      <c r="C42" s="6" t="s">
        <v>613</v>
      </c>
      <c r="D42" s="6" t="s">
        <v>614</v>
      </c>
      <c r="E42" s="51" t="s">
        <v>615</v>
      </c>
      <c r="F42" s="6" t="s">
        <v>616</v>
      </c>
      <c r="G42" s="51" t="s">
        <v>617</v>
      </c>
      <c r="H42" s="51" t="s">
        <v>618</v>
      </c>
      <c r="I42" s="6" t="s">
        <v>619</v>
      </c>
      <c r="J42" s="6" t="s">
        <v>620</v>
      </c>
      <c r="K42" s="51" t="s">
        <v>621</v>
      </c>
      <c r="L42" s="6" t="s">
        <v>622</v>
      </c>
      <c r="M42" s="6" t="s">
        <v>623</v>
      </c>
      <c r="N42" s="51" t="s">
        <v>624</v>
      </c>
      <c r="O42" s="6" t="s">
        <v>625</v>
      </c>
      <c r="P42" s="43">
        <f t="shared" si="1"/>
        <v>5</v>
      </c>
      <c r="Q42" s="64">
        <f t="shared" si="2"/>
        <v>13</v>
      </c>
      <c r="R42" s="77">
        <f>R43+7</f>
        <v>45915</v>
      </c>
    </row>
    <row r="43" spans="1:20" ht="20.100000000000001" customHeight="1">
      <c r="A43" s="5">
        <f t="shared" si="4"/>
        <v>4</v>
      </c>
      <c r="B43" s="325"/>
      <c r="C43" s="6" t="s">
        <v>626</v>
      </c>
      <c r="D43" s="51" t="s">
        <v>627</v>
      </c>
      <c r="E43" s="6" t="s">
        <v>628</v>
      </c>
      <c r="F43" s="6" t="s">
        <v>629</v>
      </c>
      <c r="G43" s="6" t="s">
        <v>630</v>
      </c>
      <c r="H43" s="6" t="s">
        <v>631</v>
      </c>
      <c r="I43" s="6" t="s">
        <v>632</v>
      </c>
      <c r="J43" s="51" t="s">
        <v>633</v>
      </c>
      <c r="K43" s="6" t="s">
        <v>634</v>
      </c>
      <c r="L43" s="6" t="s">
        <v>635</v>
      </c>
      <c r="M43" s="6" t="s">
        <v>636</v>
      </c>
      <c r="N43" s="6" t="s">
        <v>637</v>
      </c>
      <c r="O43" s="6" t="s">
        <v>638</v>
      </c>
      <c r="P43" s="43">
        <f t="shared" si="1"/>
        <v>4</v>
      </c>
      <c r="Q43" s="64">
        <f t="shared" si="2"/>
        <v>13</v>
      </c>
      <c r="R43" s="77">
        <f>R44+7</f>
        <v>45908</v>
      </c>
    </row>
    <row r="44" spans="1:20" ht="20.100000000000001" customHeight="1">
      <c r="A44" s="5">
        <f t="shared" si="4"/>
        <v>3</v>
      </c>
      <c r="B44" s="326"/>
      <c r="C44" s="6" t="s">
        <v>639</v>
      </c>
      <c r="D44" s="6" t="s">
        <v>640</v>
      </c>
      <c r="E44" s="6" t="s">
        <v>641</v>
      </c>
      <c r="F44" s="6" t="s">
        <v>642</v>
      </c>
      <c r="G44" s="51" t="s">
        <v>643</v>
      </c>
      <c r="H44" s="6" t="s">
        <v>644</v>
      </c>
      <c r="I44" s="6" t="s">
        <v>645</v>
      </c>
      <c r="J44" s="6" t="s">
        <v>646</v>
      </c>
      <c r="K44" s="6" t="s">
        <v>647</v>
      </c>
      <c r="L44" s="6" t="s">
        <v>648</v>
      </c>
      <c r="M44" s="51" t="s">
        <v>649</v>
      </c>
      <c r="N44" s="6" t="s">
        <v>650</v>
      </c>
      <c r="O44" s="51" t="s">
        <v>651</v>
      </c>
      <c r="P44" s="43">
        <f t="shared" si="1"/>
        <v>3</v>
      </c>
      <c r="Q44" s="64">
        <f t="shared" si="2"/>
        <v>13</v>
      </c>
      <c r="R44" s="77">
        <v>45901</v>
      </c>
    </row>
    <row r="45" spans="1:20" ht="20.100000000000001" customHeight="1">
      <c r="A45" s="5">
        <f t="shared" si="4"/>
        <v>2</v>
      </c>
      <c r="B45" s="50" t="s">
        <v>30</v>
      </c>
      <c r="C45" s="49"/>
      <c r="D45" s="49"/>
      <c r="E45" s="49"/>
      <c r="F45" s="49"/>
      <c r="G45" s="49"/>
      <c r="H45" s="49"/>
      <c r="I45" s="49"/>
      <c r="J45" s="49"/>
      <c r="K45" s="49"/>
      <c r="L45" s="49"/>
      <c r="M45" s="49"/>
      <c r="N45" s="49"/>
      <c r="O45" s="49"/>
      <c r="P45" s="43">
        <f t="shared" si="1"/>
        <v>2</v>
      </c>
      <c r="Q45" s="64">
        <f t="shared" si="2"/>
        <v>0</v>
      </c>
    </row>
    <row r="46" spans="1:20" ht="20.100000000000001" customHeight="1">
      <c r="A46" s="5">
        <v>1</v>
      </c>
      <c r="B46" s="50" t="s">
        <v>31</v>
      </c>
      <c r="C46" s="49"/>
      <c r="D46" s="49"/>
      <c r="E46" s="49"/>
      <c r="F46" s="49"/>
      <c r="G46" s="49"/>
      <c r="H46" s="49"/>
      <c r="I46" s="49"/>
      <c r="J46" s="49"/>
      <c r="K46" s="49"/>
      <c r="L46" s="49"/>
      <c r="M46" s="49"/>
      <c r="N46" s="49"/>
      <c r="O46" s="49"/>
      <c r="P46" s="43">
        <f t="shared" si="1"/>
        <v>1</v>
      </c>
      <c r="Q46" s="64">
        <f t="shared" si="2"/>
        <v>0</v>
      </c>
    </row>
    <row r="47" spans="1:20" ht="20.100000000000001" customHeight="1">
      <c r="A47" s="5"/>
      <c r="B47" s="7"/>
      <c r="C47" s="7"/>
      <c r="D47" s="42"/>
      <c r="E47" s="42"/>
      <c r="F47" s="42"/>
      <c r="G47" s="42"/>
      <c r="H47" s="42"/>
      <c r="I47" s="9"/>
      <c r="J47" s="9"/>
      <c r="K47" s="42"/>
      <c r="L47" s="42"/>
      <c r="M47" s="42"/>
      <c r="N47" s="42"/>
      <c r="O47" s="42"/>
      <c r="P47" s="5"/>
      <c r="Q47" s="63"/>
    </row>
    <row r="48" spans="1:20" ht="20.100000000000001" customHeight="1">
      <c r="A48" s="25"/>
      <c r="B48" s="25"/>
      <c r="C48" s="25"/>
      <c r="D48" s="41"/>
      <c r="E48" s="41"/>
      <c r="F48" s="41"/>
      <c r="G48" s="41"/>
      <c r="H48" s="41"/>
      <c r="I48" s="41"/>
      <c r="J48" s="41"/>
      <c r="K48" s="41"/>
      <c r="L48" s="41"/>
      <c r="M48" s="41"/>
      <c r="N48" s="41"/>
      <c r="O48" s="41"/>
      <c r="P48" s="25"/>
      <c r="Q48" s="65"/>
    </row>
    <row r="49" spans="1:17" s="3" customFormat="1" ht="20.100000000000001" customHeight="1">
      <c r="A49" s="327" t="s">
        <v>32</v>
      </c>
      <c r="B49" s="328"/>
      <c r="C49" s="40">
        <f>COUNT(C5:C44)</f>
        <v>0</v>
      </c>
      <c r="D49" s="40">
        <f t="shared" ref="D49:O49" si="5">COUNT(D4:D47)</f>
        <v>0</v>
      </c>
      <c r="E49" s="40">
        <f t="shared" si="5"/>
        <v>0</v>
      </c>
      <c r="F49" s="40">
        <f t="shared" si="5"/>
        <v>0</v>
      </c>
      <c r="G49" s="40">
        <f t="shared" si="5"/>
        <v>0</v>
      </c>
      <c r="H49" s="40">
        <f t="shared" si="5"/>
        <v>0</v>
      </c>
      <c r="I49" s="40">
        <f t="shared" si="5"/>
        <v>0</v>
      </c>
      <c r="J49" s="40">
        <f t="shared" si="5"/>
        <v>0</v>
      </c>
      <c r="K49" s="40">
        <f t="shared" si="5"/>
        <v>0</v>
      </c>
      <c r="L49" s="40">
        <f t="shared" si="5"/>
        <v>0</v>
      </c>
      <c r="M49" s="40">
        <f t="shared" si="5"/>
        <v>0</v>
      </c>
      <c r="N49" s="40">
        <f t="shared" si="5"/>
        <v>0</v>
      </c>
      <c r="O49" s="40">
        <f t="shared" si="5"/>
        <v>0</v>
      </c>
      <c r="P49" s="39" t="s">
        <v>33</v>
      </c>
      <c r="Q49" s="66">
        <f>SUM(Q4:Q48)</f>
        <v>520</v>
      </c>
    </row>
    <row r="50" spans="1:17" s="3" customFormat="1" ht="20.100000000000001" customHeight="1">
      <c r="A50" s="310" t="s">
        <v>34</v>
      </c>
      <c r="B50" s="311"/>
      <c r="C50" s="7">
        <f>COUNT(C5:C44)</f>
        <v>0</v>
      </c>
      <c r="D50" s="7">
        <f>COUNT(D5:D44)</f>
        <v>0</v>
      </c>
      <c r="E50" s="7">
        <f>COUNT(E4:E44)</f>
        <v>0</v>
      </c>
      <c r="F50" s="7">
        <f t="shared" ref="F50:O50" si="6">COUNT(F5:F44)</f>
        <v>0</v>
      </c>
      <c r="G50" s="7">
        <f t="shared" si="6"/>
        <v>0</v>
      </c>
      <c r="H50" s="7">
        <f t="shared" si="6"/>
        <v>0</v>
      </c>
      <c r="I50" s="7">
        <f t="shared" si="6"/>
        <v>0</v>
      </c>
      <c r="J50" s="7">
        <f t="shared" si="6"/>
        <v>0</v>
      </c>
      <c r="K50" s="7">
        <f t="shared" si="6"/>
        <v>0</v>
      </c>
      <c r="L50" s="7">
        <f t="shared" si="6"/>
        <v>0</v>
      </c>
      <c r="M50" s="7">
        <f t="shared" si="6"/>
        <v>0</v>
      </c>
      <c r="N50" s="7">
        <f t="shared" si="6"/>
        <v>0</v>
      </c>
      <c r="O50" s="7">
        <f t="shared" si="6"/>
        <v>0</v>
      </c>
      <c r="P50" s="8" t="s">
        <v>35</v>
      </c>
      <c r="Q50" s="67">
        <f>SUM(C50:O50)</f>
        <v>0</v>
      </c>
    </row>
    <row r="51" spans="1:17" s="3" customFormat="1" ht="20.100000000000001" customHeight="1">
      <c r="A51" s="310" t="s">
        <v>36</v>
      </c>
      <c r="B51" s="311"/>
      <c r="C51" s="7">
        <v>0</v>
      </c>
      <c r="D51" s="8">
        <v>0</v>
      </c>
      <c r="E51" s="8">
        <v>0</v>
      </c>
      <c r="F51" s="8">
        <v>0</v>
      </c>
      <c r="G51" s="8">
        <v>0</v>
      </c>
      <c r="H51" s="8">
        <v>0</v>
      </c>
      <c r="I51" s="8">
        <v>0</v>
      </c>
      <c r="J51" s="8">
        <v>0</v>
      </c>
      <c r="K51" s="8">
        <v>0</v>
      </c>
      <c r="L51" s="8">
        <v>0</v>
      </c>
      <c r="M51" s="8">
        <v>0</v>
      </c>
      <c r="N51" s="8">
        <v>0</v>
      </c>
      <c r="O51" s="8">
        <v>0</v>
      </c>
      <c r="P51" s="8" t="s">
        <v>37</v>
      </c>
      <c r="Q51" s="67">
        <f>SUM(C51:O51)</f>
        <v>0</v>
      </c>
    </row>
    <row r="52" spans="1:17" s="3" customFormat="1" ht="20.100000000000001" customHeight="1">
      <c r="A52" s="312" t="s">
        <v>38</v>
      </c>
      <c r="B52" s="313"/>
      <c r="C52" s="71" t="str">
        <f t="shared" ref="C52:O52" si="7">C2</f>
        <v>T01</v>
      </c>
      <c r="D52" s="71" t="str">
        <f t="shared" si="7"/>
        <v>T02</v>
      </c>
      <c r="E52" s="71" t="str">
        <f t="shared" si="7"/>
        <v xml:space="preserve">T03 </v>
      </c>
      <c r="F52" s="71" t="str">
        <f t="shared" si="7"/>
        <v>T04</v>
      </c>
      <c r="G52" s="71" t="str">
        <f t="shared" si="7"/>
        <v xml:space="preserve">T05 </v>
      </c>
      <c r="H52" s="71" t="str">
        <f t="shared" si="7"/>
        <v xml:space="preserve">T06 </v>
      </c>
      <c r="I52" s="71" t="str">
        <f t="shared" si="7"/>
        <v xml:space="preserve">T07 </v>
      </c>
      <c r="J52" s="71" t="str">
        <f t="shared" si="7"/>
        <v xml:space="preserve">T08 </v>
      </c>
      <c r="K52" s="71" t="str">
        <f t="shared" si="7"/>
        <v xml:space="preserve">T09 </v>
      </c>
      <c r="L52" s="71" t="str">
        <f t="shared" si="7"/>
        <v xml:space="preserve">T10 </v>
      </c>
      <c r="M52" s="71" t="str">
        <f t="shared" si="7"/>
        <v>T11</v>
      </c>
      <c r="N52" s="71" t="str">
        <f t="shared" si="7"/>
        <v xml:space="preserve">T12 </v>
      </c>
      <c r="O52" s="71" t="str">
        <f t="shared" si="7"/>
        <v xml:space="preserve">T14 </v>
      </c>
      <c r="P52" s="8"/>
      <c r="Q52" s="68"/>
    </row>
    <row r="53" spans="1:17" ht="20.100000000000001" customHeight="1">
      <c r="A53" s="25"/>
      <c r="B53" s="25"/>
      <c r="C53" s="25"/>
      <c r="D53" s="26"/>
      <c r="E53" s="26"/>
      <c r="F53" s="26"/>
      <c r="G53" s="26"/>
      <c r="H53" s="26"/>
      <c r="I53" s="26"/>
      <c r="J53" s="26"/>
      <c r="K53" s="26"/>
      <c r="L53" s="26"/>
      <c r="M53" s="26"/>
      <c r="N53" s="26"/>
      <c r="O53" s="26"/>
      <c r="P53" s="25"/>
      <c r="Q53" s="69"/>
    </row>
  </sheetData>
  <mergeCells count="7">
    <mergeCell ref="A51:B51"/>
    <mergeCell ref="A52:B52"/>
    <mergeCell ref="P3:Q3"/>
    <mergeCell ref="P2:Q2"/>
    <mergeCell ref="B5:B44"/>
    <mergeCell ref="A49:B49"/>
    <mergeCell ref="A50:B50"/>
  </mergeCells>
  <pageMargins left="0.25" right="0.25" top="0.75" bottom="0.75" header="0.3" footer="0.3"/>
  <pageSetup paperSize="17"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47DB7-FB24-4C11-A1B0-1FFC222CCEBF}">
  <sheetPr>
    <tabColor theme="8"/>
    <pageSetUpPr fitToPage="1"/>
  </sheetPr>
  <dimension ref="A2:AQ57"/>
  <sheetViews>
    <sheetView tabSelected="1" topLeftCell="A2" zoomScale="80" zoomScaleNormal="80" workbookViewId="0">
      <pane xSplit="5" ySplit="9" topLeftCell="AA24" activePane="bottomRight" state="frozen"/>
      <selection pane="bottomRight" activeCell="AU14" sqref="AU14"/>
      <selection pane="bottomLeft" activeCell="A11" sqref="A11"/>
      <selection pane="topRight" activeCell="F2" sqref="F2"/>
    </sheetView>
  </sheetViews>
  <sheetFormatPr defaultRowHeight="13.9"/>
  <cols>
    <col min="1" max="1" width="10" customWidth="1"/>
    <col min="2" max="2" width="2.25" customWidth="1"/>
    <col min="3" max="3" width="5.75" customWidth="1"/>
    <col min="4" max="4" width="10.75" customWidth="1"/>
    <col min="5" max="6" width="5.75" customWidth="1"/>
    <col min="7" max="7" width="9.25" customWidth="1"/>
    <col min="8" max="8" width="7.375" customWidth="1"/>
    <col min="9" max="9" width="16.75" customWidth="1"/>
    <col min="10" max="10" width="5.75" customWidth="1"/>
    <col min="11" max="11" width="14" customWidth="1"/>
    <col min="12" max="12" width="13" customWidth="1"/>
    <col min="13" max="13" width="22" customWidth="1"/>
    <col min="14" max="14" width="10.75" customWidth="1"/>
    <col min="15" max="16" width="5.75" customWidth="1"/>
    <col min="17" max="17" width="10.75" customWidth="1"/>
    <col min="18" max="18" width="25.75" customWidth="1"/>
    <col min="19" max="19" width="5.75" customWidth="1"/>
    <col min="20" max="20" width="21.5" customWidth="1"/>
    <col min="21" max="21" width="5.75" customWidth="1"/>
    <col min="22" max="22" width="10.75" customWidth="1"/>
    <col min="23" max="26" width="5.75" customWidth="1"/>
    <col min="27" max="28" width="10.75" customWidth="1"/>
    <col min="29" max="31" width="5.75" customWidth="1"/>
    <col min="32" max="33" width="10.75" customWidth="1"/>
    <col min="34" max="34" width="12.75" customWidth="1"/>
    <col min="35" max="39" width="5.75" customWidth="1"/>
    <col min="40" max="40" width="10.75" customWidth="1"/>
    <col min="41" max="41" width="8.75" customWidth="1"/>
    <col min="42" max="42" width="5.75" customWidth="1"/>
    <col min="43" max="43" width="77.125" customWidth="1"/>
    <col min="46" max="46" width="16.875" bestFit="1" customWidth="1"/>
  </cols>
  <sheetData>
    <row r="2" spans="1:43" ht="34.9">
      <c r="A2" s="115" t="s">
        <v>652</v>
      </c>
      <c r="C2" s="126" t="s">
        <v>653</v>
      </c>
      <c r="D2" s="88"/>
    </row>
    <row r="3" spans="1:43" ht="25.15" customHeight="1">
      <c r="A3" s="341" t="e" vm="1">
        <v>#VALUE!</v>
      </c>
      <c r="C3" s="171" t="s">
        <v>654</v>
      </c>
      <c r="D3" s="171"/>
      <c r="E3" s="172"/>
      <c r="F3" s="172"/>
      <c r="G3" s="172"/>
      <c r="H3" s="172"/>
      <c r="I3" s="172"/>
      <c r="J3" s="172"/>
      <c r="K3" s="172"/>
      <c r="L3" s="173" t="s">
        <v>655</v>
      </c>
      <c r="M3" s="342">
        <f ca="1">TODAY()</f>
        <v>46245</v>
      </c>
      <c r="N3" s="342"/>
      <c r="O3" s="174" t="str">
        <f ca="1">": Week " &amp; _xlfn.ISOWEEKNUM(M3)</f>
        <v>: Week 33</v>
      </c>
      <c r="P3" s="175"/>
      <c r="Q3" s="170"/>
    </row>
    <row r="4" spans="1:43" ht="15" customHeight="1">
      <c r="A4" s="341"/>
      <c r="C4" s="195"/>
      <c r="D4" s="196"/>
      <c r="F4" s="116"/>
      <c r="H4" s="196"/>
      <c r="I4" s="196"/>
      <c r="J4" s="196"/>
      <c r="O4" s="116"/>
      <c r="P4" s="195"/>
      <c r="S4" s="116"/>
      <c r="U4" s="116"/>
      <c r="W4" s="195"/>
      <c r="X4" s="195"/>
      <c r="Y4" s="116"/>
      <c r="Z4" s="195"/>
      <c r="AA4" s="103"/>
      <c r="AC4" s="116"/>
      <c r="AD4" s="195"/>
      <c r="AE4" s="116"/>
      <c r="AI4" s="195"/>
      <c r="AJ4" s="195"/>
      <c r="AK4" s="116"/>
      <c r="AL4" s="116"/>
      <c r="AM4" s="116"/>
      <c r="AO4" s="195"/>
      <c r="AP4" s="195"/>
    </row>
    <row r="5" spans="1:43" ht="15" customHeight="1">
      <c r="A5" s="128"/>
      <c r="C5" s="196" t="s">
        <v>656</v>
      </c>
      <c r="D5" s="196" t="s">
        <v>656</v>
      </c>
      <c r="E5" s="240"/>
      <c r="F5" s="116" t="s">
        <v>657</v>
      </c>
      <c r="G5" s="240"/>
      <c r="H5" s="196" t="s">
        <v>656</v>
      </c>
      <c r="I5" s="196" t="s">
        <v>656</v>
      </c>
      <c r="J5" s="196" t="s">
        <v>656</v>
      </c>
      <c r="K5" s="240"/>
      <c r="L5" s="240"/>
      <c r="M5" s="196" t="s">
        <v>658</v>
      </c>
      <c r="N5" s="240"/>
      <c r="O5" s="116" t="s">
        <v>657</v>
      </c>
      <c r="P5" s="196" t="s">
        <v>656</v>
      </c>
      <c r="Q5" s="240"/>
      <c r="R5" s="240"/>
      <c r="S5" s="116" t="s">
        <v>657</v>
      </c>
      <c r="T5" s="240"/>
      <c r="U5" s="116" t="s">
        <v>657</v>
      </c>
      <c r="V5" s="240"/>
      <c r="W5" s="196" t="s">
        <v>656</v>
      </c>
      <c r="X5" s="116" t="s">
        <v>657</v>
      </c>
      <c r="Y5" s="116" t="s">
        <v>657</v>
      </c>
      <c r="Z5" s="196" t="s">
        <v>656</v>
      </c>
      <c r="AA5" s="103"/>
      <c r="AB5" s="240"/>
      <c r="AC5" s="116" t="s">
        <v>657</v>
      </c>
      <c r="AD5" s="196" t="s">
        <v>656</v>
      </c>
      <c r="AE5" s="116" t="s">
        <v>657</v>
      </c>
      <c r="AF5" s="240"/>
      <c r="AG5" s="240"/>
      <c r="AH5" s="240"/>
      <c r="AI5" s="196" t="s">
        <v>656</v>
      </c>
      <c r="AJ5" s="196" t="s">
        <v>656</v>
      </c>
      <c r="AK5" s="116" t="s">
        <v>657</v>
      </c>
      <c r="AL5" s="116" t="s">
        <v>657</v>
      </c>
      <c r="AM5" s="116" t="s">
        <v>657</v>
      </c>
      <c r="AN5" s="240"/>
      <c r="AO5" s="196" t="s">
        <v>656</v>
      </c>
      <c r="AP5" s="196" t="s">
        <v>656</v>
      </c>
    </row>
    <row r="6" spans="1:43" ht="22.9" customHeight="1">
      <c r="C6" s="335" t="s">
        <v>659</v>
      </c>
      <c r="D6" s="335"/>
      <c r="E6" s="335"/>
      <c r="F6" s="335" t="s">
        <v>660</v>
      </c>
      <c r="G6" s="335"/>
      <c r="H6" s="335"/>
      <c r="I6" s="335"/>
      <c r="J6" s="335"/>
      <c r="K6" s="335"/>
      <c r="L6" s="335"/>
      <c r="M6" s="335"/>
      <c r="N6" s="335" t="s">
        <v>661</v>
      </c>
      <c r="O6" s="335"/>
      <c r="P6" s="335" t="s">
        <v>662</v>
      </c>
      <c r="Q6" s="335"/>
      <c r="R6" s="335"/>
      <c r="S6" s="335"/>
      <c r="T6" s="335" t="s">
        <v>663</v>
      </c>
      <c r="U6" s="335"/>
      <c r="V6" s="335"/>
      <c r="W6" s="335"/>
      <c r="X6" s="200"/>
      <c r="Y6" s="335" t="s">
        <v>664</v>
      </c>
      <c r="Z6" s="335"/>
      <c r="AA6" s="335"/>
      <c r="AB6" s="335"/>
      <c r="AC6" s="335"/>
      <c r="AD6" s="335"/>
      <c r="AE6" s="338" t="s">
        <v>665</v>
      </c>
      <c r="AF6" s="339"/>
      <c r="AG6" s="339"/>
      <c r="AH6" s="339"/>
      <c r="AI6" s="339"/>
      <c r="AJ6" s="340"/>
      <c r="AK6" s="335" t="s">
        <v>666</v>
      </c>
      <c r="AL6" s="335"/>
      <c r="AM6" s="335"/>
      <c r="AN6" s="335"/>
      <c r="AO6" s="335"/>
      <c r="AP6" s="335"/>
      <c r="AQ6" s="336" t="s">
        <v>667</v>
      </c>
    </row>
    <row r="7" spans="1:43" ht="100.15" customHeight="1">
      <c r="A7" s="117" t="s">
        <v>668</v>
      </c>
      <c r="C7" s="105" t="s">
        <v>669</v>
      </c>
      <c r="D7" s="106" t="s">
        <v>659</v>
      </c>
      <c r="E7" s="107" t="s">
        <v>670</v>
      </c>
      <c r="F7" s="229" t="s">
        <v>671</v>
      </c>
      <c r="G7" s="108" t="s">
        <v>672</v>
      </c>
      <c r="H7" s="107" t="s">
        <v>673</v>
      </c>
      <c r="I7" s="98" t="s">
        <v>674</v>
      </c>
      <c r="J7" s="110" t="s">
        <v>675</v>
      </c>
      <c r="K7" s="98" t="s">
        <v>676</v>
      </c>
      <c r="L7" s="98" t="s">
        <v>677</v>
      </c>
      <c r="M7" s="101" t="s">
        <v>678</v>
      </c>
      <c r="N7" s="101" t="s">
        <v>679</v>
      </c>
      <c r="O7" s="229" t="s">
        <v>680</v>
      </c>
      <c r="P7" s="110" t="s">
        <v>681</v>
      </c>
      <c r="Q7" s="99" t="s">
        <v>682</v>
      </c>
      <c r="R7" s="101" t="s">
        <v>683</v>
      </c>
      <c r="S7" s="229" t="s">
        <v>684</v>
      </c>
      <c r="T7" s="101" t="s">
        <v>685</v>
      </c>
      <c r="U7" s="229" t="s">
        <v>686</v>
      </c>
      <c r="V7" s="101" t="s">
        <v>687</v>
      </c>
      <c r="W7" s="110" t="s">
        <v>688</v>
      </c>
      <c r="X7" s="229" t="s">
        <v>689</v>
      </c>
      <c r="Y7" s="229" t="s">
        <v>690</v>
      </c>
      <c r="Z7" s="110" t="s">
        <v>691</v>
      </c>
      <c r="AA7" s="101" t="s">
        <v>692</v>
      </c>
      <c r="AB7" s="101" t="s">
        <v>693</v>
      </c>
      <c r="AC7" s="229" t="s">
        <v>694</v>
      </c>
      <c r="AD7" s="110" t="s">
        <v>695</v>
      </c>
      <c r="AE7" s="229" t="s">
        <v>696</v>
      </c>
      <c r="AF7" s="101" t="s">
        <v>697</v>
      </c>
      <c r="AG7" s="101" t="s">
        <v>698</v>
      </c>
      <c r="AH7" s="101" t="s">
        <v>699</v>
      </c>
      <c r="AI7" s="110" t="s">
        <v>700</v>
      </c>
      <c r="AJ7" s="110" t="s">
        <v>701</v>
      </c>
      <c r="AK7" s="230" t="s">
        <v>702</v>
      </c>
      <c r="AL7" s="230" t="s">
        <v>703</v>
      </c>
      <c r="AM7" s="230" t="s">
        <v>704</v>
      </c>
      <c r="AN7" s="113" t="s">
        <v>705</v>
      </c>
      <c r="AO7" s="114" t="s">
        <v>706</v>
      </c>
      <c r="AP7" s="114" t="s">
        <v>707</v>
      </c>
      <c r="AQ7" s="337"/>
    </row>
    <row r="8" spans="1:43" ht="9" customHeight="1">
      <c r="C8" s="192"/>
      <c r="D8" s="192"/>
      <c r="E8" s="193"/>
      <c r="F8" s="193"/>
      <c r="G8" s="193"/>
      <c r="H8" s="193"/>
      <c r="I8" s="193"/>
      <c r="J8" s="193"/>
      <c r="K8" s="193"/>
      <c r="L8" s="192"/>
      <c r="M8" s="192"/>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row>
    <row r="9" spans="1:43" ht="27" customHeight="1">
      <c r="A9" s="194" t="s">
        <v>708</v>
      </c>
      <c r="B9" s="104"/>
      <c r="C9" s="242" cm="1">
        <f t="array" ref="C9">SUMPRODUCT(--(CHOOSE({1,2,3,4,5,6,7,8,9,10,11}, F9,O9, S9, U9,X9, Y9,AC9,AE9,AK9,AL9,AM9 ) =FALSE))</f>
        <v>0</v>
      </c>
      <c r="D9" s="96" t="str" cm="1">
        <f t="array" ref="D9">_xlfn.IFS(AM9=TRUE,"DEL",AC9=TRUE,"YARD",Y9=TRUE,"TRAIN",X9=TRUE,"PORT",U9=TRUE,"ENR",O9=TRUE,"LDD",F9=TRUE,"LDG",C9=11,"PROJ")</f>
        <v>DEL</v>
      </c>
      <c r="E9" s="252">
        <v>21</v>
      </c>
      <c r="F9" s="102" t="b">
        <v>1</v>
      </c>
      <c r="G9" s="96" t="s">
        <v>709</v>
      </c>
      <c r="H9" s="96" t="s">
        <v>710</v>
      </c>
      <c r="I9" s="96" t="s">
        <v>710</v>
      </c>
      <c r="J9" s="96" t="s">
        <v>710</v>
      </c>
      <c r="K9" s="89" t="s">
        <v>711</v>
      </c>
      <c r="L9" s="96" t="s">
        <v>712</v>
      </c>
      <c r="M9" s="127" t="str">
        <f>_xlfn.LET(_xlpm.y,2026,_xlpm.w,--_xlfn.TEXTAFTER(G9," "),_xlpm.s,DATE(_xlpm.y,1,4)+7*(_xlpm.w-1)-WEEKDAY(DATE(_xlpm.y,1,4),2)+1,"(" &amp; TEXT(_xlpm.s,"mm/dd/yy") &amp; "-" &amp; TEXT(_xlpm.s+6,"mm/dd/yy") &amp; ")")</f>
        <v>(01/26/26-02/01/26)</v>
      </c>
      <c r="N9" s="109">
        <v>46049</v>
      </c>
      <c r="O9" s="102" t="b">
        <v>1</v>
      </c>
      <c r="P9" s="198">
        <f>Q9-N9</f>
        <v>12</v>
      </c>
      <c r="Q9" s="111">
        <v>46061</v>
      </c>
      <c r="R9" s="89" t="s">
        <v>713</v>
      </c>
      <c r="S9" s="97" t="b">
        <v>1</v>
      </c>
      <c r="T9" s="89" t="s">
        <v>714</v>
      </c>
      <c r="U9" s="97" t="b">
        <v>1</v>
      </c>
      <c r="V9" s="111">
        <v>46087</v>
      </c>
      <c r="W9" s="199">
        <f>V9-Q9</f>
        <v>26</v>
      </c>
      <c r="X9" s="97" t="b">
        <v>1</v>
      </c>
      <c r="Y9" s="97" t="b">
        <v>1</v>
      </c>
      <c r="Z9" s="199">
        <f>AA9-V9</f>
        <v>4</v>
      </c>
      <c r="AA9" s="111">
        <v>46091</v>
      </c>
      <c r="AB9" s="111">
        <v>46094</v>
      </c>
      <c r="AC9" s="97" t="b">
        <v>1</v>
      </c>
      <c r="AD9" s="198">
        <f>AB9-V9</f>
        <v>7</v>
      </c>
      <c r="AE9" s="97" t="b">
        <v>1</v>
      </c>
      <c r="AF9" s="111">
        <v>46097</v>
      </c>
      <c r="AG9" s="112">
        <v>0.52083333333333337</v>
      </c>
      <c r="AH9" s="89" t="s">
        <v>715</v>
      </c>
      <c r="AI9" s="198">
        <f>AF9-AB9</f>
        <v>3</v>
      </c>
      <c r="AJ9" s="198">
        <f>AI9-3</f>
        <v>0</v>
      </c>
      <c r="AK9" s="97" t="b">
        <v>1</v>
      </c>
      <c r="AL9" s="97" t="b">
        <v>1</v>
      </c>
      <c r="AM9" s="97" t="b">
        <v>1</v>
      </c>
      <c r="AN9" s="111">
        <v>46090</v>
      </c>
      <c r="AO9" s="89" t="str">
        <f>IFERROR(IF(OR(AF9="",AN9=""),"",_xlfn.LET(_xlpm.d,INT(AF9)-INT(AN9),TEXT(_xlpm.d,"+0;-0;0")&amp; " day" &amp; IF(ABS(_xlpm.d)=1,"","s"))),"")</f>
        <v>+7 days</v>
      </c>
      <c r="AP9" s="198">
        <f>AB9-Q9</f>
        <v>33</v>
      </c>
      <c r="AQ9" s="125" t="s">
        <v>716</v>
      </c>
    </row>
    <row r="10" spans="1:43" ht="9" customHeight="1" thickBot="1">
      <c r="C10" s="192"/>
      <c r="D10" s="192"/>
      <c r="E10" s="193"/>
      <c r="F10" s="193"/>
      <c r="G10" s="193"/>
      <c r="H10" s="193"/>
      <c r="I10" s="193"/>
      <c r="J10" s="193"/>
      <c r="K10" s="193"/>
      <c r="L10" s="192"/>
      <c r="M10" s="192"/>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row>
    <row r="11" spans="1:43" ht="27" customHeight="1">
      <c r="A11" s="118" t="s">
        <v>717</v>
      </c>
      <c r="C11" s="272" cm="1">
        <f t="array" ref="C11:AQ31">'[1]OMM_Overall Container Matrix'!$C$11:$AQ$31</f>
        <v>11</v>
      </c>
      <c r="D11" s="89" t="str">
        <v>PROJ</v>
      </c>
      <c r="E11" s="252">
        <v>1</v>
      </c>
      <c r="F11" s="89" t="b">
        <v>0</v>
      </c>
      <c r="G11" s="89" t="str">
        <v>WEEK 31</v>
      </c>
      <c r="H11" s="89" t="str">
        <v>---</v>
      </c>
      <c r="I11" s="89" t="str">
        <v>---</v>
      </c>
      <c r="J11" s="89" t="str">
        <v>---</v>
      </c>
      <c r="K11" s="202" t="str">
        <v>XXXXXXXXX</v>
      </c>
      <c r="L11" s="202" t="str">
        <v>XXXXXXXXX</v>
      </c>
      <c r="M11" s="277" t="str">
        <v>(07/27/26-08/02/26)</v>
      </c>
      <c r="N11" s="197">
        <v>46240</v>
      </c>
      <c r="O11" s="89" t="b">
        <v>0</v>
      </c>
      <c r="P11" s="198">
        <v>-4</v>
      </c>
      <c r="Q11" s="197">
        <v>46236</v>
      </c>
      <c r="R11" s="202" t="str">
        <v>XXXXXX XXXX</v>
      </c>
      <c r="S11" s="89" t="b">
        <v>0</v>
      </c>
      <c r="T11" s="202" t="str">
        <v>XXXXXX XXXX</v>
      </c>
      <c r="U11" s="89" t="b">
        <v>0</v>
      </c>
      <c r="V11" s="197">
        <v>46261</v>
      </c>
      <c r="W11" s="198">
        <v>25</v>
      </c>
      <c r="X11" s="89" t="b">
        <v>0</v>
      </c>
      <c r="Y11" s="89" t="b">
        <v>0</v>
      </c>
      <c r="Z11" s="198">
        <v>8</v>
      </c>
      <c r="AA11" s="197">
        <v>46269</v>
      </c>
      <c r="AB11" s="197">
        <v>46274</v>
      </c>
      <c r="AC11" s="89" t="b">
        <v>0</v>
      </c>
      <c r="AD11" s="198">
        <v>13</v>
      </c>
      <c r="AE11" s="89" t="b">
        <v>0</v>
      </c>
      <c r="AF11" s="197">
        <v>46279</v>
      </c>
      <c r="AG11" s="201" t="str">
        <v>XX PM</v>
      </c>
      <c r="AH11" s="201" t="str">
        <v>XXXXXXX</v>
      </c>
      <c r="AI11" s="198">
        <v>5</v>
      </c>
      <c r="AJ11" s="198">
        <v>2</v>
      </c>
      <c r="AK11" s="89" t="b">
        <v>0</v>
      </c>
      <c r="AL11" s="89" t="b">
        <v>0</v>
      </c>
      <c r="AM11" s="89" t="b">
        <v>0</v>
      </c>
      <c r="AN11" s="111" t="str">
        <v>---</v>
      </c>
      <c r="AO11" s="89" t="str">
        <v/>
      </c>
      <c r="AP11" s="198">
        <v>38</v>
      </c>
      <c r="AQ11" s="358">
        <v>0</v>
      </c>
    </row>
    <row r="12" spans="1:43" ht="27" customHeight="1">
      <c r="A12" s="120" t="s">
        <v>718</v>
      </c>
      <c r="C12" s="269">
        <v>11</v>
      </c>
      <c r="D12" s="89" t="str">
        <v>PROJ</v>
      </c>
      <c r="E12" s="252">
        <v>2</v>
      </c>
      <c r="F12" s="89" t="b">
        <v>0</v>
      </c>
      <c r="G12" s="89" t="str">
        <v>WEEK 31</v>
      </c>
      <c r="H12" s="89" t="str">
        <v>---</v>
      </c>
      <c r="I12" s="89" t="str">
        <v>---</v>
      </c>
      <c r="J12" s="89" t="str">
        <v>---</v>
      </c>
      <c r="K12" s="202" t="str">
        <v>XXXXXXXXX</v>
      </c>
      <c r="L12" s="202" t="str">
        <v>XXXXXXXXX</v>
      </c>
      <c r="M12" s="277" t="str">
        <v>(07/27/26-08/02/26)</v>
      </c>
      <c r="N12" s="197">
        <v>46240</v>
      </c>
      <c r="O12" s="89" t="b">
        <v>0</v>
      </c>
      <c r="P12" s="198">
        <v>-4</v>
      </c>
      <c r="Q12" s="197">
        <v>46236</v>
      </c>
      <c r="R12" s="202" t="str">
        <v>XXXXXX XXXX</v>
      </c>
      <c r="S12" s="89" t="b">
        <v>0</v>
      </c>
      <c r="T12" s="202" t="str">
        <v>XXXXXX XXXX</v>
      </c>
      <c r="U12" s="89" t="b">
        <v>0</v>
      </c>
      <c r="V12" s="197">
        <v>46261</v>
      </c>
      <c r="W12" s="198">
        <v>25</v>
      </c>
      <c r="X12" s="89" t="b">
        <v>0</v>
      </c>
      <c r="Y12" s="89" t="b">
        <v>0</v>
      </c>
      <c r="Z12" s="198">
        <v>8</v>
      </c>
      <c r="AA12" s="197">
        <v>46269</v>
      </c>
      <c r="AB12" s="197">
        <v>46274</v>
      </c>
      <c r="AC12" s="89" t="b">
        <v>0</v>
      </c>
      <c r="AD12" s="198">
        <v>13</v>
      </c>
      <c r="AE12" s="89" t="b">
        <v>0</v>
      </c>
      <c r="AF12" s="197">
        <v>46279</v>
      </c>
      <c r="AG12" s="201" t="str">
        <v>XX PM</v>
      </c>
      <c r="AH12" s="201" t="str">
        <v>XXXXXXX</v>
      </c>
      <c r="AI12" s="198">
        <v>5</v>
      </c>
      <c r="AJ12" s="198">
        <v>2</v>
      </c>
      <c r="AK12" s="89" t="b">
        <v>0</v>
      </c>
      <c r="AL12" s="89" t="b">
        <v>0</v>
      </c>
      <c r="AM12" s="89" t="b">
        <v>0</v>
      </c>
      <c r="AN12" s="111" t="str">
        <v>---</v>
      </c>
      <c r="AO12" s="89" t="str">
        <v/>
      </c>
      <c r="AP12" s="198">
        <v>38</v>
      </c>
      <c r="AQ12" s="358">
        <v>0</v>
      </c>
    </row>
    <row r="13" spans="1:43" ht="27" customHeight="1">
      <c r="A13" s="122" t="s">
        <v>719</v>
      </c>
      <c r="C13" s="269">
        <v>11</v>
      </c>
      <c r="D13" s="89" t="str">
        <v>PROJ</v>
      </c>
      <c r="E13" s="252">
        <v>3</v>
      </c>
      <c r="F13" s="89" t="b">
        <v>0</v>
      </c>
      <c r="G13" s="89" t="str">
        <v>WEEK 34</v>
      </c>
      <c r="H13" s="89" t="str">
        <v>---</v>
      </c>
      <c r="I13" s="89" t="str">
        <v>---</v>
      </c>
      <c r="J13" s="89" t="str">
        <v>---</v>
      </c>
      <c r="K13" s="202" t="str">
        <v>XXXXXXXXX</v>
      </c>
      <c r="L13" s="202" t="str">
        <v>XXXXXXXXX</v>
      </c>
      <c r="M13" s="277" t="str">
        <v>(08/17/26-08/23/26)</v>
      </c>
      <c r="N13" s="197">
        <v>46253</v>
      </c>
      <c r="O13" s="89" t="b">
        <v>0</v>
      </c>
      <c r="P13" s="198">
        <v>4</v>
      </c>
      <c r="Q13" s="197">
        <v>46257</v>
      </c>
      <c r="R13" s="202" t="str">
        <v>XXXXXX XXXX</v>
      </c>
      <c r="S13" s="89" t="b">
        <v>0</v>
      </c>
      <c r="T13" s="202" t="str">
        <v>XXXXXX XXXX</v>
      </c>
      <c r="U13" s="89" t="b">
        <v>0</v>
      </c>
      <c r="V13" s="197">
        <v>46282</v>
      </c>
      <c r="W13" s="198">
        <v>25</v>
      </c>
      <c r="X13" s="89" t="b">
        <v>0</v>
      </c>
      <c r="Y13" s="89" t="b">
        <v>0</v>
      </c>
      <c r="Z13" s="198">
        <v>8</v>
      </c>
      <c r="AA13" s="197">
        <v>46290</v>
      </c>
      <c r="AB13" s="197">
        <v>46295</v>
      </c>
      <c r="AC13" s="89" t="b">
        <v>0</v>
      </c>
      <c r="AD13" s="198">
        <v>13</v>
      </c>
      <c r="AE13" s="89" t="b">
        <v>0</v>
      </c>
      <c r="AF13" s="197">
        <v>46300</v>
      </c>
      <c r="AG13" s="201" t="str">
        <v>XX PM</v>
      </c>
      <c r="AH13" s="201" t="str">
        <v>XXXXXXX</v>
      </c>
      <c r="AI13" s="198">
        <v>5</v>
      </c>
      <c r="AJ13" s="198">
        <v>2</v>
      </c>
      <c r="AK13" s="89" t="b">
        <v>0</v>
      </c>
      <c r="AL13" s="89" t="b">
        <v>0</v>
      </c>
      <c r="AM13" s="89" t="b">
        <v>0</v>
      </c>
      <c r="AN13" s="111" t="str">
        <v>---</v>
      </c>
      <c r="AO13" s="89" t="str">
        <v/>
      </c>
      <c r="AP13" s="198">
        <v>38</v>
      </c>
      <c r="AQ13" s="358">
        <v>0</v>
      </c>
    </row>
    <row r="14" spans="1:43" ht="27" customHeight="1">
      <c r="A14" s="228" t="s">
        <v>720</v>
      </c>
      <c r="C14" s="269">
        <v>11</v>
      </c>
      <c r="D14" s="89" t="str">
        <v>PROJ</v>
      </c>
      <c r="E14" s="252">
        <v>4</v>
      </c>
      <c r="F14" s="89" t="b">
        <v>0</v>
      </c>
      <c r="G14" s="89" t="str">
        <v>WEEK 35</v>
      </c>
      <c r="H14" s="89" t="str">
        <v>---</v>
      </c>
      <c r="I14" s="89" t="str">
        <v>---</v>
      </c>
      <c r="J14" s="89" t="str">
        <v>---</v>
      </c>
      <c r="K14" s="202" t="str">
        <v>XXXXXXXXX</v>
      </c>
      <c r="L14" s="202" t="str">
        <v>XXXXXXXXX</v>
      </c>
      <c r="M14" s="277" t="str">
        <v>(08/24/26-08/30/26)</v>
      </c>
      <c r="N14" s="197">
        <v>46260</v>
      </c>
      <c r="O14" s="89" t="b">
        <v>0</v>
      </c>
      <c r="P14" s="198">
        <v>4</v>
      </c>
      <c r="Q14" s="197">
        <v>46264</v>
      </c>
      <c r="R14" s="202" t="str">
        <v>XXXXXX XXXX</v>
      </c>
      <c r="S14" s="89" t="b">
        <v>0</v>
      </c>
      <c r="T14" s="202" t="str">
        <v>XXXXXX XXXX</v>
      </c>
      <c r="U14" s="89" t="b">
        <v>0</v>
      </c>
      <c r="V14" s="197">
        <v>46289</v>
      </c>
      <c r="W14" s="198">
        <v>25</v>
      </c>
      <c r="X14" s="89" t="b">
        <v>0</v>
      </c>
      <c r="Y14" s="89" t="b">
        <v>0</v>
      </c>
      <c r="Z14" s="198">
        <v>8</v>
      </c>
      <c r="AA14" s="197">
        <v>46297</v>
      </c>
      <c r="AB14" s="197">
        <v>46302</v>
      </c>
      <c r="AC14" s="89" t="b">
        <v>0</v>
      </c>
      <c r="AD14" s="198">
        <v>13</v>
      </c>
      <c r="AE14" s="89" t="b">
        <v>0</v>
      </c>
      <c r="AF14" s="197">
        <v>46307</v>
      </c>
      <c r="AG14" s="201" t="str">
        <v>XX PM</v>
      </c>
      <c r="AH14" s="201" t="str">
        <v>XXXXXXX</v>
      </c>
      <c r="AI14" s="198">
        <v>5</v>
      </c>
      <c r="AJ14" s="198">
        <v>2</v>
      </c>
      <c r="AK14" s="89" t="b">
        <v>0</v>
      </c>
      <c r="AL14" s="89" t="b">
        <v>0</v>
      </c>
      <c r="AM14" s="89" t="b">
        <v>0</v>
      </c>
      <c r="AN14" s="111" t="str">
        <v>---</v>
      </c>
      <c r="AO14" s="89" t="str">
        <v/>
      </c>
      <c r="AP14" s="198">
        <v>38</v>
      </c>
      <c r="AQ14" s="358">
        <v>0</v>
      </c>
    </row>
    <row r="15" spans="1:43" ht="27" customHeight="1">
      <c r="A15" s="121" t="s">
        <v>721</v>
      </c>
      <c r="C15" s="269">
        <v>11</v>
      </c>
      <c r="D15" s="89" t="str">
        <v>PROJ</v>
      </c>
      <c r="E15" s="252">
        <v>5</v>
      </c>
      <c r="F15" s="89" t="b">
        <v>0</v>
      </c>
      <c r="G15" s="89" t="str">
        <v>WEEK 36</v>
      </c>
      <c r="H15" s="89" t="str">
        <v>---</v>
      </c>
      <c r="I15" s="89" t="str">
        <v>---</v>
      </c>
      <c r="J15" s="89" t="str">
        <v>---</v>
      </c>
      <c r="K15" s="202" t="str">
        <v>XXXXXXXXX</v>
      </c>
      <c r="L15" s="202" t="str">
        <v>XXXXXXXXX</v>
      </c>
      <c r="M15" s="277" t="str">
        <v>(08/31/26-09/06/26)</v>
      </c>
      <c r="N15" s="197">
        <v>46267</v>
      </c>
      <c r="O15" s="89" t="b">
        <v>0</v>
      </c>
      <c r="P15" s="198">
        <v>4</v>
      </c>
      <c r="Q15" s="197">
        <v>46271</v>
      </c>
      <c r="R15" s="202" t="str">
        <v>XXXXXX XXXX</v>
      </c>
      <c r="S15" s="89" t="b">
        <v>0</v>
      </c>
      <c r="T15" s="202" t="str">
        <v>XXXXXX XXXX</v>
      </c>
      <c r="U15" s="89" t="b">
        <v>0</v>
      </c>
      <c r="V15" s="197">
        <v>46296</v>
      </c>
      <c r="W15" s="198">
        <v>25</v>
      </c>
      <c r="X15" s="89" t="b">
        <v>0</v>
      </c>
      <c r="Y15" s="89" t="b">
        <v>0</v>
      </c>
      <c r="Z15" s="198">
        <v>8</v>
      </c>
      <c r="AA15" s="197">
        <v>46304</v>
      </c>
      <c r="AB15" s="197">
        <v>46309</v>
      </c>
      <c r="AC15" s="89" t="b">
        <v>0</v>
      </c>
      <c r="AD15" s="198">
        <v>13</v>
      </c>
      <c r="AE15" s="89" t="b">
        <v>0</v>
      </c>
      <c r="AF15" s="197">
        <v>46314</v>
      </c>
      <c r="AG15" s="201" t="str">
        <v>XX PM</v>
      </c>
      <c r="AH15" s="201" t="str">
        <v>XXXXXXX</v>
      </c>
      <c r="AI15" s="198">
        <v>5</v>
      </c>
      <c r="AJ15" s="198">
        <v>2</v>
      </c>
      <c r="AK15" s="89" t="b">
        <v>0</v>
      </c>
      <c r="AL15" s="89" t="b">
        <v>0</v>
      </c>
      <c r="AM15" s="89" t="b">
        <v>0</v>
      </c>
      <c r="AN15" s="111" t="str">
        <v>---</v>
      </c>
      <c r="AO15" s="89" t="str">
        <v/>
      </c>
      <c r="AP15" s="198">
        <v>38</v>
      </c>
      <c r="AQ15" s="358">
        <v>0</v>
      </c>
    </row>
    <row r="16" spans="1:43" ht="27" customHeight="1">
      <c r="A16" s="227" t="s">
        <v>722</v>
      </c>
      <c r="C16" s="269">
        <v>11</v>
      </c>
      <c r="D16" s="89" t="str">
        <v>PROJ</v>
      </c>
      <c r="E16" s="252">
        <v>6</v>
      </c>
      <c r="F16" s="89" t="b">
        <v>0</v>
      </c>
      <c r="G16" s="89" t="str">
        <v>WEEK 37</v>
      </c>
      <c r="H16" s="89" t="str">
        <v>---</v>
      </c>
      <c r="I16" s="89" t="str">
        <v>---</v>
      </c>
      <c r="J16" s="89" t="str">
        <v>---</v>
      </c>
      <c r="K16" s="202" t="str">
        <v>EDWIN</v>
      </c>
      <c r="L16" s="202" t="str">
        <v>XXXXXXXXX</v>
      </c>
      <c r="M16" s="277" t="str">
        <v>(09/07/26-09/13/26)</v>
      </c>
      <c r="N16" s="197">
        <v>46274</v>
      </c>
      <c r="O16" s="89" t="b">
        <v>0</v>
      </c>
      <c r="P16" s="198">
        <v>4</v>
      </c>
      <c r="Q16" s="197">
        <v>46278</v>
      </c>
      <c r="R16" s="202" t="str">
        <v>XXXXXX XXXX</v>
      </c>
      <c r="S16" s="89" t="b">
        <v>0</v>
      </c>
      <c r="T16" s="202" t="str">
        <v>XXXXXX XXXX</v>
      </c>
      <c r="U16" s="89" t="b">
        <v>0</v>
      </c>
      <c r="V16" s="197">
        <v>46303</v>
      </c>
      <c r="W16" s="198">
        <v>25</v>
      </c>
      <c r="X16" s="89" t="b">
        <v>0</v>
      </c>
      <c r="Y16" s="89" t="b">
        <v>0</v>
      </c>
      <c r="Z16" s="198">
        <v>8</v>
      </c>
      <c r="AA16" s="197">
        <v>46311</v>
      </c>
      <c r="AB16" s="197">
        <v>46316</v>
      </c>
      <c r="AC16" s="89" t="b">
        <v>0</v>
      </c>
      <c r="AD16" s="198">
        <v>13</v>
      </c>
      <c r="AE16" s="89" t="b">
        <v>0</v>
      </c>
      <c r="AF16" s="197">
        <v>46321</v>
      </c>
      <c r="AG16" s="201" t="str">
        <v>XX PM</v>
      </c>
      <c r="AH16" s="201" t="str">
        <v>XXXXXXX</v>
      </c>
      <c r="AI16" s="198">
        <v>5</v>
      </c>
      <c r="AJ16" s="198">
        <v>2</v>
      </c>
      <c r="AK16" s="89" t="b">
        <v>0</v>
      </c>
      <c r="AL16" s="89" t="b">
        <v>0</v>
      </c>
      <c r="AM16" s="89" t="b">
        <v>0</v>
      </c>
      <c r="AN16" s="111" t="str">
        <v>---</v>
      </c>
      <c r="AO16" s="89" t="str">
        <v/>
      </c>
      <c r="AP16" s="198">
        <v>38</v>
      </c>
      <c r="AQ16" s="358">
        <v>0</v>
      </c>
    </row>
    <row r="17" spans="1:43" ht="27" customHeight="1">
      <c r="A17" s="124" t="s">
        <v>723</v>
      </c>
      <c r="C17" s="269">
        <v>11</v>
      </c>
      <c r="D17" s="89" t="str">
        <v>PROJ</v>
      </c>
      <c r="E17" s="252">
        <v>7</v>
      </c>
      <c r="F17" s="89" t="b">
        <v>0</v>
      </c>
      <c r="G17" s="89" t="str">
        <v>WEEK 38</v>
      </c>
      <c r="H17" s="89" t="str">
        <v>---</v>
      </c>
      <c r="I17" s="89" t="str">
        <v>---</v>
      </c>
      <c r="J17" s="89" t="str">
        <v>---</v>
      </c>
      <c r="K17" s="202" t="str">
        <v>XXXXXXXXX</v>
      </c>
      <c r="L17" s="202" t="str">
        <v>XXXXXXXXX</v>
      </c>
      <c r="M17" s="277" t="str">
        <v>(09/14/26-09/20/26)</v>
      </c>
      <c r="N17" s="197">
        <v>46281</v>
      </c>
      <c r="O17" s="89" t="b">
        <v>0</v>
      </c>
      <c r="P17" s="198">
        <v>4</v>
      </c>
      <c r="Q17" s="197">
        <v>46285</v>
      </c>
      <c r="R17" s="202" t="str">
        <v>XXXXXX XXXX</v>
      </c>
      <c r="S17" s="89" t="b">
        <v>0</v>
      </c>
      <c r="T17" s="202" t="str">
        <v>XXXXXX XXXX</v>
      </c>
      <c r="U17" s="89" t="b">
        <v>0</v>
      </c>
      <c r="V17" s="197">
        <v>46310</v>
      </c>
      <c r="W17" s="198">
        <v>25</v>
      </c>
      <c r="X17" s="89" t="b">
        <v>0</v>
      </c>
      <c r="Y17" s="89" t="b">
        <v>0</v>
      </c>
      <c r="Z17" s="198">
        <v>8</v>
      </c>
      <c r="AA17" s="197">
        <v>46318</v>
      </c>
      <c r="AB17" s="197">
        <v>46323</v>
      </c>
      <c r="AC17" s="89" t="b">
        <v>0</v>
      </c>
      <c r="AD17" s="198">
        <v>13</v>
      </c>
      <c r="AE17" s="89" t="b">
        <v>0</v>
      </c>
      <c r="AF17" s="197">
        <v>46328</v>
      </c>
      <c r="AG17" s="201" t="str">
        <v>XX PM</v>
      </c>
      <c r="AH17" s="201" t="str">
        <v>XXXXXXX</v>
      </c>
      <c r="AI17" s="198">
        <v>5</v>
      </c>
      <c r="AJ17" s="198">
        <v>2</v>
      </c>
      <c r="AK17" s="89" t="b">
        <v>0</v>
      </c>
      <c r="AL17" s="89" t="b">
        <v>0</v>
      </c>
      <c r="AM17" s="89" t="b">
        <v>0</v>
      </c>
      <c r="AN17" s="111" t="str">
        <v>---</v>
      </c>
      <c r="AO17" s="89" t="str">
        <v/>
      </c>
      <c r="AP17" s="198">
        <v>38</v>
      </c>
      <c r="AQ17" s="358">
        <v>0</v>
      </c>
    </row>
    <row r="18" spans="1:43" ht="27" customHeight="1">
      <c r="A18" s="123" t="s">
        <v>724</v>
      </c>
      <c r="C18" s="269">
        <v>11</v>
      </c>
      <c r="D18" s="89" t="str">
        <v>PROJ</v>
      </c>
      <c r="E18" s="252">
        <v>8</v>
      </c>
      <c r="F18" s="89" t="b">
        <v>0</v>
      </c>
      <c r="G18" s="89" t="str">
        <v>WEEK 39</v>
      </c>
      <c r="H18" s="89" t="str">
        <v>---</v>
      </c>
      <c r="I18" s="89" t="str">
        <v>---</v>
      </c>
      <c r="J18" s="89" t="str">
        <v>---</v>
      </c>
      <c r="K18" s="202" t="str">
        <v>XXXXXXXXX</v>
      </c>
      <c r="L18" s="202" t="str">
        <v>XXXXXXXXX</v>
      </c>
      <c r="M18" s="277" t="str">
        <v>(09/21/26-09/27/26)</v>
      </c>
      <c r="N18" s="197">
        <v>46288</v>
      </c>
      <c r="O18" s="89" t="b">
        <v>0</v>
      </c>
      <c r="P18" s="198">
        <v>4</v>
      </c>
      <c r="Q18" s="197">
        <v>46292</v>
      </c>
      <c r="R18" s="202" t="str">
        <v>XXXXXX XXXX</v>
      </c>
      <c r="S18" s="89" t="b">
        <v>0</v>
      </c>
      <c r="T18" s="202" t="str">
        <v>XXXXXX XXXX</v>
      </c>
      <c r="U18" s="89" t="b">
        <v>0</v>
      </c>
      <c r="V18" s="197">
        <v>46317</v>
      </c>
      <c r="W18" s="198">
        <v>25</v>
      </c>
      <c r="X18" s="89" t="b">
        <v>0</v>
      </c>
      <c r="Y18" s="89" t="b">
        <v>0</v>
      </c>
      <c r="Z18" s="198">
        <v>8</v>
      </c>
      <c r="AA18" s="197">
        <v>46325</v>
      </c>
      <c r="AB18" s="197">
        <v>46330</v>
      </c>
      <c r="AC18" s="89" t="b">
        <v>0</v>
      </c>
      <c r="AD18" s="198">
        <v>13</v>
      </c>
      <c r="AE18" s="89" t="b">
        <v>0</v>
      </c>
      <c r="AF18" s="197">
        <v>46335</v>
      </c>
      <c r="AG18" s="201" t="str">
        <v>XX PM</v>
      </c>
      <c r="AH18" s="201" t="str">
        <v>XXXXXXX</v>
      </c>
      <c r="AI18" s="198">
        <v>5</v>
      </c>
      <c r="AJ18" s="198">
        <v>2</v>
      </c>
      <c r="AK18" s="89" t="b">
        <v>0</v>
      </c>
      <c r="AL18" s="89" t="b">
        <v>0</v>
      </c>
      <c r="AM18" s="89" t="b">
        <v>0</v>
      </c>
      <c r="AN18" s="111" t="str">
        <v>---</v>
      </c>
      <c r="AO18" s="89" t="str">
        <v/>
      </c>
      <c r="AP18" s="198">
        <v>38</v>
      </c>
      <c r="AQ18" s="358">
        <v>0</v>
      </c>
    </row>
    <row r="19" spans="1:43" ht="27" customHeight="1">
      <c r="A19" s="119" t="s">
        <v>725</v>
      </c>
      <c r="C19" s="269">
        <v>11</v>
      </c>
      <c r="D19" s="89" t="str">
        <v>PROJ</v>
      </c>
      <c r="E19" s="252">
        <v>9</v>
      </c>
      <c r="F19" s="89" t="b">
        <v>0</v>
      </c>
      <c r="G19" s="89" t="str">
        <v>WEEK 40</v>
      </c>
      <c r="H19" s="89" t="str">
        <v>---</v>
      </c>
      <c r="I19" s="89" t="str">
        <v>---</v>
      </c>
      <c r="J19" s="89" t="str">
        <v>---</v>
      </c>
      <c r="K19" s="202" t="str">
        <v>XXXXXXXXX</v>
      </c>
      <c r="L19" s="202" t="str">
        <v>XXXXXXXXX</v>
      </c>
      <c r="M19" s="277" t="str">
        <v>(09/28/26-10/04/26)</v>
      </c>
      <c r="N19" s="197">
        <v>46295</v>
      </c>
      <c r="O19" s="89" t="b">
        <v>0</v>
      </c>
      <c r="P19" s="198">
        <v>4</v>
      </c>
      <c r="Q19" s="197">
        <v>46299</v>
      </c>
      <c r="R19" s="202" t="str">
        <v>XXXXXX XXXX</v>
      </c>
      <c r="S19" s="89" t="b">
        <v>0</v>
      </c>
      <c r="T19" s="202" t="str">
        <v>XXXXXX XXXX</v>
      </c>
      <c r="U19" s="89" t="b">
        <v>0</v>
      </c>
      <c r="V19" s="197">
        <v>46324</v>
      </c>
      <c r="W19" s="198">
        <v>25</v>
      </c>
      <c r="X19" s="89" t="b">
        <v>0</v>
      </c>
      <c r="Y19" s="89" t="b">
        <v>0</v>
      </c>
      <c r="Z19" s="198">
        <v>8</v>
      </c>
      <c r="AA19" s="197">
        <v>46332</v>
      </c>
      <c r="AB19" s="197">
        <v>46337</v>
      </c>
      <c r="AC19" s="89" t="b">
        <v>0</v>
      </c>
      <c r="AD19" s="198">
        <v>13</v>
      </c>
      <c r="AE19" s="89" t="b">
        <v>0</v>
      </c>
      <c r="AF19" s="197">
        <v>46342</v>
      </c>
      <c r="AG19" s="201" t="str">
        <v>XX PM</v>
      </c>
      <c r="AH19" s="201" t="str">
        <v>XXXXXXX</v>
      </c>
      <c r="AI19" s="198">
        <v>5</v>
      </c>
      <c r="AJ19" s="198">
        <v>2</v>
      </c>
      <c r="AK19" s="89" t="b">
        <v>0</v>
      </c>
      <c r="AL19" s="89" t="b">
        <v>0</v>
      </c>
      <c r="AM19" s="89" t="b">
        <v>0</v>
      </c>
      <c r="AN19" s="111" t="str">
        <v>---</v>
      </c>
      <c r="AO19" s="89" t="str">
        <v/>
      </c>
      <c r="AP19" s="198">
        <v>38</v>
      </c>
      <c r="AQ19" s="358">
        <v>0</v>
      </c>
    </row>
    <row r="20" spans="1:43" ht="27" customHeight="1">
      <c r="C20" s="269">
        <v>11</v>
      </c>
      <c r="D20" s="89" t="str">
        <v>PROJ</v>
      </c>
      <c r="E20" s="252">
        <v>10</v>
      </c>
      <c r="F20" s="89" t="b">
        <v>0</v>
      </c>
      <c r="G20" s="89" t="str">
        <v>WEEK 41</v>
      </c>
      <c r="H20" s="89" t="str">
        <v>---</v>
      </c>
      <c r="I20" s="89" t="str">
        <v>---</v>
      </c>
      <c r="J20" s="89" t="str">
        <v>---</v>
      </c>
      <c r="K20" s="202" t="str">
        <v>XXXXXXXXX</v>
      </c>
      <c r="L20" s="202" t="str">
        <v>XXXXXXXXX</v>
      </c>
      <c r="M20" s="277" t="str">
        <v>(10/05/26-10/11/26)</v>
      </c>
      <c r="N20" s="197">
        <v>46302</v>
      </c>
      <c r="O20" s="89" t="b">
        <v>0</v>
      </c>
      <c r="P20" s="198">
        <v>4</v>
      </c>
      <c r="Q20" s="197">
        <v>46306</v>
      </c>
      <c r="R20" s="202" t="str">
        <v>XXXXXX XXXX</v>
      </c>
      <c r="S20" s="89" t="b">
        <v>0</v>
      </c>
      <c r="T20" s="202" t="str">
        <v>XXXXXX XXXX</v>
      </c>
      <c r="U20" s="89" t="b">
        <v>0</v>
      </c>
      <c r="V20" s="197">
        <v>46331</v>
      </c>
      <c r="W20" s="198">
        <v>25</v>
      </c>
      <c r="X20" s="89" t="b">
        <v>0</v>
      </c>
      <c r="Y20" s="89" t="b">
        <v>0</v>
      </c>
      <c r="Z20" s="198">
        <v>8</v>
      </c>
      <c r="AA20" s="197">
        <v>46339</v>
      </c>
      <c r="AB20" s="197">
        <v>46344</v>
      </c>
      <c r="AC20" s="89" t="b">
        <v>0</v>
      </c>
      <c r="AD20" s="198">
        <v>13</v>
      </c>
      <c r="AE20" s="89" t="b">
        <v>0</v>
      </c>
      <c r="AF20" s="197">
        <v>46349</v>
      </c>
      <c r="AG20" s="201" t="str">
        <v>XX PM</v>
      </c>
      <c r="AH20" s="201" t="str">
        <v>XXXXXXX</v>
      </c>
      <c r="AI20" s="198">
        <v>5</v>
      </c>
      <c r="AJ20" s="198">
        <v>2</v>
      </c>
      <c r="AK20" s="89" t="b">
        <v>0</v>
      </c>
      <c r="AL20" s="89" t="b">
        <v>0</v>
      </c>
      <c r="AM20" s="89" t="b">
        <v>0</v>
      </c>
      <c r="AN20" s="111" t="str">
        <v>---</v>
      </c>
      <c r="AO20" s="89" t="str">
        <v/>
      </c>
      <c r="AP20" s="198">
        <v>38</v>
      </c>
      <c r="AQ20" s="358">
        <v>0</v>
      </c>
    </row>
    <row r="21" spans="1:43" ht="27" customHeight="1">
      <c r="C21" s="269">
        <v>11</v>
      </c>
      <c r="D21" s="89" t="str">
        <v>PROJ</v>
      </c>
      <c r="E21" s="252">
        <v>11</v>
      </c>
      <c r="F21" s="89" t="b">
        <v>0</v>
      </c>
      <c r="G21" s="89" t="str">
        <v>WEEK 42</v>
      </c>
      <c r="H21" s="89" t="str">
        <v>---</v>
      </c>
      <c r="I21" s="89" t="str">
        <v>---</v>
      </c>
      <c r="J21" s="89" t="str">
        <v>---</v>
      </c>
      <c r="K21" s="202" t="str">
        <v>XXXXXXXXX</v>
      </c>
      <c r="L21" s="202" t="str">
        <v>XXXXXXXXX</v>
      </c>
      <c r="M21" s="277" t="str">
        <v>(10/12/26-10/18/26)</v>
      </c>
      <c r="N21" s="197">
        <v>46309</v>
      </c>
      <c r="O21" s="89" t="b">
        <v>0</v>
      </c>
      <c r="P21" s="198">
        <v>4</v>
      </c>
      <c r="Q21" s="197">
        <v>46313</v>
      </c>
      <c r="R21" s="202" t="str">
        <v>XXXXXX XXXX</v>
      </c>
      <c r="S21" s="89" t="b">
        <v>0</v>
      </c>
      <c r="T21" s="202" t="str">
        <v>XXXXXX XXXX</v>
      </c>
      <c r="U21" s="89" t="b">
        <v>0</v>
      </c>
      <c r="V21" s="197">
        <v>46338</v>
      </c>
      <c r="W21" s="198">
        <v>25</v>
      </c>
      <c r="X21" s="89" t="b">
        <v>0</v>
      </c>
      <c r="Y21" s="89" t="b">
        <v>0</v>
      </c>
      <c r="Z21" s="198">
        <v>8</v>
      </c>
      <c r="AA21" s="197">
        <v>46346</v>
      </c>
      <c r="AB21" s="197">
        <v>46351</v>
      </c>
      <c r="AC21" s="89" t="b">
        <v>0</v>
      </c>
      <c r="AD21" s="198">
        <v>13</v>
      </c>
      <c r="AE21" s="89" t="b">
        <v>0</v>
      </c>
      <c r="AF21" s="197">
        <v>46356</v>
      </c>
      <c r="AG21" s="201" t="str">
        <v>XX PM</v>
      </c>
      <c r="AH21" s="201" t="str">
        <v>XXXXXXX</v>
      </c>
      <c r="AI21" s="198">
        <v>5</v>
      </c>
      <c r="AJ21" s="198">
        <v>2</v>
      </c>
      <c r="AK21" s="89" t="b">
        <v>0</v>
      </c>
      <c r="AL21" s="89" t="b">
        <v>0</v>
      </c>
      <c r="AM21" s="89" t="b">
        <v>0</v>
      </c>
      <c r="AN21" s="111" t="str">
        <v>---</v>
      </c>
      <c r="AO21" s="89" t="str">
        <v/>
      </c>
      <c r="AP21" s="198">
        <v>38</v>
      </c>
      <c r="AQ21" s="358">
        <v>0</v>
      </c>
    </row>
    <row r="22" spans="1:43" ht="27" customHeight="1">
      <c r="C22" s="269">
        <v>11</v>
      </c>
      <c r="D22" s="89" t="str">
        <v>PROJ</v>
      </c>
      <c r="E22" s="252">
        <v>12</v>
      </c>
      <c r="F22" s="89" t="b">
        <v>0</v>
      </c>
      <c r="G22" s="89" t="str">
        <v>WEEK 43</v>
      </c>
      <c r="H22" s="89" t="str">
        <v>---</v>
      </c>
      <c r="I22" s="89" t="str">
        <v>---</v>
      </c>
      <c r="J22" s="89" t="str">
        <v>---</v>
      </c>
      <c r="K22" s="202" t="str">
        <v>XXXXXXXXX</v>
      </c>
      <c r="L22" s="202" t="str">
        <v>XXXXXXXXX</v>
      </c>
      <c r="M22" s="277" t="str">
        <v>(10/19/26-10/25/26)</v>
      </c>
      <c r="N22" s="197">
        <v>46316</v>
      </c>
      <c r="O22" s="89" t="b">
        <v>0</v>
      </c>
      <c r="P22" s="198">
        <v>4</v>
      </c>
      <c r="Q22" s="197">
        <v>46320</v>
      </c>
      <c r="R22" s="202" t="str">
        <v>XXXXXX XXXX</v>
      </c>
      <c r="S22" s="89" t="b">
        <v>0</v>
      </c>
      <c r="T22" s="202" t="str">
        <v>XXXXXX XXXX</v>
      </c>
      <c r="U22" s="89" t="b">
        <v>0</v>
      </c>
      <c r="V22" s="197">
        <v>46345</v>
      </c>
      <c r="W22" s="198">
        <v>25</v>
      </c>
      <c r="X22" s="89" t="b">
        <v>0</v>
      </c>
      <c r="Y22" s="89" t="b">
        <v>0</v>
      </c>
      <c r="Z22" s="198">
        <v>8</v>
      </c>
      <c r="AA22" s="197">
        <v>46353</v>
      </c>
      <c r="AB22" s="197">
        <v>46358</v>
      </c>
      <c r="AC22" s="89" t="b">
        <v>0</v>
      </c>
      <c r="AD22" s="198">
        <v>13</v>
      </c>
      <c r="AE22" s="89" t="b">
        <v>0</v>
      </c>
      <c r="AF22" s="197">
        <v>46363</v>
      </c>
      <c r="AG22" s="201" t="str">
        <v>XX PM</v>
      </c>
      <c r="AH22" s="201" t="str">
        <v>XXXXXXX</v>
      </c>
      <c r="AI22" s="198">
        <v>5</v>
      </c>
      <c r="AJ22" s="198">
        <v>2</v>
      </c>
      <c r="AK22" s="89" t="b">
        <v>0</v>
      </c>
      <c r="AL22" s="89" t="b">
        <v>0</v>
      </c>
      <c r="AM22" s="89" t="b">
        <v>0</v>
      </c>
      <c r="AN22" s="111" t="str">
        <v>---</v>
      </c>
      <c r="AO22" s="89" t="str">
        <v/>
      </c>
      <c r="AP22" s="198">
        <v>38</v>
      </c>
      <c r="AQ22" s="358">
        <v>0</v>
      </c>
    </row>
    <row r="23" spans="1:43" ht="27" customHeight="1">
      <c r="C23" s="269">
        <v>11</v>
      </c>
      <c r="D23" s="89" t="str">
        <v>PROJ</v>
      </c>
      <c r="E23" s="252">
        <v>13</v>
      </c>
      <c r="F23" s="89" t="b">
        <v>0</v>
      </c>
      <c r="G23" s="89" t="str">
        <v>WEEK 44</v>
      </c>
      <c r="H23" s="89" t="str">
        <v>---</v>
      </c>
      <c r="I23" s="89" t="str">
        <v>---</v>
      </c>
      <c r="J23" s="89" t="str">
        <v>---</v>
      </c>
      <c r="K23" s="202" t="str">
        <v>XXXXXXXXX</v>
      </c>
      <c r="L23" s="202" t="str">
        <v>XXXXXXXXX</v>
      </c>
      <c r="M23" s="277" t="str">
        <v>(10/26/26-11/01/26)</v>
      </c>
      <c r="N23" s="197">
        <v>46323</v>
      </c>
      <c r="O23" s="89" t="b">
        <v>0</v>
      </c>
      <c r="P23" s="198">
        <v>4</v>
      </c>
      <c r="Q23" s="197">
        <v>46327</v>
      </c>
      <c r="R23" s="202" t="str">
        <v>XXXXXX XXXX</v>
      </c>
      <c r="S23" s="89" t="b">
        <v>0</v>
      </c>
      <c r="T23" s="202" t="str">
        <v>XXXXXX XXXX</v>
      </c>
      <c r="U23" s="89" t="b">
        <v>0</v>
      </c>
      <c r="V23" s="197">
        <v>46352</v>
      </c>
      <c r="W23" s="198">
        <v>25</v>
      </c>
      <c r="X23" s="89" t="b">
        <v>0</v>
      </c>
      <c r="Y23" s="89" t="b">
        <v>0</v>
      </c>
      <c r="Z23" s="198">
        <v>8</v>
      </c>
      <c r="AA23" s="197">
        <v>46360</v>
      </c>
      <c r="AB23" s="197">
        <v>46365</v>
      </c>
      <c r="AC23" s="89" t="b">
        <v>0</v>
      </c>
      <c r="AD23" s="198">
        <v>13</v>
      </c>
      <c r="AE23" s="89" t="b">
        <v>0</v>
      </c>
      <c r="AF23" s="197">
        <v>46370</v>
      </c>
      <c r="AG23" s="201" t="str">
        <v>XX PM</v>
      </c>
      <c r="AH23" s="201" t="str">
        <v>XXXXXXX</v>
      </c>
      <c r="AI23" s="198">
        <v>5</v>
      </c>
      <c r="AJ23" s="198">
        <v>2</v>
      </c>
      <c r="AK23" s="89" t="b">
        <v>0</v>
      </c>
      <c r="AL23" s="89" t="b">
        <v>0</v>
      </c>
      <c r="AM23" s="89" t="b">
        <v>0</v>
      </c>
      <c r="AN23" s="111" t="str">
        <v>---</v>
      </c>
      <c r="AO23" s="89" t="str">
        <v/>
      </c>
      <c r="AP23" s="198">
        <v>38</v>
      </c>
      <c r="AQ23" s="358">
        <v>0</v>
      </c>
    </row>
    <row r="24" spans="1:43" ht="27" customHeight="1">
      <c r="C24" s="269">
        <v>11</v>
      </c>
      <c r="D24" s="89" t="str">
        <v>PROJ</v>
      </c>
      <c r="E24" s="252">
        <v>14</v>
      </c>
      <c r="F24" s="89" t="b">
        <v>0</v>
      </c>
      <c r="G24" s="89" t="str">
        <v>WEEK 45</v>
      </c>
      <c r="H24" s="89" t="str">
        <v>---</v>
      </c>
      <c r="I24" s="89" t="str">
        <v>---</v>
      </c>
      <c r="J24" s="89" t="str">
        <v>---</v>
      </c>
      <c r="K24" s="202" t="str">
        <v>XXXXXXXXX</v>
      </c>
      <c r="L24" s="202" t="str">
        <v>XXXXXXXXX</v>
      </c>
      <c r="M24" s="277" t="str">
        <v>(11/02/26-11/08/26)</v>
      </c>
      <c r="N24" s="197">
        <v>46330</v>
      </c>
      <c r="O24" s="89" t="b">
        <v>0</v>
      </c>
      <c r="P24" s="198">
        <v>4</v>
      </c>
      <c r="Q24" s="197">
        <v>46334</v>
      </c>
      <c r="R24" s="202" t="str">
        <v>XXXXXX XXXX</v>
      </c>
      <c r="S24" s="89" t="b">
        <v>0</v>
      </c>
      <c r="T24" s="202" t="str">
        <v>XXXXXX XXXX</v>
      </c>
      <c r="U24" s="89" t="b">
        <v>0</v>
      </c>
      <c r="V24" s="197">
        <v>46359</v>
      </c>
      <c r="W24" s="198">
        <v>25</v>
      </c>
      <c r="X24" s="89" t="b">
        <v>0</v>
      </c>
      <c r="Y24" s="89" t="b">
        <v>0</v>
      </c>
      <c r="Z24" s="198">
        <v>8</v>
      </c>
      <c r="AA24" s="197">
        <v>46367</v>
      </c>
      <c r="AB24" s="197">
        <v>46372</v>
      </c>
      <c r="AC24" s="89" t="b">
        <v>0</v>
      </c>
      <c r="AD24" s="198">
        <v>13</v>
      </c>
      <c r="AE24" s="89" t="b">
        <v>0</v>
      </c>
      <c r="AF24" s="197">
        <v>46377</v>
      </c>
      <c r="AG24" s="201" t="str">
        <v>XX PM</v>
      </c>
      <c r="AH24" s="201" t="str">
        <v>XXXXXXX</v>
      </c>
      <c r="AI24" s="198">
        <v>5</v>
      </c>
      <c r="AJ24" s="198">
        <v>2</v>
      </c>
      <c r="AK24" s="89" t="b">
        <v>0</v>
      </c>
      <c r="AL24" s="89" t="b">
        <v>0</v>
      </c>
      <c r="AM24" s="89" t="b">
        <v>0</v>
      </c>
      <c r="AN24" s="111" t="str">
        <v>---</v>
      </c>
      <c r="AO24" s="89" t="str">
        <v/>
      </c>
      <c r="AP24" s="198">
        <v>38</v>
      </c>
      <c r="AQ24" s="358">
        <v>0</v>
      </c>
    </row>
    <row r="25" spans="1:43" ht="27" customHeight="1">
      <c r="C25" s="269">
        <v>11</v>
      </c>
      <c r="D25" s="89" t="str">
        <v>PROJ</v>
      </c>
      <c r="E25" s="252">
        <v>15</v>
      </c>
      <c r="F25" s="89" t="b">
        <v>0</v>
      </c>
      <c r="G25" s="89" t="str">
        <v>WEEK 46</v>
      </c>
      <c r="H25" s="89" t="str">
        <v>---</v>
      </c>
      <c r="I25" s="89" t="str">
        <v>---</v>
      </c>
      <c r="J25" s="89" t="str">
        <v>---</v>
      </c>
      <c r="K25" s="202" t="str">
        <v>XXXXXXXXX</v>
      </c>
      <c r="L25" s="202" t="str">
        <v>XXXXXXXXX</v>
      </c>
      <c r="M25" s="277" t="str">
        <v>(11/09/26-11/15/26)</v>
      </c>
      <c r="N25" s="197">
        <v>46337</v>
      </c>
      <c r="O25" s="89" t="b">
        <v>0</v>
      </c>
      <c r="P25" s="198">
        <v>4</v>
      </c>
      <c r="Q25" s="197">
        <v>46341</v>
      </c>
      <c r="R25" s="202" t="str">
        <v>XXXXXX XXXX</v>
      </c>
      <c r="S25" s="89" t="b">
        <v>0</v>
      </c>
      <c r="T25" s="202" t="str">
        <v>XXXXXX XXXX</v>
      </c>
      <c r="U25" s="89" t="b">
        <v>0</v>
      </c>
      <c r="V25" s="197">
        <v>46366</v>
      </c>
      <c r="W25" s="198">
        <v>25</v>
      </c>
      <c r="X25" s="89" t="b">
        <v>0</v>
      </c>
      <c r="Y25" s="89" t="b">
        <v>0</v>
      </c>
      <c r="Z25" s="198">
        <v>8</v>
      </c>
      <c r="AA25" s="197">
        <v>46374</v>
      </c>
      <c r="AB25" s="197">
        <v>46379</v>
      </c>
      <c r="AC25" s="89" t="b">
        <v>0</v>
      </c>
      <c r="AD25" s="198">
        <v>13</v>
      </c>
      <c r="AE25" s="89" t="b">
        <v>0</v>
      </c>
      <c r="AF25" s="197">
        <v>46384</v>
      </c>
      <c r="AG25" s="201" t="str">
        <v>XX PM</v>
      </c>
      <c r="AH25" s="201" t="str">
        <v>XXXXXXX</v>
      </c>
      <c r="AI25" s="198">
        <v>5</v>
      </c>
      <c r="AJ25" s="198">
        <v>2</v>
      </c>
      <c r="AK25" s="89" t="b">
        <v>0</v>
      </c>
      <c r="AL25" s="89" t="b">
        <v>0</v>
      </c>
      <c r="AM25" s="89" t="b">
        <v>0</v>
      </c>
      <c r="AN25" s="111" t="str">
        <v>---</v>
      </c>
      <c r="AO25" s="89" t="str">
        <v/>
      </c>
      <c r="AP25" s="198">
        <v>38</v>
      </c>
      <c r="AQ25" s="358">
        <v>0</v>
      </c>
    </row>
    <row r="26" spans="1:43" ht="27" customHeight="1">
      <c r="C26" s="269">
        <v>11</v>
      </c>
      <c r="D26" s="89" t="str">
        <v>PROJ</v>
      </c>
      <c r="E26" s="252">
        <v>16</v>
      </c>
      <c r="F26" s="89" t="b">
        <v>0</v>
      </c>
      <c r="G26" s="89" t="str">
        <v>WEEK 47</v>
      </c>
      <c r="H26" s="89" t="str">
        <v>---</v>
      </c>
      <c r="I26" s="89" t="str">
        <v>---</v>
      </c>
      <c r="J26" s="89" t="str">
        <v>---</v>
      </c>
      <c r="K26" s="202" t="str">
        <v>XXXXXXXXX</v>
      </c>
      <c r="L26" s="202" t="str">
        <v>XXXXXXXXX</v>
      </c>
      <c r="M26" s="277" t="str">
        <v>(11/16/26-11/22/26)</v>
      </c>
      <c r="N26" s="197">
        <v>46344</v>
      </c>
      <c r="O26" s="89" t="b">
        <v>0</v>
      </c>
      <c r="P26" s="198">
        <v>4</v>
      </c>
      <c r="Q26" s="197">
        <v>46348</v>
      </c>
      <c r="R26" s="202" t="str">
        <v>XXXXXX XXXX</v>
      </c>
      <c r="S26" s="89" t="b">
        <v>0</v>
      </c>
      <c r="T26" s="202" t="str">
        <v>XXXXXX XXXX</v>
      </c>
      <c r="U26" s="89" t="b">
        <v>0</v>
      </c>
      <c r="V26" s="197">
        <v>46373</v>
      </c>
      <c r="W26" s="198">
        <v>25</v>
      </c>
      <c r="X26" s="89" t="b">
        <v>0</v>
      </c>
      <c r="Y26" s="89" t="b">
        <v>0</v>
      </c>
      <c r="Z26" s="198">
        <v>8</v>
      </c>
      <c r="AA26" s="197">
        <v>46381</v>
      </c>
      <c r="AB26" s="197">
        <v>46386</v>
      </c>
      <c r="AC26" s="89" t="b">
        <v>0</v>
      </c>
      <c r="AD26" s="198">
        <v>13</v>
      </c>
      <c r="AE26" s="89" t="b">
        <v>0</v>
      </c>
      <c r="AF26" s="197">
        <v>46391</v>
      </c>
      <c r="AG26" s="201" t="str">
        <v>XX PM</v>
      </c>
      <c r="AH26" s="201" t="str">
        <v>XXXXXXX</v>
      </c>
      <c r="AI26" s="198">
        <v>5</v>
      </c>
      <c r="AJ26" s="198">
        <v>2</v>
      </c>
      <c r="AK26" s="89" t="b">
        <v>0</v>
      </c>
      <c r="AL26" s="89" t="b">
        <v>0</v>
      </c>
      <c r="AM26" s="89" t="b">
        <v>0</v>
      </c>
      <c r="AN26" s="111" t="str">
        <v>---</v>
      </c>
      <c r="AO26" s="89" t="str">
        <v/>
      </c>
      <c r="AP26" s="198">
        <v>38</v>
      </c>
      <c r="AQ26" s="358">
        <v>0</v>
      </c>
    </row>
    <row r="27" spans="1:43" ht="27" customHeight="1">
      <c r="C27" s="269">
        <v>11</v>
      </c>
      <c r="D27" s="89" t="str">
        <v>PROJ</v>
      </c>
      <c r="E27" s="252">
        <v>17</v>
      </c>
      <c r="F27" s="89" t="b">
        <v>0</v>
      </c>
      <c r="G27" s="89" t="str">
        <v>WEEK 48</v>
      </c>
      <c r="H27" s="89" t="str">
        <v>---</v>
      </c>
      <c r="I27" s="89" t="str">
        <v>---</v>
      </c>
      <c r="J27" s="89" t="str">
        <v>---</v>
      </c>
      <c r="K27" s="202" t="str">
        <v>XXXXXXXXX</v>
      </c>
      <c r="L27" s="202" t="str">
        <v>XXXXXXXXX</v>
      </c>
      <c r="M27" s="277" t="str">
        <v>(11/23/26-11/29/26)</v>
      </c>
      <c r="N27" s="197">
        <v>46351</v>
      </c>
      <c r="O27" s="89" t="b">
        <v>0</v>
      </c>
      <c r="P27" s="198">
        <v>4</v>
      </c>
      <c r="Q27" s="197">
        <v>46355</v>
      </c>
      <c r="R27" s="202" t="str">
        <v>XXXXXX XXXX</v>
      </c>
      <c r="S27" s="89" t="b">
        <v>0</v>
      </c>
      <c r="T27" s="202" t="str">
        <v>XXXXXX XXXX</v>
      </c>
      <c r="U27" s="89" t="b">
        <v>0</v>
      </c>
      <c r="V27" s="197">
        <v>46380</v>
      </c>
      <c r="W27" s="198">
        <v>25</v>
      </c>
      <c r="X27" s="89" t="b">
        <v>0</v>
      </c>
      <c r="Y27" s="89" t="b">
        <v>0</v>
      </c>
      <c r="Z27" s="198">
        <v>8</v>
      </c>
      <c r="AA27" s="197">
        <v>46388</v>
      </c>
      <c r="AB27" s="197">
        <v>46393</v>
      </c>
      <c r="AC27" s="89" t="b">
        <v>0</v>
      </c>
      <c r="AD27" s="198">
        <v>13</v>
      </c>
      <c r="AE27" s="89" t="b">
        <v>0</v>
      </c>
      <c r="AF27" s="197">
        <v>46398</v>
      </c>
      <c r="AG27" s="201" t="str">
        <v>XX PM</v>
      </c>
      <c r="AH27" s="201" t="str">
        <v>XXXXXXX</v>
      </c>
      <c r="AI27" s="198">
        <v>5</v>
      </c>
      <c r="AJ27" s="198">
        <v>2</v>
      </c>
      <c r="AK27" s="89" t="b">
        <v>0</v>
      </c>
      <c r="AL27" s="89" t="b">
        <v>0</v>
      </c>
      <c r="AM27" s="89" t="b">
        <v>0</v>
      </c>
      <c r="AN27" s="111" t="str">
        <v>---</v>
      </c>
      <c r="AO27" s="89" t="str">
        <v/>
      </c>
      <c r="AP27" s="198">
        <v>38</v>
      </c>
      <c r="AQ27" s="358">
        <v>0</v>
      </c>
    </row>
    <row r="28" spans="1:43" ht="27" customHeight="1">
      <c r="C28" s="269">
        <v>11</v>
      </c>
      <c r="D28" s="89" t="str">
        <v>PROJ</v>
      </c>
      <c r="E28" s="252">
        <v>18</v>
      </c>
      <c r="F28" s="89" t="b">
        <v>0</v>
      </c>
      <c r="G28" s="89" t="str">
        <v>WEEK 49</v>
      </c>
      <c r="H28" s="89" t="str">
        <v>---</v>
      </c>
      <c r="I28" s="89" t="str">
        <v>---</v>
      </c>
      <c r="J28" s="89" t="str">
        <v>---</v>
      </c>
      <c r="K28" s="202" t="str">
        <v>XXXXXXXXX</v>
      </c>
      <c r="L28" s="202" t="str">
        <v>XXXXXXXXX</v>
      </c>
      <c r="M28" s="277" t="str">
        <v>(11/30/26-12/06/26)</v>
      </c>
      <c r="N28" s="197">
        <v>46358</v>
      </c>
      <c r="O28" s="89" t="b">
        <v>0</v>
      </c>
      <c r="P28" s="198">
        <v>4</v>
      </c>
      <c r="Q28" s="197">
        <v>46362</v>
      </c>
      <c r="R28" s="202" t="str">
        <v>XXXXXX XXXX</v>
      </c>
      <c r="S28" s="89" t="b">
        <v>0</v>
      </c>
      <c r="T28" s="202" t="str">
        <v>XXXXXX XXXX</v>
      </c>
      <c r="U28" s="89" t="b">
        <v>0</v>
      </c>
      <c r="V28" s="197">
        <v>46387</v>
      </c>
      <c r="W28" s="198">
        <v>25</v>
      </c>
      <c r="X28" s="89" t="b">
        <v>0</v>
      </c>
      <c r="Y28" s="89" t="b">
        <v>0</v>
      </c>
      <c r="Z28" s="198">
        <v>8</v>
      </c>
      <c r="AA28" s="197">
        <v>46395</v>
      </c>
      <c r="AB28" s="197">
        <v>46400</v>
      </c>
      <c r="AC28" s="89" t="b">
        <v>0</v>
      </c>
      <c r="AD28" s="198">
        <v>13</v>
      </c>
      <c r="AE28" s="89" t="b">
        <v>0</v>
      </c>
      <c r="AF28" s="197">
        <v>46405</v>
      </c>
      <c r="AG28" s="201" t="str">
        <v>XX PM</v>
      </c>
      <c r="AH28" s="201" t="str">
        <v>XXXXXXX</v>
      </c>
      <c r="AI28" s="198">
        <v>5</v>
      </c>
      <c r="AJ28" s="198">
        <v>2</v>
      </c>
      <c r="AK28" s="89" t="b">
        <v>0</v>
      </c>
      <c r="AL28" s="89" t="b">
        <v>0</v>
      </c>
      <c r="AM28" s="89" t="b">
        <v>0</v>
      </c>
      <c r="AN28" s="111" t="str">
        <v>---</v>
      </c>
      <c r="AO28" s="89" t="str">
        <v/>
      </c>
      <c r="AP28" s="198">
        <v>38</v>
      </c>
      <c r="AQ28" s="358">
        <v>0</v>
      </c>
    </row>
    <row r="29" spans="1:43" ht="27" customHeight="1">
      <c r="C29" s="269">
        <v>11</v>
      </c>
      <c r="D29" s="89" t="str">
        <v>PROJ</v>
      </c>
      <c r="E29" s="252">
        <v>19</v>
      </c>
      <c r="F29" s="89" t="b">
        <v>0</v>
      </c>
      <c r="G29" s="89" t="str">
        <v>WEEK 50</v>
      </c>
      <c r="H29" s="89" t="str">
        <v>---</v>
      </c>
      <c r="I29" s="89" t="str">
        <v>---</v>
      </c>
      <c r="J29" s="89" t="str">
        <v>---</v>
      </c>
      <c r="K29" s="202" t="str">
        <v>XXXXXXXXX</v>
      </c>
      <c r="L29" s="202" t="str">
        <v>XXXXXXXXX</v>
      </c>
      <c r="M29" s="277" t="str">
        <v>(12/07/26-12/13/26)</v>
      </c>
      <c r="N29" s="197">
        <v>46365</v>
      </c>
      <c r="O29" s="89" t="b">
        <v>0</v>
      </c>
      <c r="P29" s="198">
        <v>4</v>
      </c>
      <c r="Q29" s="197">
        <v>46369</v>
      </c>
      <c r="R29" s="202" t="str">
        <v>XXXXXX XXXX</v>
      </c>
      <c r="S29" s="89" t="b">
        <v>0</v>
      </c>
      <c r="T29" s="202" t="str">
        <v>XXXXXX XXXX</v>
      </c>
      <c r="U29" s="89" t="b">
        <v>0</v>
      </c>
      <c r="V29" s="197">
        <v>46394</v>
      </c>
      <c r="W29" s="198">
        <v>25</v>
      </c>
      <c r="X29" s="89" t="b">
        <v>0</v>
      </c>
      <c r="Y29" s="89" t="b">
        <v>0</v>
      </c>
      <c r="Z29" s="198">
        <v>8</v>
      </c>
      <c r="AA29" s="197">
        <v>46402</v>
      </c>
      <c r="AB29" s="197">
        <v>46407</v>
      </c>
      <c r="AC29" s="89" t="b">
        <v>0</v>
      </c>
      <c r="AD29" s="198">
        <v>13</v>
      </c>
      <c r="AE29" s="89" t="b">
        <v>0</v>
      </c>
      <c r="AF29" s="197">
        <v>46412</v>
      </c>
      <c r="AG29" s="201" t="str">
        <v>XX PM</v>
      </c>
      <c r="AH29" s="201" t="str">
        <v>XXXXXXX</v>
      </c>
      <c r="AI29" s="198">
        <v>5</v>
      </c>
      <c r="AJ29" s="198">
        <v>2</v>
      </c>
      <c r="AK29" s="89" t="b">
        <v>0</v>
      </c>
      <c r="AL29" s="89" t="b">
        <v>0</v>
      </c>
      <c r="AM29" s="89" t="b">
        <v>0</v>
      </c>
      <c r="AN29" s="111" t="str">
        <v>---</v>
      </c>
      <c r="AO29" s="89" t="str">
        <v/>
      </c>
      <c r="AP29" s="198">
        <v>38</v>
      </c>
      <c r="AQ29" s="358">
        <v>0</v>
      </c>
    </row>
    <row r="30" spans="1:43" ht="27" customHeight="1">
      <c r="C30" s="269">
        <v>11</v>
      </c>
      <c r="D30" s="89" t="str">
        <v>PROJ</v>
      </c>
      <c r="E30" s="252">
        <v>20</v>
      </c>
      <c r="F30" s="89" t="b">
        <v>0</v>
      </c>
      <c r="G30" s="89" t="str">
        <v>WEEK 51</v>
      </c>
      <c r="H30" s="89" t="str">
        <v>---</v>
      </c>
      <c r="I30" s="89" t="str">
        <v>---</v>
      </c>
      <c r="J30" s="89" t="str">
        <v>---</v>
      </c>
      <c r="K30" s="202" t="str">
        <v>XXXXXXXXX</v>
      </c>
      <c r="L30" s="202" t="str">
        <v>XXXXXXXXX</v>
      </c>
      <c r="M30" s="277" t="str">
        <v>(12/14/26-12/20/26)</v>
      </c>
      <c r="N30" s="197">
        <v>46372</v>
      </c>
      <c r="O30" s="89" t="b">
        <v>0</v>
      </c>
      <c r="P30" s="198">
        <v>4</v>
      </c>
      <c r="Q30" s="197">
        <v>46376</v>
      </c>
      <c r="R30" s="202" t="str">
        <v>XXXXXX XXXX</v>
      </c>
      <c r="S30" s="89" t="b">
        <v>0</v>
      </c>
      <c r="T30" s="202" t="str">
        <v>XXXXXX XXXX</v>
      </c>
      <c r="U30" s="89" t="b">
        <v>0</v>
      </c>
      <c r="V30" s="197">
        <v>46401</v>
      </c>
      <c r="W30" s="198">
        <v>25</v>
      </c>
      <c r="X30" s="89" t="b">
        <v>0</v>
      </c>
      <c r="Y30" s="89" t="b">
        <v>0</v>
      </c>
      <c r="Z30" s="198">
        <v>8</v>
      </c>
      <c r="AA30" s="197">
        <v>46409</v>
      </c>
      <c r="AB30" s="197">
        <v>46414</v>
      </c>
      <c r="AC30" s="89" t="b">
        <v>0</v>
      </c>
      <c r="AD30" s="198">
        <v>13</v>
      </c>
      <c r="AE30" s="89" t="b">
        <v>0</v>
      </c>
      <c r="AF30" s="197">
        <v>46419</v>
      </c>
      <c r="AG30" s="201" t="str">
        <v>XX PM</v>
      </c>
      <c r="AH30" s="201" t="str">
        <v>XXXXXXX</v>
      </c>
      <c r="AI30" s="198">
        <v>5</v>
      </c>
      <c r="AJ30" s="198">
        <v>2</v>
      </c>
      <c r="AK30" s="89" t="b">
        <v>0</v>
      </c>
      <c r="AL30" s="89" t="b">
        <v>0</v>
      </c>
      <c r="AM30" s="89" t="b">
        <v>0</v>
      </c>
      <c r="AN30" s="111" t="str">
        <v>---</v>
      </c>
      <c r="AO30" s="89" t="str">
        <v/>
      </c>
      <c r="AP30" s="198">
        <v>38</v>
      </c>
      <c r="AQ30" s="358">
        <v>0</v>
      </c>
    </row>
    <row r="31" spans="1:43" ht="27" customHeight="1">
      <c r="C31" s="269">
        <v>11</v>
      </c>
      <c r="D31" s="89" t="str">
        <v>PROJ</v>
      </c>
      <c r="E31" s="252">
        <v>21</v>
      </c>
      <c r="F31" s="89" t="b">
        <v>0</v>
      </c>
      <c r="G31" s="89" t="str">
        <v>WEEK 52</v>
      </c>
      <c r="H31" s="89" t="str">
        <v>---</v>
      </c>
      <c r="I31" s="89" t="str">
        <v>---</v>
      </c>
      <c r="J31" s="89" t="str">
        <v>---</v>
      </c>
      <c r="K31" s="202" t="str">
        <v>XXXXXXXXX</v>
      </c>
      <c r="L31" s="202" t="str">
        <v>XXXXXXXXX</v>
      </c>
      <c r="M31" s="277" t="str">
        <v>(12/27/27-01/02/28)</v>
      </c>
      <c r="N31" s="197">
        <v>46750</v>
      </c>
      <c r="O31" s="89" t="b">
        <v>0</v>
      </c>
      <c r="P31" s="198">
        <v>4</v>
      </c>
      <c r="Q31" s="197">
        <v>46754</v>
      </c>
      <c r="R31" s="202" t="str">
        <v>XXXXXX XXXX</v>
      </c>
      <c r="S31" s="89" t="b">
        <v>0</v>
      </c>
      <c r="T31" s="202" t="str">
        <v>XXXXXX XXXX</v>
      </c>
      <c r="U31" s="89" t="b">
        <v>0</v>
      </c>
      <c r="V31" s="197">
        <v>46408</v>
      </c>
      <c r="W31" s="198">
        <v>-346</v>
      </c>
      <c r="X31" s="89" t="b">
        <v>0</v>
      </c>
      <c r="Y31" s="89" t="b">
        <v>0</v>
      </c>
      <c r="Z31" s="198">
        <v>8</v>
      </c>
      <c r="AA31" s="197">
        <v>46416</v>
      </c>
      <c r="AB31" s="197">
        <v>46421</v>
      </c>
      <c r="AC31" s="89" t="b">
        <v>0</v>
      </c>
      <c r="AD31" s="198">
        <v>13</v>
      </c>
      <c r="AE31" s="89" t="b">
        <v>0</v>
      </c>
      <c r="AF31" s="197">
        <v>46426</v>
      </c>
      <c r="AG31" s="201" t="str">
        <v>XX PM</v>
      </c>
      <c r="AH31" s="201" t="str">
        <v>XXXXXXX</v>
      </c>
      <c r="AI31" s="198">
        <v>5</v>
      </c>
      <c r="AJ31" s="198">
        <v>2</v>
      </c>
      <c r="AK31" s="89" t="b">
        <v>0</v>
      </c>
      <c r="AL31" s="89" t="b">
        <v>0</v>
      </c>
      <c r="AM31" s="89" t="b">
        <v>0</v>
      </c>
      <c r="AN31" s="111" t="str">
        <v>---</v>
      </c>
      <c r="AO31" s="89" t="str">
        <v/>
      </c>
      <c r="AP31" s="198">
        <v>-333</v>
      </c>
      <c r="AQ31" s="358">
        <v>0</v>
      </c>
    </row>
    <row r="57" ht="14.45" customHeight="1"/>
  </sheetData>
  <mergeCells count="11">
    <mergeCell ref="A3:A4"/>
    <mergeCell ref="F6:M6"/>
    <mergeCell ref="M3:N3"/>
    <mergeCell ref="C6:E6"/>
    <mergeCell ref="N6:O6"/>
    <mergeCell ref="P6:S6"/>
    <mergeCell ref="AQ6:AQ7"/>
    <mergeCell ref="AE6:AJ6"/>
    <mergeCell ref="AK6:AP6"/>
    <mergeCell ref="T6:W6"/>
    <mergeCell ref="Y6:AD6"/>
  </mergeCells>
  <pageMargins left="0.7" right="0.7" top="0.75" bottom="0.75" header="0.3" footer="0.3"/>
  <pageSetup paperSize="17" scale="50"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1BFB3-9F35-4FA1-8212-A240E7D9069A}">
  <sheetPr>
    <tabColor theme="8"/>
  </sheetPr>
  <dimension ref="B1:AU207"/>
  <sheetViews>
    <sheetView zoomScale="106" zoomScaleNormal="106" workbookViewId="0">
      <pane xSplit="7" ySplit="10" topLeftCell="H147" activePane="bottomRight" state="frozen"/>
      <selection pane="bottomRight" activeCell="W4" sqref="W4"/>
      <selection pane="bottomLeft" activeCell="A11" sqref="A11"/>
      <selection pane="topRight" activeCell="H1" sqref="H1"/>
    </sheetView>
  </sheetViews>
  <sheetFormatPr defaultRowHeight="13.9"/>
  <cols>
    <col min="1" max="1" width="3.25" customWidth="1"/>
    <col min="2" max="2" width="9.625" customWidth="1"/>
    <col min="3" max="5" width="11.75" customWidth="1"/>
    <col min="6" max="6" width="10.625" customWidth="1"/>
    <col min="7" max="7" width="18.75" customWidth="1"/>
    <col min="8" max="8" width="10" customWidth="1"/>
    <col min="9" max="9" width="10.125" customWidth="1"/>
    <col min="10" max="10" width="10" customWidth="1"/>
    <col min="11" max="11" width="10.75" customWidth="1"/>
    <col min="12" max="12" width="10.25" customWidth="1"/>
    <col min="13" max="14" width="10.625" customWidth="1"/>
    <col min="15" max="16" width="10.75" customWidth="1"/>
    <col min="17" max="18" width="10.625" customWidth="1"/>
    <col min="19" max="19" width="10.75" customWidth="1"/>
    <col min="20" max="20" width="10.625" customWidth="1"/>
    <col min="21" max="21" width="11.125" customWidth="1"/>
    <col min="22" max="22" width="10.625" customWidth="1"/>
    <col min="23" max="24" width="11" customWidth="1"/>
    <col min="25" max="26" width="11.125" customWidth="1"/>
    <col min="27" max="28" width="11" customWidth="1"/>
    <col min="29" max="29" width="11.125" customWidth="1"/>
    <col min="30" max="30" width="11" customWidth="1"/>
    <col min="31" max="31" width="11.125" customWidth="1"/>
    <col min="32" max="32" width="10.625" customWidth="1"/>
    <col min="33" max="34" width="11" customWidth="1"/>
    <col min="35" max="36" width="11.125" customWidth="1"/>
    <col min="37" max="38" width="11" customWidth="1"/>
    <col min="39" max="39" width="11.125" customWidth="1"/>
    <col min="40" max="40" width="11" customWidth="1"/>
    <col min="41" max="41" width="11.25" customWidth="1"/>
    <col min="42" max="42" width="10.75" customWidth="1"/>
    <col min="43" max="43" width="11.125" customWidth="1"/>
    <col min="51" max="51" width="16.875" bestFit="1" customWidth="1"/>
  </cols>
  <sheetData>
    <row r="1" spans="2:47" ht="13.9" customHeight="1">
      <c r="AS1" s="243"/>
      <c r="AT1" s="244"/>
      <c r="AU1" s="244"/>
    </row>
    <row r="2" spans="2:47" ht="20.45" customHeight="1">
      <c r="B2" s="88" t="s">
        <v>726</v>
      </c>
      <c r="AS2" s="244"/>
      <c r="AT2" s="244"/>
      <c r="AU2" s="244"/>
    </row>
    <row r="3" spans="2:47" ht="17.45">
      <c r="B3" s="169" t="s">
        <v>727</v>
      </c>
      <c r="C3" s="170"/>
      <c r="D3" s="170"/>
      <c r="AS3" s="244"/>
      <c r="AT3" s="244"/>
      <c r="AU3" s="244"/>
    </row>
    <row r="4" spans="2:47" ht="21" customHeight="1">
      <c r="AS4" s="244"/>
      <c r="AT4" s="244"/>
      <c r="AU4" s="244"/>
    </row>
    <row r="5" spans="2:47" ht="17.45">
      <c r="AS5" s="244"/>
      <c r="AT5" s="244"/>
      <c r="AU5" s="244"/>
    </row>
    <row r="6" spans="2:47" ht="17.45">
      <c r="AS6" s="244"/>
      <c r="AT6" s="244"/>
      <c r="AU6" s="244"/>
    </row>
    <row r="7" spans="2:47" ht="17.45">
      <c r="B7" s="349" t="s">
        <v>728</v>
      </c>
      <c r="C7" s="349"/>
      <c r="D7" s="349"/>
      <c r="E7" s="349"/>
      <c r="F7" s="349"/>
      <c r="G7" s="348" t="s">
        <v>729</v>
      </c>
      <c r="H7" s="344" t="s">
        <v>730</v>
      </c>
      <c r="I7" s="344"/>
      <c r="J7" s="344"/>
      <c r="K7" s="344"/>
      <c r="L7" s="344"/>
      <c r="M7" s="344"/>
      <c r="N7" s="344"/>
      <c r="O7" s="344"/>
      <c r="P7" s="344"/>
      <c r="Q7" s="344"/>
      <c r="R7" s="344"/>
      <c r="S7" s="344"/>
      <c r="T7" s="344"/>
      <c r="U7" s="344"/>
      <c r="V7" s="344" t="s">
        <v>731</v>
      </c>
      <c r="W7" s="344"/>
      <c r="X7" s="344"/>
      <c r="Y7" s="344"/>
      <c r="Z7" s="344"/>
      <c r="AA7" s="344"/>
      <c r="AB7" s="344" t="s">
        <v>732</v>
      </c>
      <c r="AC7" s="344"/>
      <c r="AD7" s="344"/>
      <c r="AE7" s="344"/>
      <c r="AF7" s="344"/>
      <c r="AG7" s="344"/>
      <c r="AH7" s="344"/>
      <c r="AI7" s="344"/>
      <c r="AJ7" s="344" t="s">
        <v>733</v>
      </c>
      <c r="AK7" s="344"/>
      <c r="AL7" s="344"/>
      <c r="AM7" s="344"/>
      <c r="AN7" s="344"/>
      <c r="AO7" s="344"/>
      <c r="AP7" s="344"/>
      <c r="AQ7" s="344"/>
      <c r="AS7" s="244"/>
      <c r="AT7" s="244"/>
      <c r="AU7" s="244"/>
    </row>
    <row r="8" spans="2:47" ht="17.45">
      <c r="B8" s="349"/>
      <c r="C8" s="349"/>
      <c r="D8" s="349"/>
      <c r="E8" s="349"/>
      <c r="F8" s="349"/>
      <c r="G8" s="348"/>
      <c r="H8" s="345" t="s">
        <v>734</v>
      </c>
      <c r="I8" s="347"/>
      <c r="J8" s="343" t="s">
        <v>735</v>
      </c>
      <c r="K8" s="343"/>
      <c r="L8" s="345" t="s">
        <v>736</v>
      </c>
      <c r="M8" s="346"/>
      <c r="N8" s="345" t="s">
        <v>737</v>
      </c>
      <c r="O8" s="346"/>
      <c r="P8" s="345" t="s">
        <v>738</v>
      </c>
      <c r="Q8" s="346"/>
      <c r="R8" s="345" t="s">
        <v>739</v>
      </c>
      <c r="S8" s="347"/>
      <c r="T8" s="345" t="s">
        <v>740</v>
      </c>
      <c r="U8" s="347"/>
      <c r="V8" s="343" t="s">
        <v>741</v>
      </c>
      <c r="W8" s="343"/>
      <c r="X8" s="343" t="s">
        <v>742</v>
      </c>
      <c r="Y8" s="343"/>
      <c r="Z8" s="343" t="s">
        <v>743</v>
      </c>
      <c r="AA8" s="343"/>
      <c r="AB8" s="345" t="s">
        <v>744</v>
      </c>
      <c r="AC8" s="347"/>
      <c r="AD8" s="345" t="s">
        <v>745</v>
      </c>
      <c r="AE8" s="347"/>
      <c r="AF8" s="345" t="s">
        <v>746</v>
      </c>
      <c r="AG8" s="347"/>
      <c r="AH8" s="345" t="s">
        <v>747</v>
      </c>
      <c r="AI8" s="347"/>
      <c r="AJ8" s="345" t="s">
        <v>748</v>
      </c>
      <c r="AK8" s="347"/>
      <c r="AL8" s="345" t="s">
        <v>749</v>
      </c>
      <c r="AM8" s="347"/>
      <c r="AN8" s="345" t="s">
        <v>750</v>
      </c>
      <c r="AO8" s="347"/>
      <c r="AP8" s="345" t="s">
        <v>751</v>
      </c>
      <c r="AQ8" s="347"/>
      <c r="AS8" s="244"/>
      <c r="AT8" s="244"/>
      <c r="AU8" s="244"/>
    </row>
    <row r="9" spans="2:47" ht="17.45">
      <c r="B9" s="98" t="s">
        <v>28</v>
      </c>
      <c r="C9" s="98" t="s">
        <v>752</v>
      </c>
      <c r="D9" s="98" t="s">
        <v>753</v>
      </c>
      <c r="E9" s="98" t="s">
        <v>754</v>
      </c>
      <c r="F9" s="99" t="s">
        <v>755</v>
      </c>
      <c r="G9" s="99" t="s">
        <v>756</v>
      </c>
      <c r="H9" s="129" t="s">
        <v>757</v>
      </c>
      <c r="I9" s="129" t="s">
        <v>758</v>
      </c>
      <c r="J9" s="129" t="s">
        <v>757</v>
      </c>
      <c r="K9" s="129" t="s">
        <v>758</v>
      </c>
      <c r="L9" s="129" t="s">
        <v>757</v>
      </c>
      <c r="M9" s="129" t="s">
        <v>758</v>
      </c>
      <c r="N9" s="129" t="s">
        <v>757</v>
      </c>
      <c r="O9" s="129" t="s">
        <v>758</v>
      </c>
      <c r="P9" s="129" t="s">
        <v>757</v>
      </c>
      <c r="Q9" s="129" t="s">
        <v>758</v>
      </c>
      <c r="R9" s="129" t="s">
        <v>757</v>
      </c>
      <c r="S9" s="129" t="s">
        <v>758</v>
      </c>
      <c r="T9" s="129" t="s">
        <v>757</v>
      </c>
      <c r="U9" s="129" t="s">
        <v>758</v>
      </c>
      <c r="V9" s="129" t="s">
        <v>757</v>
      </c>
      <c r="W9" s="129" t="s">
        <v>758</v>
      </c>
      <c r="X9" s="129" t="s">
        <v>757</v>
      </c>
      <c r="Y9" s="129" t="s">
        <v>758</v>
      </c>
      <c r="Z9" s="129" t="s">
        <v>757</v>
      </c>
      <c r="AA9" s="129" t="s">
        <v>758</v>
      </c>
      <c r="AB9" s="129" t="s">
        <v>757</v>
      </c>
      <c r="AC9" s="129" t="s">
        <v>758</v>
      </c>
      <c r="AD9" s="129" t="s">
        <v>757</v>
      </c>
      <c r="AE9" s="129" t="s">
        <v>758</v>
      </c>
      <c r="AF9" s="129" t="s">
        <v>757</v>
      </c>
      <c r="AG9" s="129" t="s">
        <v>758</v>
      </c>
      <c r="AH9" s="129" t="s">
        <v>757</v>
      </c>
      <c r="AI9" s="129" t="s">
        <v>758</v>
      </c>
      <c r="AJ9" s="129" t="s">
        <v>757</v>
      </c>
      <c r="AK9" s="129" t="s">
        <v>758</v>
      </c>
      <c r="AL9" s="129" t="s">
        <v>757</v>
      </c>
      <c r="AM9" s="129" t="s">
        <v>758</v>
      </c>
      <c r="AN9" s="129" t="s">
        <v>757</v>
      </c>
      <c r="AO9" s="129" t="s">
        <v>758</v>
      </c>
      <c r="AP9" s="129" t="s">
        <v>757</v>
      </c>
      <c r="AQ9" s="129" t="s">
        <v>758</v>
      </c>
      <c r="AS9" s="244"/>
      <c r="AT9" s="244"/>
      <c r="AU9" s="244"/>
    </row>
    <row r="10" spans="2:47" ht="15" customHeight="1">
      <c r="B10" s="134" t="s">
        <v>28</v>
      </c>
      <c r="C10" s="135" t="s">
        <v>752</v>
      </c>
      <c r="D10" s="134" t="s">
        <v>753</v>
      </c>
      <c r="E10" s="134" t="s">
        <v>754</v>
      </c>
      <c r="F10" s="134" t="s">
        <v>759</v>
      </c>
      <c r="G10" s="134" t="s">
        <v>760</v>
      </c>
      <c r="H10" s="138" t="s">
        <v>761</v>
      </c>
      <c r="I10" s="138" t="s">
        <v>762</v>
      </c>
      <c r="J10" s="138" t="s">
        <v>763</v>
      </c>
      <c r="K10" s="138" t="s">
        <v>764</v>
      </c>
      <c r="L10" s="130" t="s">
        <v>765</v>
      </c>
      <c r="M10" s="130" t="s">
        <v>766</v>
      </c>
      <c r="N10" s="130" t="s">
        <v>767</v>
      </c>
      <c r="O10" s="130" t="s">
        <v>768</v>
      </c>
      <c r="P10" s="130" t="s">
        <v>769</v>
      </c>
      <c r="Q10" s="130" t="s">
        <v>770</v>
      </c>
      <c r="R10" s="130" t="s">
        <v>771</v>
      </c>
      <c r="S10" s="130" t="s">
        <v>772</v>
      </c>
      <c r="T10" s="130" t="s">
        <v>773</v>
      </c>
      <c r="U10" s="130" t="s">
        <v>774</v>
      </c>
      <c r="V10" s="130" t="s">
        <v>775</v>
      </c>
      <c r="W10" s="130" t="s">
        <v>776</v>
      </c>
      <c r="X10" s="130" t="s">
        <v>777</v>
      </c>
      <c r="Y10" s="130" t="s">
        <v>778</v>
      </c>
      <c r="Z10" s="130" t="s">
        <v>779</v>
      </c>
      <c r="AA10" s="130" t="s">
        <v>780</v>
      </c>
      <c r="AB10" s="130" t="s">
        <v>781</v>
      </c>
      <c r="AC10" s="130" t="s">
        <v>782</v>
      </c>
      <c r="AD10" s="130" t="s">
        <v>783</v>
      </c>
      <c r="AE10" s="130" t="s">
        <v>784</v>
      </c>
      <c r="AF10" s="130" t="s">
        <v>785</v>
      </c>
      <c r="AG10" s="130" t="s">
        <v>786</v>
      </c>
      <c r="AH10" s="130" t="s">
        <v>787</v>
      </c>
      <c r="AI10" s="130" t="s">
        <v>788</v>
      </c>
      <c r="AJ10" s="130" t="s">
        <v>789</v>
      </c>
      <c r="AK10" s="130" t="s">
        <v>790</v>
      </c>
      <c r="AL10" s="130" t="s">
        <v>791</v>
      </c>
      <c r="AM10" s="130" t="s">
        <v>792</v>
      </c>
      <c r="AN10" s="130" t="s">
        <v>793</v>
      </c>
      <c r="AO10" s="130" t="s">
        <v>794</v>
      </c>
      <c r="AP10" s="130" t="s">
        <v>795</v>
      </c>
      <c r="AQ10" s="131" t="s">
        <v>796</v>
      </c>
      <c r="AS10" s="244"/>
      <c r="AT10" s="244"/>
      <c r="AU10" s="244"/>
    </row>
    <row r="11" spans="2:47" ht="15" hidden="1" customHeight="1">
      <c r="B11" s="89">
        <f>'[1]OMM_Unit Matrix'!B11</f>
        <v>2</v>
      </c>
      <c r="C11" s="275">
        <f>'[1]OMM_Unit Matrix'!C11</f>
        <v>1</v>
      </c>
      <c r="D11" s="89">
        <f>'[1]OMM_Unit Matrix'!D11</f>
        <v>2001</v>
      </c>
      <c r="E11" s="89">
        <f>'[1]OMM_Unit Matrix'!E11</f>
        <v>0</v>
      </c>
      <c r="F11" s="89">
        <f>'[1]OMM_Unit Matrix'!F11</f>
        <v>0</v>
      </c>
      <c r="G11" s="89" t="str">
        <f>'[1]OMM_Unit Matrix'!G11</f>
        <v>NOT IN SCOPE</v>
      </c>
      <c r="H11" s="89">
        <f>'[1]OMM_Unit Matrix'!H11</f>
        <v>0</v>
      </c>
      <c r="I11" s="89">
        <f>'[1]OMM_Unit Matrix'!I11</f>
        <v>0</v>
      </c>
      <c r="J11" s="89">
        <f>'[1]OMM_Unit Matrix'!J11</f>
        <v>0</v>
      </c>
      <c r="K11" s="89">
        <f>'[1]OMM_Unit Matrix'!K11</f>
        <v>0</v>
      </c>
      <c r="L11" s="89">
        <f>'[1]OMM_Unit Matrix'!L11</f>
        <v>0</v>
      </c>
      <c r="M11" s="89">
        <f>'[1]OMM_Unit Matrix'!M11</f>
        <v>0</v>
      </c>
      <c r="N11" s="89">
        <f>'[1]OMM_Unit Matrix'!N11</f>
        <v>0</v>
      </c>
      <c r="O11" s="89">
        <f>'[1]OMM_Unit Matrix'!O11</f>
        <v>0</v>
      </c>
      <c r="P11" s="89">
        <f>'[1]OMM_Unit Matrix'!P11</f>
        <v>0</v>
      </c>
      <c r="Q11" s="89">
        <f>'[1]OMM_Unit Matrix'!Q11</f>
        <v>0</v>
      </c>
      <c r="R11" s="89">
        <f>'[1]OMM_Unit Matrix'!R11</f>
        <v>0</v>
      </c>
      <c r="S11" s="89">
        <f>'[1]OMM_Unit Matrix'!S11</f>
        <v>0</v>
      </c>
      <c r="T11" s="89">
        <f>'[1]OMM_Unit Matrix'!T11</f>
        <v>0</v>
      </c>
      <c r="U11" s="89">
        <f>'[1]OMM_Unit Matrix'!U11</f>
        <v>0</v>
      </c>
      <c r="V11" s="89">
        <f>'[1]OMM_Unit Matrix'!V11</f>
        <v>0</v>
      </c>
      <c r="W11" s="89">
        <f>'[1]OMM_Unit Matrix'!W11</f>
        <v>0</v>
      </c>
      <c r="X11" s="89">
        <f>'[1]OMM_Unit Matrix'!X11</f>
        <v>0</v>
      </c>
      <c r="Y11" s="89">
        <f>'[1]OMM_Unit Matrix'!Y11</f>
        <v>0</v>
      </c>
      <c r="Z11" s="89">
        <f>'[1]OMM_Unit Matrix'!Z11</f>
        <v>0</v>
      </c>
      <c r="AA11" s="89">
        <f>'[1]OMM_Unit Matrix'!AA11</f>
        <v>0</v>
      </c>
      <c r="AB11" s="89">
        <f>'[1]OMM_Unit Matrix'!AB11</f>
        <v>0</v>
      </c>
      <c r="AC11" s="89">
        <f>'[1]OMM_Unit Matrix'!AC11</f>
        <v>0</v>
      </c>
      <c r="AD11" s="89">
        <f>'[1]OMM_Unit Matrix'!AD11</f>
        <v>0</v>
      </c>
      <c r="AE11" s="89">
        <f>'[1]OMM_Unit Matrix'!AE11</f>
        <v>0</v>
      </c>
      <c r="AF11" s="89">
        <f>'[1]OMM_Unit Matrix'!AF11</f>
        <v>0</v>
      </c>
      <c r="AG11" s="89">
        <f>'[1]OMM_Unit Matrix'!AG11</f>
        <v>0</v>
      </c>
      <c r="AH11" s="89">
        <f>'[1]OMM_Unit Matrix'!AH11</f>
        <v>0</v>
      </c>
      <c r="AI11" s="89">
        <f>'[1]OMM_Unit Matrix'!AI11</f>
        <v>0</v>
      </c>
      <c r="AJ11" s="89">
        <f>'[1]OMM_Unit Matrix'!AJ11</f>
        <v>0</v>
      </c>
      <c r="AK11" s="89">
        <f>'[1]OMM_Unit Matrix'!AK11</f>
        <v>0</v>
      </c>
      <c r="AL11" s="89">
        <f>'[1]OMM_Unit Matrix'!AL11</f>
        <v>0</v>
      </c>
      <c r="AM11" s="89">
        <f>'[1]OMM_Unit Matrix'!AM11</f>
        <v>0</v>
      </c>
      <c r="AN11" s="89">
        <f>'[1]OMM_Unit Matrix'!AN11</f>
        <v>0</v>
      </c>
      <c r="AO11" s="89">
        <f>'[1]OMM_Unit Matrix'!AO11</f>
        <v>0</v>
      </c>
      <c r="AP11" s="89">
        <f>'[1]OMM_Unit Matrix'!AP11</f>
        <v>0</v>
      </c>
      <c r="AQ11" s="270">
        <f>'[1]OMM_Unit Matrix'!AQ11</f>
        <v>0</v>
      </c>
      <c r="AS11" s="244"/>
      <c r="AT11" s="244"/>
      <c r="AU11" s="244"/>
    </row>
    <row r="12" spans="2:47" ht="15" hidden="1" customHeight="1">
      <c r="B12" s="89">
        <f>'[1]OMM_Unit Matrix'!B12</f>
        <v>2</v>
      </c>
      <c r="C12" s="275">
        <f>'[1]OMM_Unit Matrix'!C12</f>
        <v>2</v>
      </c>
      <c r="D12" s="89">
        <f>'[1]OMM_Unit Matrix'!D12</f>
        <v>2002</v>
      </c>
      <c r="E12" s="89">
        <f>'[1]OMM_Unit Matrix'!E12</f>
        <v>0</v>
      </c>
      <c r="F12" s="89">
        <f>'[1]OMM_Unit Matrix'!F12</f>
        <v>0</v>
      </c>
      <c r="G12" s="89" t="str">
        <f>'[1]OMM_Unit Matrix'!G12</f>
        <v>NOT IN SCOPE</v>
      </c>
      <c r="H12" s="89">
        <f>'[1]OMM_Unit Matrix'!H12</f>
        <v>0</v>
      </c>
      <c r="I12" s="89">
        <f>'[1]OMM_Unit Matrix'!I12</f>
        <v>0</v>
      </c>
      <c r="J12" s="89">
        <f>'[1]OMM_Unit Matrix'!J12</f>
        <v>0</v>
      </c>
      <c r="K12" s="89">
        <f>'[1]OMM_Unit Matrix'!K12</f>
        <v>0</v>
      </c>
      <c r="L12" s="89">
        <f>'[1]OMM_Unit Matrix'!L12</f>
        <v>0</v>
      </c>
      <c r="M12" s="89">
        <f>'[1]OMM_Unit Matrix'!M12</f>
        <v>0</v>
      </c>
      <c r="N12" s="89">
        <f>'[1]OMM_Unit Matrix'!N12</f>
        <v>0</v>
      </c>
      <c r="O12" s="89">
        <f>'[1]OMM_Unit Matrix'!O12</f>
        <v>0</v>
      </c>
      <c r="P12" s="89">
        <f>'[1]OMM_Unit Matrix'!P12</f>
        <v>0</v>
      </c>
      <c r="Q12" s="89">
        <f>'[1]OMM_Unit Matrix'!Q12</f>
        <v>0</v>
      </c>
      <c r="R12" s="89">
        <f>'[1]OMM_Unit Matrix'!R12</f>
        <v>0</v>
      </c>
      <c r="S12" s="89">
        <f>'[1]OMM_Unit Matrix'!S12</f>
        <v>0</v>
      </c>
      <c r="T12" s="89">
        <f>'[1]OMM_Unit Matrix'!T12</f>
        <v>0</v>
      </c>
      <c r="U12" s="89">
        <f>'[1]OMM_Unit Matrix'!U12</f>
        <v>0</v>
      </c>
      <c r="V12" s="89">
        <f>'[1]OMM_Unit Matrix'!V12</f>
        <v>0</v>
      </c>
      <c r="W12" s="89">
        <f>'[1]OMM_Unit Matrix'!W12</f>
        <v>0</v>
      </c>
      <c r="X12" s="89">
        <f>'[1]OMM_Unit Matrix'!X12</f>
        <v>0</v>
      </c>
      <c r="Y12" s="89">
        <f>'[1]OMM_Unit Matrix'!Y12</f>
        <v>0</v>
      </c>
      <c r="Z12" s="89">
        <f>'[1]OMM_Unit Matrix'!Z12</f>
        <v>0</v>
      </c>
      <c r="AA12" s="89">
        <f>'[1]OMM_Unit Matrix'!AA12</f>
        <v>0</v>
      </c>
      <c r="AB12" s="89">
        <f>'[1]OMM_Unit Matrix'!AB12</f>
        <v>0</v>
      </c>
      <c r="AC12" s="89">
        <f>'[1]OMM_Unit Matrix'!AC12</f>
        <v>0</v>
      </c>
      <c r="AD12" s="89">
        <f>'[1]OMM_Unit Matrix'!AD12</f>
        <v>0</v>
      </c>
      <c r="AE12" s="89">
        <f>'[1]OMM_Unit Matrix'!AE12</f>
        <v>0</v>
      </c>
      <c r="AF12" s="89">
        <f>'[1]OMM_Unit Matrix'!AF12</f>
        <v>0</v>
      </c>
      <c r="AG12" s="89">
        <f>'[1]OMM_Unit Matrix'!AG12</f>
        <v>0</v>
      </c>
      <c r="AH12" s="89">
        <f>'[1]OMM_Unit Matrix'!AH12</f>
        <v>0</v>
      </c>
      <c r="AI12" s="89">
        <f>'[1]OMM_Unit Matrix'!AI12</f>
        <v>0</v>
      </c>
      <c r="AJ12" s="89">
        <f>'[1]OMM_Unit Matrix'!AJ12</f>
        <v>0</v>
      </c>
      <c r="AK12" s="89">
        <f>'[1]OMM_Unit Matrix'!AK12</f>
        <v>0</v>
      </c>
      <c r="AL12" s="89">
        <f>'[1]OMM_Unit Matrix'!AL12</f>
        <v>0</v>
      </c>
      <c r="AM12" s="89">
        <f>'[1]OMM_Unit Matrix'!AM12</f>
        <v>0</v>
      </c>
      <c r="AN12" s="89">
        <f>'[1]OMM_Unit Matrix'!AN12</f>
        <v>0</v>
      </c>
      <c r="AO12" s="89">
        <f>'[1]OMM_Unit Matrix'!AO12</f>
        <v>0</v>
      </c>
      <c r="AP12" s="89">
        <f>'[1]OMM_Unit Matrix'!AP12</f>
        <v>0</v>
      </c>
      <c r="AQ12" s="270">
        <f>'[1]OMM_Unit Matrix'!AQ12</f>
        <v>0</v>
      </c>
      <c r="AS12" s="244"/>
      <c r="AT12" s="244"/>
      <c r="AU12" s="244"/>
    </row>
    <row r="13" spans="2:47" ht="15" hidden="1" customHeight="1">
      <c r="B13" s="89">
        <f>'[1]OMM_Unit Matrix'!B13</f>
        <v>2</v>
      </c>
      <c r="C13" s="275">
        <f>'[1]OMM_Unit Matrix'!C13</f>
        <v>3</v>
      </c>
      <c r="D13" s="89">
        <f>'[1]OMM_Unit Matrix'!D13</f>
        <v>2003</v>
      </c>
      <c r="E13" s="89">
        <f>'[1]OMM_Unit Matrix'!E13</f>
        <v>0</v>
      </c>
      <c r="F13" s="89">
        <f>'[1]OMM_Unit Matrix'!F13</f>
        <v>0</v>
      </c>
      <c r="G13" s="89" t="str">
        <f>'[1]OMM_Unit Matrix'!G13</f>
        <v>NOT IN SCOPE</v>
      </c>
      <c r="H13" s="89">
        <f>'[1]OMM_Unit Matrix'!H13</f>
        <v>0</v>
      </c>
      <c r="I13" s="89">
        <f>'[1]OMM_Unit Matrix'!I13</f>
        <v>0</v>
      </c>
      <c r="J13" s="89">
        <f>'[1]OMM_Unit Matrix'!J13</f>
        <v>0</v>
      </c>
      <c r="K13" s="89">
        <f>'[1]OMM_Unit Matrix'!K13</f>
        <v>0</v>
      </c>
      <c r="L13" s="89">
        <f>'[1]OMM_Unit Matrix'!L13</f>
        <v>0</v>
      </c>
      <c r="M13" s="89">
        <f>'[1]OMM_Unit Matrix'!M13</f>
        <v>0</v>
      </c>
      <c r="N13" s="89">
        <f>'[1]OMM_Unit Matrix'!N13</f>
        <v>0</v>
      </c>
      <c r="O13" s="89">
        <f>'[1]OMM_Unit Matrix'!O13</f>
        <v>0</v>
      </c>
      <c r="P13" s="89">
        <f>'[1]OMM_Unit Matrix'!P13</f>
        <v>0</v>
      </c>
      <c r="Q13" s="89">
        <f>'[1]OMM_Unit Matrix'!Q13</f>
        <v>0</v>
      </c>
      <c r="R13" s="89">
        <f>'[1]OMM_Unit Matrix'!R13</f>
        <v>0</v>
      </c>
      <c r="S13" s="89">
        <f>'[1]OMM_Unit Matrix'!S13</f>
        <v>0</v>
      </c>
      <c r="T13" s="89">
        <f>'[1]OMM_Unit Matrix'!T13</f>
        <v>0</v>
      </c>
      <c r="U13" s="89">
        <f>'[1]OMM_Unit Matrix'!U13</f>
        <v>0</v>
      </c>
      <c r="V13" s="89">
        <f>'[1]OMM_Unit Matrix'!V13</f>
        <v>0</v>
      </c>
      <c r="W13" s="89">
        <f>'[1]OMM_Unit Matrix'!W13</f>
        <v>0</v>
      </c>
      <c r="X13" s="89">
        <f>'[1]OMM_Unit Matrix'!X13</f>
        <v>0</v>
      </c>
      <c r="Y13" s="89">
        <f>'[1]OMM_Unit Matrix'!Y13</f>
        <v>0</v>
      </c>
      <c r="Z13" s="89">
        <f>'[1]OMM_Unit Matrix'!Z13</f>
        <v>0</v>
      </c>
      <c r="AA13" s="89">
        <f>'[1]OMM_Unit Matrix'!AA13</f>
        <v>0</v>
      </c>
      <c r="AB13" s="89">
        <f>'[1]OMM_Unit Matrix'!AB13</f>
        <v>0</v>
      </c>
      <c r="AC13" s="89">
        <f>'[1]OMM_Unit Matrix'!AC13</f>
        <v>0</v>
      </c>
      <c r="AD13" s="89">
        <f>'[1]OMM_Unit Matrix'!AD13</f>
        <v>0</v>
      </c>
      <c r="AE13" s="89">
        <f>'[1]OMM_Unit Matrix'!AE13</f>
        <v>0</v>
      </c>
      <c r="AF13" s="89">
        <f>'[1]OMM_Unit Matrix'!AF13</f>
        <v>0</v>
      </c>
      <c r="AG13" s="89">
        <f>'[1]OMM_Unit Matrix'!AG13</f>
        <v>0</v>
      </c>
      <c r="AH13" s="89">
        <f>'[1]OMM_Unit Matrix'!AH13</f>
        <v>0</v>
      </c>
      <c r="AI13" s="89">
        <f>'[1]OMM_Unit Matrix'!AI13</f>
        <v>0</v>
      </c>
      <c r="AJ13" s="89">
        <f>'[1]OMM_Unit Matrix'!AJ13</f>
        <v>0</v>
      </c>
      <c r="AK13" s="89">
        <f>'[1]OMM_Unit Matrix'!AK13</f>
        <v>0</v>
      </c>
      <c r="AL13" s="89">
        <f>'[1]OMM_Unit Matrix'!AL13</f>
        <v>0</v>
      </c>
      <c r="AM13" s="89">
        <f>'[1]OMM_Unit Matrix'!AM13</f>
        <v>0</v>
      </c>
      <c r="AN13" s="89">
        <f>'[1]OMM_Unit Matrix'!AN13</f>
        <v>0</v>
      </c>
      <c r="AO13" s="89">
        <f>'[1]OMM_Unit Matrix'!AO13</f>
        <v>0</v>
      </c>
      <c r="AP13" s="89">
        <f>'[1]OMM_Unit Matrix'!AP13</f>
        <v>0</v>
      </c>
      <c r="AQ13" s="270">
        <f>'[1]OMM_Unit Matrix'!AQ13</f>
        <v>0</v>
      </c>
      <c r="AS13" s="244"/>
      <c r="AT13" s="244"/>
      <c r="AU13" s="244"/>
    </row>
    <row r="14" spans="2:47" ht="15" hidden="1" customHeight="1">
      <c r="B14" s="89">
        <f>'[1]OMM_Unit Matrix'!B14</f>
        <v>2</v>
      </c>
      <c r="C14" s="275">
        <f>'[1]OMM_Unit Matrix'!C14</f>
        <v>4</v>
      </c>
      <c r="D14" s="89">
        <f>'[1]OMM_Unit Matrix'!D14</f>
        <v>2004</v>
      </c>
      <c r="E14" s="89">
        <f>'[1]OMM_Unit Matrix'!E14</f>
        <v>0</v>
      </c>
      <c r="F14" s="89">
        <f>'[1]OMM_Unit Matrix'!F14</f>
        <v>0</v>
      </c>
      <c r="G14" s="89" t="str">
        <f>'[1]OMM_Unit Matrix'!G14</f>
        <v>NOT IN SCOPE</v>
      </c>
      <c r="H14" s="89">
        <f>'[1]OMM_Unit Matrix'!H14</f>
        <v>0</v>
      </c>
      <c r="I14" s="89">
        <f>'[1]OMM_Unit Matrix'!I14</f>
        <v>0</v>
      </c>
      <c r="J14" s="89">
        <f>'[1]OMM_Unit Matrix'!J14</f>
        <v>0</v>
      </c>
      <c r="K14" s="89">
        <f>'[1]OMM_Unit Matrix'!K14</f>
        <v>0</v>
      </c>
      <c r="L14" s="89">
        <f>'[1]OMM_Unit Matrix'!L14</f>
        <v>0</v>
      </c>
      <c r="M14" s="89">
        <f>'[1]OMM_Unit Matrix'!M14</f>
        <v>0</v>
      </c>
      <c r="N14" s="89">
        <f>'[1]OMM_Unit Matrix'!N14</f>
        <v>0</v>
      </c>
      <c r="O14" s="89">
        <f>'[1]OMM_Unit Matrix'!O14</f>
        <v>0</v>
      </c>
      <c r="P14" s="89">
        <f>'[1]OMM_Unit Matrix'!P14</f>
        <v>0</v>
      </c>
      <c r="Q14" s="89">
        <f>'[1]OMM_Unit Matrix'!Q14</f>
        <v>0</v>
      </c>
      <c r="R14" s="89">
        <f>'[1]OMM_Unit Matrix'!R14</f>
        <v>0</v>
      </c>
      <c r="S14" s="89">
        <f>'[1]OMM_Unit Matrix'!S14</f>
        <v>0</v>
      </c>
      <c r="T14" s="89">
        <f>'[1]OMM_Unit Matrix'!T14</f>
        <v>0</v>
      </c>
      <c r="U14" s="89">
        <f>'[1]OMM_Unit Matrix'!U14</f>
        <v>0</v>
      </c>
      <c r="V14" s="89">
        <f>'[1]OMM_Unit Matrix'!V14</f>
        <v>0</v>
      </c>
      <c r="W14" s="89">
        <f>'[1]OMM_Unit Matrix'!W14</f>
        <v>0</v>
      </c>
      <c r="X14" s="89">
        <f>'[1]OMM_Unit Matrix'!X14</f>
        <v>0</v>
      </c>
      <c r="Y14" s="89">
        <f>'[1]OMM_Unit Matrix'!Y14</f>
        <v>0</v>
      </c>
      <c r="Z14" s="89">
        <f>'[1]OMM_Unit Matrix'!Z14</f>
        <v>0</v>
      </c>
      <c r="AA14" s="89">
        <f>'[1]OMM_Unit Matrix'!AA14</f>
        <v>0</v>
      </c>
      <c r="AB14" s="89">
        <f>'[1]OMM_Unit Matrix'!AB14</f>
        <v>0</v>
      </c>
      <c r="AC14" s="89">
        <f>'[1]OMM_Unit Matrix'!AC14</f>
        <v>0</v>
      </c>
      <c r="AD14" s="89">
        <f>'[1]OMM_Unit Matrix'!AD14</f>
        <v>0</v>
      </c>
      <c r="AE14" s="89">
        <f>'[1]OMM_Unit Matrix'!AE14</f>
        <v>0</v>
      </c>
      <c r="AF14" s="89">
        <f>'[1]OMM_Unit Matrix'!AF14</f>
        <v>0</v>
      </c>
      <c r="AG14" s="89">
        <f>'[1]OMM_Unit Matrix'!AG14</f>
        <v>0</v>
      </c>
      <c r="AH14" s="89">
        <f>'[1]OMM_Unit Matrix'!AH14</f>
        <v>0</v>
      </c>
      <c r="AI14" s="89">
        <f>'[1]OMM_Unit Matrix'!AI14</f>
        <v>0</v>
      </c>
      <c r="AJ14" s="89">
        <f>'[1]OMM_Unit Matrix'!AJ14</f>
        <v>0</v>
      </c>
      <c r="AK14" s="89">
        <f>'[1]OMM_Unit Matrix'!AK14</f>
        <v>0</v>
      </c>
      <c r="AL14" s="89">
        <f>'[1]OMM_Unit Matrix'!AL14</f>
        <v>0</v>
      </c>
      <c r="AM14" s="89">
        <f>'[1]OMM_Unit Matrix'!AM14</f>
        <v>0</v>
      </c>
      <c r="AN14" s="89">
        <f>'[1]OMM_Unit Matrix'!AN14</f>
        <v>0</v>
      </c>
      <c r="AO14" s="89">
        <f>'[1]OMM_Unit Matrix'!AO14</f>
        <v>0</v>
      </c>
      <c r="AP14" s="89">
        <f>'[1]OMM_Unit Matrix'!AP14</f>
        <v>0</v>
      </c>
      <c r="AQ14" s="270">
        <f>'[1]OMM_Unit Matrix'!AQ14</f>
        <v>0</v>
      </c>
      <c r="AS14" s="244"/>
      <c r="AT14" s="244"/>
      <c r="AU14" s="244"/>
    </row>
    <row r="15" spans="2:47" ht="15" hidden="1" customHeight="1">
      <c r="B15" s="89">
        <f>'[1]OMM_Unit Matrix'!B15</f>
        <v>2</v>
      </c>
      <c r="C15" s="275">
        <f>'[1]OMM_Unit Matrix'!C15</f>
        <v>5</v>
      </c>
      <c r="D15" s="89">
        <f>'[1]OMM_Unit Matrix'!D15</f>
        <v>2005</v>
      </c>
      <c r="E15" s="89">
        <f>'[1]OMM_Unit Matrix'!E15</f>
        <v>0</v>
      </c>
      <c r="F15" s="89">
        <f>'[1]OMM_Unit Matrix'!F15</f>
        <v>0</v>
      </c>
      <c r="G15" s="89" t="str">
        <f>'[1]OMM_Unit Matrix'!G15</f>
        <v>NOT IN SCOPE</v>
      </c>
      <c r="H15" s="89">
        <f>'[1]OMM_Unit Matrix'!H15</f>
        <v>0</v>
      </c>
      <c r="I15" s="89">
        <f>'[1]OMM_Unit Matrix'!I15</f>
        <v>0</v>
      </c>
      <c r="J15" s="89">
        <f>'[1]OMM_Unit Matrix'!J15</f>
        <v>0</v>
      </c>
      <c r="K15" s="89">
        <f>'[1]OMM_Unit Matrix'!K15</f>
        <v>0</v>
      </c>
      <c r="L15" s="89">
        <f>'[1]OMM_Unit Matrix'!L15</f>
        <v>0</v>
      </c>
      <c r="M15" s="89">
        <f>'[1]OMM_Unit Matrix'!M15</f>
        <v>0</v>
      </c>
      <c r="N15" s="89">
        <f>'[1]OMM_Unit Matrix'!N15</f>
        <v>0</v>
      </c>
      <c r="O15" s="89">
        <f>'[1]OMM_Unit Matrix'!O15</f>
        <v>0</v>
      </c>
      <c r="P15" s="89">
        <f>'[1]OMM_Unit Matrix'!P15</f>
        <v>0</v>
      </c>
      <c r="Q15" s="89">
        <f>'[1]OMM_Unit Matrix'!Q15</f>
        <v>0</v>
      </c>
      <c r="R15" s="89">
        <f>'[1]OMM_Unit Matrix'!R15</f>
        <v>0</v>
      </c>
      <c r="S15" s="89">
        <f>'[1]OMM_Unit Matrix'!S15</f>
        <v>0</v>
      </c>
      <c r="T15" s="89">
        <f>'[1]OMM_Unit Matrix'!T15</f>
        <v>0</v>
      </c>
      <c r="U15" s="89">
        <f>'[1]OMM_Unit Matrix'!U15</f>
        <v>0</v>
      </c>
      <c r="V15" s="89">
        <f>'[1]OMM_Unit Matrix'!V15</f>
        <v>0</v>
      </c>
      <c r="W15" s="89">
        <f>'[1]OMM_Unit Matrix'!W15</f>
        <v>0</v>
      </c>
      <c r="X15" s="89">
        <f>'[1]OMM_Unit Matrix'!X15</f>
        <v>0</v>
      </c>
      <c r="Y15" s="89">
        <f>'[1]OMM_Unit Matrix'!Y15</f>
        <v>0</v>
      </c>
      <c r="Z15" s="89">
        <f>'[1]OMM_Unit Matrix'!Z15</f>
        <v>0</v>
      </c>
      <c r="AA15" s="89">
        <f>'[1]OMM_Unit Matrix'!AA15</f>
        <v>0</v>
      </c>
      <c r="AB15" s="89">
        <f>'[1]OMM_Unit Matrix'!AB15</f>
        <v>0</v>
      </c>
      <c r="AC15" s="89">
        <f>'[1]OMM_Unit Matrix'!AC15</f>
        <v>0</v>
      </c>
      <c r="AD15" s="89">
        <f>'[1]OMM_Unit Matrix'!AD15</f>
        <v>0</v>
      </c>
      <c r="AE15" s="89">
        <f>'[1]OMM_Unit Matrix'!AE15</f>
        <v>0</v>
      </c>
      <c r="AF15" s="89">
        <f>'[1]OMM_Unit Matrix'!AF15</f>
        <v>0</v>
      </c>
      <c r="AG15" s="89">
        <f>'[1]OMM_Unit Matrix'!AG15</f>
        <v>0</v>
      </c>
      <c r="AH15" s="89">
        <f>'[1]OMM_Unit Matrix'!AH15</f>
        <v>0</v>
      </c>
      <c r="AI15" s="89">
        <f>'[1]OMM_Unit Matrix'!AI15</f>
        <v>0</v>
      </c>
      <c r="AJ15" s="89">
        <f>'[1]OMM_Unit Matrix'!AJ15</f>
        <v>0</v>
      </c>
      <c r="AK15" s="89">
        <f>'[1]OMM_Unit Matrix'!AK15</f>
        <v>0</v>
      </c>
      <c r="AL15" s="89">
        <f>'[1]OMM_Unit Matrix'!AL15</f>
        <v>0</v>
      </c>
      <c r="AM15" s="89">
        <f>'[1]OMM_Unit Matrix'!AM15</f>
        <v>0</v>
      </c>
      <c r="AN15" s="89">
        <f>'[1]OMM_Unit Matrix'!AN15</f>
        <v>0</v>
      </c>
      <c r="AO15" s="89">
        <f>'[1]OMM_Unit Matrix'!AO15</f>
        <v>0</v>
      </c>
      <c r="AP15" s="89">
        <f>'[1]OMM_Unit Matrix'!AP15</f>
        <v>0</v>
      </c>
      <c r="AQ15" s="270">
        <f>'[1]OMM_Unit Matrix'!AQ15</f>
        <v>0</v>
      </c>
      <c r="AS15" s="244"/>
      <c r="AT15" s="244"/>
      <c r="AU15" s="244"/>
    </row>
    <row r="16" spans="2:47" ht="15" customHeight="1">
      <c r="B16" s="89">
        <f>'[1]OMM_Unit Matrix'!B16</f>
        <v>2</v>
      </c>
      <c r="C16" s="275">
        <f>'[1]OMM_Unit Matrix'!C16</f>
        <v>6</v>
      </c>
      <c r="D16" s="89">
        <f>'[1]OMM_Unit Matrix'!D16</f>
        <v>2006</v>
      </c>
      <c r="E16" s="89" t="str">
        <f>'[1]OMM_Unit Matrix'!E16</f>
        <v>NO</v>
      </c>
      <c r="F16" s="132" t="str">
        <f>'[1]OMM_Unit Matrix'!F16</f>
        <v>3B-02</v>
      </c>
      <c r="G16" s="89" t="str">
        <f>'[1]OMM_Unit Matrix'!G16</f>
        <v>ORDERED</v>
      </c>
      <c r="H16" s="89" t="str">
        <f>'[1]OMM_Unit Matrix'!H16</f>
        <v>NO</v>
      </c>
      <c r="I16" s="89">
        <f>'[1]OMM_Unit Matrix'!I16</f>
        <v>0</v>
      </c>
      <c r="J16" s="89" t="str">
        <f>'[1]OMM_Unit Matrix'!J16</f>
        <v>NO</v>
      </c>
      <c r="K16" s="89">
        <f>'[1]OMM_Unit Matrix'!K16</f>
        <v>0</v>
      </c>
      <c r="L16" s="89" t="str">
        <f>'[1]OMM_Unit Matrix'!L16</f>
        <v>NO</v>
      </c>
      <c r="M16" s="89">
        <f>'[1]OMM_Unit Matrix'!M16</f>
        <v>0</v>
      </c>
      <c r="N16" s="89" t="str">
        <f>'[1]OMM_Unit Matrix'!N16</f>
        <v>NO</v>
      </c>
      <c r="O16" s="89">
        <f>'[1]OMM_Unit Matrix'!O16</f>
        <v>0</v>
      </c>
      <c r="P16" s="89" t="str">
        <f>'[1]OMM_Unit Matrix'!P16</f>
        <v>NO</v>
      </c>
      <c r="Q16" s="89">
        <f>'[1]OMM_Unit Matrix'!Q16</f>
        <v>0</v>
      </c>
      <c r="R16" s="89" t="str">
        <f>'[1]OMM_Unit Matrix'!R16</f>
        <v>YES</v>
      </c>
      <c r="S16" s="201">
        <f>'[1]OMM_Unit Matrix'!S16</f>
        <v>1</v>
      </c>
      <c r="T16" s="89" t="str">
        <f>'[1]OMM_Unit Matrix'!T16</f>
        <v>YES</v>
      </c>
      <c r="U16" s="201">
        <f>'[1]OMM_Unit Matrix'!U16</f>
        <v>1</v>
      </c>
      <c r="V16" s="89" t="str">
        <f>'[1]OMM_Unit Matrix'!V16</f>
        <v>NO</v>
      </c>
      <c r="W16" s="89">
        <f>'[1]OMM_Unit Matrix'!W16</f>
        <v>0</v>
      </c>
      <c r="X16" s="89" t="str">
        <f>'[1]OMM_Unit Matrix'!X16</f>
        <v>NO</v>
      </c>
      <c r="Y16" s="89">
        <f>'[1]OMM_Unit Matrix'!Y16</f>
        <v>0</v>
      </c>
      <c r="Z16" s="89" t="str">
        <f>'[1]OMM_Unit Matrix'!Z16</f>
        <v>NO</v>
      </c>
      <c r="AA16" s="89">
        <f>'[1]OMM_Unit Matrix'!AA16</f>
        <v>0</v>
      </c>
      <c r="AB16" s="89" t="str">
        <f>'[1]OMM_Unit Matrix'!AB16</f>
        <v>NO</v>
      </c>
      <c r="AC16" s="89">
        <f>'[1]OMM_Unit Matrix'!AC16</f>
        <v>0</v>
      </c>
      <c r="AD16" s="89" t="str">
        <f>'[1]OMM_Unit Matrix'!AD16</f>
        <v>NO</v>
      </c>
      <c r="AE16" s="89">
        <f>'[1]OMM_Unit Matrix'!AE16</f>
        <v>0</v>
      </c>
      <c r="AF16" s="89" t="str">
        <f>'[1]OMM_Unit Matrix'!AF16</f>
        <v>NO</v>
      </c>
      <c r="AG16" s="89">
        <f>'[1]OMM_Unit Matrix'!AG16</f>
        <v>0</v>
      </c>
      <c r="AH16" s="89" t="str">
        <f>'[1]OMM_Unit Matrix'!AH16</f>
        <v>NO</v>
      </c>
      <c r="AI16" s="89">
        <f>'[1]OMM_Unit Matrix'!AI16</f>
        <v>0</v>
      </c>
      <c r="AJ16" s="89" t="str">
        <f>'[1]OMM_Unit Matrix'!AJ16</f>
        <v>NO</v>
      </c>
      <c r="AK16" s="89">
        <f>'[1]OMM_Unit Matrix'!AK16</f>
        <v>0</v>
      </c>
      <c r="AL16" s="89" t="str">
        <f>'[1]OMM_Unit Matrix'!AL16</f>
        <v>NO</v>
      </c>
      <c r="AM16" s="89">
        <f>'[1]OMM_Unit Matrix'!AM16</f>
        <v>0</v>
      </c>
      <c r="AN16" s="89" t="str">
        <f>'[1]OMM_Unit Matrix'!AN16</f>
        <v>NO</v>
      </c>
      <c r="AO16" s="89">
        <f>'[1]OMM_Unit Matrix'!AO16</f>
        <v>0</v>
      </c>
      <c r="AP16" s="89" t="str">
        <f>'[1]OMM_Unit Matrix'!AP16</f>
        <v>NO</v>
      </c>
      <c r="AQ16" s="89">
        <f>'[1]OMM_Unit Matrix'!AQ16</f>
        <v>0</v>
      </c>
      <c r="AS16" s="244"/>
      <c r="AT16" s="244"/>
      <c r="AU16" s="244"/>
    </row>
    <row r="17" spans="2:47" ht="15" customHeight="1">
      <c r="B17" s="89">
        <f>'[1]OMM_Unit Matrix'!B17</f>
        <v>2</v>
      </c>
      <c r="C17" s="275">
        <f>'[1]OMM_Unit Matrix'!C17</f>
        <v>7</v>
      </c>
      <c r="D17" s="89">
        <f>'[1]OMM_Unit Matrix'!D17</f>
        <v>2007</v>
      </c>
      <c r="E17" s="89" t="str">
        <f>'[1]OMM_Unit Matrix'!E17</f>
        <v>NO</v>
      </c>
      <c r="F17" s="132" t="str">
        <f>'[1]OMM_Unit Matrix'!F17</f>
        <v>1B-02</v>
      </c>
      <c r="G17" s="89" t="str">
        <f>'[1]OMM_Unit Matrix'!G17</f>
        <v>ORDERED</v>
      </c>
      <c r="H17" s="89" t="str">
        <f>'[1]OMM_Unit Matrix'!H17</f>
        <v>YES</v>
      </c>
      <c r="I17" s="201">
        <f>'[1]OMM_Unit Matrix'!I17</f>
        <v>1</v>
      </c>
      <c r="J17" s="89" t="str">
        <f>'[1]OMM_Unit Matrix'!J17</f>
        <v>NO</v>
      </c>
      <c r="K17" s="89">
        <f>'[1]OMM_Unit Matrix'!K17</f>
        <v>0</v>
      </c>
      <c r="L17" s="89" t="str">
        <f>'[1]OMM_Unit Matrix'!L17</f>
        <v>NO</v>
      </c>
      <c r="M17" s="89">
        <f>'[1]OMM_Unit Matrix'!M17</f>
        <v>0</v>
      </c>
      <c r="N17" s="89" t="str">
        <f>'[1]OMM_Unit Matrix'!N17</f>
        <v>YES</v>
      </c>
      <c r="O17" s="201">
        <f>'[1]OMM_Unit Matrix'!O17</f>
        <v>1</v>
      </c>
      <c r="P17" s="89" t="str">
        <f>'[1]OMM_Unit Matrix'!P17</f>
        <v>NO</v>
      </c>
      <c r="Q17" s="89">
        <f>'[1]OMM_Unit Matrix'!Q17</f>
        <v>0</v>
      </c>
      <c r="R17" s="89" t="str">
        <f>'[1]OMM_Unit Matrix'!R17</f>
        <v>NO</v>
      </c>
      <c r="S17" s="89">
        <f>'[1]OMM_Unit Matrix'!S17</f>
        <v>0</v>
      </c>
      <c r="T17" s="89" t="str">
        <f>'[1]OMM_Unit Matrix'!T17</f>
        <v>NO</v>
      </c>
      <c r="U17" s="89">
        <f>'[1]OMM_Unit Matrix'!U17</f>
        <v>0</v>
      </c>
      <c r="V17" s="89" t="str">
        <f>'[1]OMM_Unit Matrix'!V17</f>
        <v>YES</v>
      </c>
      <c r="W17" s="201">
        <f>'[1]OMM_Unit Matrix'!W17</f>
        <v>1</v>
      </c>
      <c r="X17" s="89" t="str">
        <f>'[1]OMM_Unit Matrix'!X17</f>
        <v>NO</v>
      </c>
      <c r="Y17" s="89">
        <f>'[1]OMM_Unit Matrix'!Y17</f>
        <v>0</v>
      </c>
      <c r="Z17" s="89" t="str">
        <f>'[1]OMM_Unit Matrix'!Z17</f>
        <v>NO</v>
      </c>
      <c r="AA17" s="89">
        <f>'[1]OMM_Unit Matrix'!AA17</f>
        <v>0</v>
      </c>
      <c r="AB17" s="89" t="str">
        <f>'[1]OMM_Unit Matrix'!AB17</f>
        <v>YES</v>
      </c>
      <c r="AC17" s="201">
        <f>'[1]OMM_Unit Matrix'!AC17</f>
        <v>1</v>
      </c>
      <c r="AD17" s="89" t="str">
        <f>'[1]OMM_Unit Matrix'!AD17</f>
        <v>NO</v>
      </c>
      <c r="AE17" s="89">
        <f>'[1]OMM_Unit Matrix'!AE17</f>
        <v>0</v>
      </c>
      <c r="AF17" s="89" t="str">
        <f>'[1]OMM_Unit Matrix'!AF17</f>
        <v>NO</v>
      </c>
      <c r="AG17" s="89">
        <f>'[1]OMM_Unit Matrix'!AG17</f>
        <v>0</v>
      </c>
      <c r="AH17" s="89" t="str">
        <f>'[1]OMM_Unit Matrix'!AH17</f>
        <v>NO</v>
      </c>
      <c r="AI17" s="89">
        <f>'[1]OMM_Unit Matrix'!AI17</f>
        <v>0</v>
      </c>
      <c r="AJ17" s="89" t="str">
        <f>'[1]OMM_Unit Matrix'!AJ17</f>
        <v>NO</v>
      </c>
      <c r="AK17" s="89">
        <f>'[1]OMM_Unit Matrix'!AK17</f>
        <v>0</v>
      </c>
      <c r="AL17" s="89" t="str">
        <f>'[1]OMM_Unit Matrix'!AL17</f>
        <v>NO</v>
      </c>
      <c r="AM17" s="89">
        <f>'[1]OMM_Unit Matrix'!AM17</f>
        <v>0</v>
      </c>
      <c r="AN17" s="89" t="str">
        <f>'[1]OMM_Unit Matrix'!AN17</f>
        <v>NO</v>
      </c>
      <c r="AO17" s="89">
        <f>'[1]OMM_Unit Matrix'!AO17</f>
        <v>0</v>
      </c>
      <c r="AP17" s="89" t="str">
        <f>'[1]OMM_Unit Matrix'!AP17</f>
        <v>NO</v>
      </c>
      <c r="AQ17" s="89">
        <f>'[1]OMM_Unit Matrix'!AQ17</f>
        <v>0</v>
      </c>
      <c r="AS17" s="244"/>
      <c r="AT17" s="244"/>
      <c r="AU17" s="244"/>
    </row>
    <row r="18" spans="2:47" ht="15" hidden="1" customHeight="1">
      <c r="B18" s="89">
        <f>'[1]OMM_Unit Matrix'!B18</f>
        <v>2</v>
      </c>
      <c r="C18" s="275">
        <f>'[1]OMM_Unit Matrix'!C18</f>
        <v>8</v>
      </c>
      <c r="D18" s="89">
        <f>'[1]OMM_Unit Matrix'!D18</f>
        <v>2008</v>
      </c>
      <c r="E18" s="89">
        <f>'[1]OMM_Unit Matrix'!E18</f>
        <v>0</v>
      </c>
      <c r="F18" s="89">
        <f>'[1]OMM_Unit Matrix'!F18</f>
        <v>0</v>
      </c>
      <c r="G18" s="89" t="str">
        <f>'[1]OMM_Unit Matrix'!G18</f>
        <v>NOT IN SCOPE</v>
      </c>
      <c r="H18" s="89">
        <f>'[1]OMM_Unit Matrix'!H18</f>
        <v>0</v>
      </c>
      <c r="I18" s="89">
        <f>'[1]OMM_Unit Matrix'!I18</f>
        <v>0</v>
      </c>
      <c r="J18" s="89">
        <f>'[1]OMM_Unit Matrix'!J18</f>
        <v>0</v>
      </c>
      <c r="K18" s="89">
        <f>'[1]OMM_Unit Matrix'!K18</f>
        <v>0</v>
      </c>
      <c r="L18" s="89">
        <f>'[1]OMM_Unit Matrix'!L18</f>
        <v>0</v>
      </c>
      <c r="M18" s="89">
        <f>'[1]OMM_Unit Matrix'!M18</f>
        <v>0</v>
      </c>
      <c r="N18" s="89">
        <f>'[1]OMM_Unit Matrix'!N18</f>
        <v>0</v>
      </c>
      <c r="O18" s="89">
        <f>'[1]OMM_Unit Matrix'!O18</f>
        <v>0</v>
      </c>
      <c r="P18" s="89">
        <f>'[1]OMM_Unit Matrix'!P18</f>
        <v>0</v>
      </c>
      <c r="Q18" s="89">
        <f>'[1]OMM_Unit Matrix'!Q18</f>
        <v>0</v>
      </c>
      <c r="R18" s="89">
        <f>'[1]OMM_Unit Matrix'!R18</f>
        <v>0</v>
      </c>
      <c r="S18" s="89">
        <f>'[1]OMM_Unit Matrix'!S18</f>
        <v>0</v>
      </c>
      <c r="T18" s="89">
        <f>'[1]OMM_Unit Matrix'!T18</f>
        <v>0</v>
      </c>
      <c r="U18" s="89">
        <f>'[1]OMM_Unit Matrix'!U18</f>
        <v>0</v>
      </c>
      <c r="V18" s="89">
        <f>'[1]OMM_Unit Matrix'!V18</f>
        <v>0</v>
      </c>
      <c r="W18" s="89">
        <f>'[1]OMM_Unit Matrix'!W18</f>
        <v>0</v>
      </c>
      <c r="X18" s="89">
        <f>'[1]OMM_Unit Matrix'!X18</f>
        <v>0</v>
      </c>
      <c r="Y18" s="89">
        <f>'[1]OMM_Unit Matrix'!Y18</f>
        <v>0</v>
      </c>
      <c r="Z18" s="89">
        <f>'[1]OMM_Unit Matrix'!Z18</f>
        <v>0</v>
      </c>
      <c r="AA18" s="89">
        <f>'[1]OMM_Unit Matrix'!AA18</f>
        <v>0</v>
      </c>
      <c r="AB18" s="89">
        <f>'[1]OMM_Unit Matrix'!AB18</f>
        <v>0</v>
      </c>
      <c r="AC18" s="89">
        <f>'[1]OMM_Unit Matrix'!AC18</f>
        <v>0</v>
      </c>
      <c r="AD18" s="89">
        <f>'[1]OMM_Unit Matrix'!AD18</f>
        <v>0</v>
      </c>
      <c r="AE18" s="89">
        <f>'[1]OMM_Unit Matrix'!AE18</f>
        <v>0</v>
      </c>
      <c r="AF18" s="89">
        <f>'[1]OMM_Unit Matrix'!AF18</f>
        <v>0</v>
      </c>
      <c r="AG18" s="89">
        <f>'[1]OMM_Unit Matrix'!AG18</f>
        <v>0</v>
      </c>
      <c r="AH18" s="89">
        <f>'[1]OMM_Unit Matrix'!AH18</f>
        <v>0</v>
      </c>
      <c r="AI18" s="89">
        <f>'[1]OMM_Unit Matrix'!AI18</f>
        <v>0</v>
      </c>
      <c r="AJ18" s="89">
        <f>'[1]OMM_Unit Matrix'!AJ18</f>
        <v>0</v>
      </c>
      <c r="AK18" s="89">
        <f>'[1]OMM_Unit Matrix'!AK18</f>
        <v>0</v>
      </c>
      <c r="AL18" s="89">
        <f>'[1]OMM_Unit Matrix'!AL18</f>
        <v>0</v>
      </c>
      <c r="AM18" s="89">
        <f>'[1]OMM_Unit Matrix'!AM18</f>
        <v>0</v>
      </c>
      <c r="AN18" s="89">
        <f>'[1]OMM_Unit Matrix'!AN18</f>
        <v>0</v>
      </c>
      <c r="AO18" s="89">
        <f>'[1]OMM_Unit Matrix'!AO18</f>
        <v>0</v>
      </c>
      <c r="AP18" s="89">
        <f>'[1]OMM_Unit Matrix'!AP18</f>
        <v>0</v>
      </c>
      <c r="AQ18" s="270">
        <f>'[1]OMM_Unit Matrix'!AQ18</f>
        <v>0</v>
      </c>
      <c r="AS18" s="244"/>
      <c r="AT18" s="244"/>
      <c r="AU18" s="244"/>
    </row>
    <row r="19" spans="2:47" ht="17.45" hidden="1">
      <c r="B19" s="89">
        <f>'[1]OMM_Unit Matrix'!B19</f>
        <v>2</v>
      </c>
      <c r="C19" s="275">
        <f>'[1]OMM_Unit Matrix'!C19</f>
        <v>9</v>
      </c>
      <c r="D19" s="89">
        <f>'[1]OMM_Unit Matrix'!D19</f>
        <v>2009</v>
      </c>
      <c r="E19" s="89">
        <f>'[1]OMM_Unit Matrix'!E19</f>
        <v>0</v>
      </c>
      <c r="F19" s="89">
        <f>'[1]OMM_Unit Matrix'!F19</f>
        <v>0</v>
      </c>
      <c r="G19" s="89" t="str">
        <f>'[1]OMM_Unit Matrix'!G19</f>
        <v>NOT IN SCOPE</v>
      </c>
      <c r="H19" s="89">
        <f>'[1]OMM_Unit Matrix'!H19</f>
        <v>0</v>
      </c>
      <c r="I19" s="89">
        <f>'[1]OMM_Unit Matrix'!I19</f>
        <v>0</v>
      </c>
      <c r="J19" s="89">
        <f>'[1]OMM_Unit Matrix'!J19</f>
        <v>0</v>
      </c>
      <c r="K19" s="89">
        <f>'[1]OMM_Unit Matrix'!K19</f>
        <v>0</v>
      </c>
      <c r="L19" s="89">
        <f>'[1]OMM_Unit Matrix'!L19</f>
        <v>0</v>
      </c>
      <c r="M19" s="89">
        <f>'[1]OMM_Unit Matrix'!M19</f>
        <v>0</v>
      </c>
      <c r="N19" s="89">
        <f>'[1]OMM_Unit Matrix'!N19</f>
        <v>0</v>
      </c>
      <c r="O19" s="89">
        <f>'[1]OMM_Unit Matrix'!O19</f>
        <v>0</v>
      </c>
      <c r="P19" s="89">
        <f>'[1]OMM_Unit Matrix'!P19</f>
        <v>0</v>
      </c>
      <c r="Q19" s="89">
        <f>'[1]OMM_Unit Matrix'!Q19</f>
        <v>0</v>
      </c>
      <c r="R19" s="89">
        <f>'[1]OMM_Unit Matrix'!R19</f>
        <v>0</v>
      </c>
      <c r="S19" s="89">
        <f>'[1]OMM_Unit Matrix'!S19</f>
        <v>0</v>
      </c>
      <c r="T19" s="89">
        <f>'[1]OMM_Unit Matrix'!T19</f>
        <v>0</v>
      </c>
      <c r="U19" s="89">
        <f>'[1]OMM_Unit Matrix'!U19</f>
        <v>0</v>
      </c>
      <c r="V19" s="89">
        <f>'[1]OMM_Unit Matrix'!V19</f>
        <v>0</v>
      </c>
      <c r="W19" s="89">
        <f>'[1]OMM_Unit Matrix'!W19</f>
        <v>0</v>
      </c>
      <c r="X19" s="89">
        <f>'[1]OMM_Unit Matrix'!X19</f>
        <v>0</v>
      </c>
      <c r="Y19" s="89">
        <f>'[1]OMM_Unit Matrix'!Y19</f>
        <v>0</v>
      </c>
      <c r="Z19" s="89">
        <f>'[1]OMM_Unit Matrix'!Z19</f>
        <v>0</v>
      </c>
      <c r="AA19" s="89">
        <f>'[1]OMM_Unit Matrix'!AA19</f>
        <v>0</v>
      </c>
      <c r="AB19" s="89">
        <f>'[1]OMM_Unit Matrix'!AB19</f>
        <v>0</v>
      </c>
      <c r="AC19" s="89">
        <f>'[1]OMM_Unit Matrix'!AC19</f>
        <v>0</v>
      </c>
      <c r="AD19" s="89">
        <f>'[1]OMM_Unit Matrix'!AD19</f>
        <v>0</v>
      </c>
      <c r="AE19" s="89">
        <f>'[1]OMM_Unit Matrix'!AE19</f>
        <v>0</v>
      </c>
      <c r="AF19" s="89">
        <f>'[1]OMM_Unit Matrix'!AF19</f>
        <v>0</v>
      </c>
      <c r="AG19" s="89">
        <f>'[1]OMM_Unit Matrix'!AG19</f>
        <v>0</v>
      </c>
      <c r="AH19" s="89">
        <f>'[1]OMM_Unit Matrix'!AH19</f>
        <v>0</v>
      </c>
      <c r="AI19" s="89">
        <f>'[1]OMM_Unit Matrix'!AI19</f>
        <v>0</v>
      </c>
      <c r="AJ19" s="89">
        <f>'[1]OMM_Unit Matrix'!AJ19</f>
        <v>0</v>
      </c>
      <c r="AK19" s="89">
        <f>'[1]OMM_Unit Matrix'!AK19</f>
        <v>0</v>
      </c>
      <c r="AL19" s="89">
        <f>'[1]OMM_Unit Matrix'!AL19</f>
        <v>0</v>
      </c>
      <c r="AM19" s="89">
        <f>'[1]OMM_Unit Matrix'!AM19</f>
        <v>0</v>
      </c>
      <c r="AN19" s="89">
        <f>'[1]OMM_Unit Matrix'!AN19</f>
        <v>0</v>
      </c>
      <c r="AO19" s="89">
        <f>'[1]OMM_Unit Matrix'!AO19</f>
        <v>0</v>
      </c>
      <c r="AP19" s="89">
        <f>'[1]OMM_Unit Matrix'!AP19</f>
        <v>0</v>
      </c>
      <c r="AQ19" s="270">
        <f>'[1]OMM_Unit Matrix'!AQ19</f>
        <v>0</v>
      </c>
      <c r="AS19" s="244"/>
      <c r="AT19" s="244"/>
      <c r="AU19" s="244"/>
    </row>
    <row r="20" spans="2:47" ht="17.45" hidden="1">
      <c r="B20" s="89">
        <f>'[1]OMM_Unit Matrix'!B20</f>
        <v>2</v>
      </c>
      <c r="C20" s="275">
        <f>'[1]OMM_Unit Matrix'!C20</f>
        <v>10</v>
      </c>
      <c r="D20" s="89">
        <f>'[1]OMM_Unit Matrix'!D20</f>
        <v>2010</v>
      </c>
      <c r="E20" s="89">
        <f>'[1]OMM_Unit Matrix'!E20</f>
        <v>0</v>
      </c>
      <c r="F20" s="89">
        <f>'[1]OMM_Unit Matrix'!F20</f>
        <v>0</v>
      </c>
      <c r="G20" s="89" t="str">
        <f>'[1]OMM_Unit Matrix'!G20</f>
        <v>NOT IN SCOPE</v>
      </c>
      <c r="H20" s="89">
        <f>'[1]OMM_Unit Matrix'!H20</f>
        <v>0</v>
      </c>
      <c r="I20" s="89">
        <f>'[1]OMM_Unit Matrix'!I20</f>
        <v>0</v>
      </c>
      <c r="J20" s="89">
        <f>'[1]OMM_Unit Matrix'!J20</f>
        <v>0</v>
      </c>
      <c r="K20" s="89">
        <f>'[1]OMM_Unit Matrix'!K20</f>
        <v>0</v>
      </c>
      <c r="L20" s="89">
        <f>'[1]OMM_Unit Matrix'!L20</f>
        <v>0</v>
      </c>
      <c r="M20" s="89">
        <f>'[1]OMM_Unit Matrix'!M20</f>
        <v>0</v>
      </c>
      <c r="N20" s="89">
        <f>'[1]OMM_Unit Matrix'!N20</f>
        <v>0</v>
      </c>
      <c r="O20" s="89">
        <f>'[1]OMM_Unit Matrix'!O20</f>
        <v>0</v>
      </c>
      <c r="P20" s="89">
        <f>'[1]OMM_Unit Matrix'!P20</f>
        <v>0</v>
      </c>
      <c r="Q20" s="89">
        <f>'[1]OMM_Unit Matrix'!Q20</f>
        <v>0</v>
      </c>
      <c r="R20" s="89">
        <f>'[1]OMM_Unit Matrix'!R20</f>
        <v>0</v>
      </c>
      <c r="S20" s="89">
        <f>'[1]OMM_Unit Matrix'!S20</f>
        <v>0</v>
      </c>
      <c r="T20" s="89">
        <f>'[1]OMM_Unit Matrix'!T20</f>
        <v>0</v>
      </c>
      <c r="U20" s="89">
        <f>'[1]OMM_Unit Matrix'!U20</f>
        <v>0</v>
      </c>
      <c r="V20" s="89">
        <f>'[1]OMM_Unit Matrix'!V20</f>
        <v>0</v>
      </c>
      <c r="W20" s="89">
        <f>'[1]OMM_Unit Matrix'!W20</f>
        <v>0</v>
      </c>
      <c r="X20" s="89">
        <f>'[1]OMM_Unit Matrix'!X20</f>
        <v>0</v>
      </c>
      <c r="Y20" s="89">
        <f>'[1]OMM_Unit Matrix'!Y20</f>
        <v>0</v>
      </c>
      <c r="Z20" s="89">
        <f>'[1]OMM_Unit Matrix'!Z20</f>
        <v>0</v>
      </c>
      <c r="AA20" s="89">
        <f>'[1]OMM_Unit Matrix'!AA20</f>
        <v>0</v>
      </c>
      <c r="AB20" s="89">
        <f>'[1]OMM_Unit Matrix'!AB20</f>
        <v>0</v>
      </c>
      <c r="AC20" s="89">
        <f>'[1]OMM_Unit Matrix'!AC20</f>
        <v>0</v>
      </c>
      <c r="AD20" s="89">
        <f>'[1]OMM_Unit Matrix'!AD20</f>
        <v>0</v>
      </c>
      <c r="AE20" s="89">
        <f>'[1]OMM_Unit Matrix'!AE20</f>
        <v>0</v>
      </c>
      <c r="AF20" s="89">
        <f>'[1]OMM_Unit Matrix'!AF20</f>
        <v>0</v>
      </c>
      <c r="AG20" s="89">
        <f>'[1]OMM_Unit Matrix'!AG20</f>
        <v>0</v>
      </c>
      <c r="AH20" s="89">
        <f>'[1]OMM_Unit Matrix'!AH20</f>
        <v>0</v>
      </c>
      <c r="AI20" s="89">
        <f>'[1]OMM_Unit Matrix'!AI20</f>
        <v>0</v>
      </c>
      <c r="AJ20" s="89">
        <f>'[1]OMM_Unit Matrix'!AJ20</f>
        <v>0</v>
      </c>
      <c r="AK20" s="89">
        <f>'[1]OMM_Unit Matrix'!AK20</f>
        <v>0</v>
      </c>
      <c r="AL20" s="89">
        <f>'[1]OMM_Unit Matrix'!AL20</f>
        <v>0</v>
      </c>
      <c r="AM20" s="89">
        <f>'[1]OMM_Unit Matrix'!AM20</f>
        <v>0</v>
      </c>
      <c r="AN20" s="89">
        <f>'[1]OMM_Unit Matrix'!AN20</f>
        <v>0</v>
      </c>
      <c r="AO20" s="89">
        <f>'[1]OMM_Unit Matrix'!AO20</f>
        <v>0</v>
      </c>
      <c r="AP20" s="89">
        <f>'[1]OMM_Unit Matrix'!AP20</f>
        <v>0</v>
      </c>
      <c r="AQ20" s="270">
        <f>'[1]OMM_Unit Matrix'!AQ20</f>
        <v>0</v>
      </c>
      <c r="AS20" s="244"/>
      <c r="AT20" s="244"/>
      <c r="AU20" s="244"/>
    </row>
    <row r="21" spans="2:47" ht="17.45" hidden="1">
      <c r="B21" s="89">
        <f>'[1]OMM_Unit Matrix'!B21</f>
        <v>2</v>
      </c>
      <c r="C21" s="275">
        <f>'[1]OMM_Unit Matrix'!C21</f>
        <v>11</v>
      </c>
      <c r="D21" s="89">
        <f>'[1]OMM_Unit Matrix'!D21</f>
        <v>2011</v>
      </c>
      <c r="E21" s="89">
        <f>'[1]OMM_Unit Matrix'!E21</f>
        <v>0</v>
      </c>
      <c r="F21" s="89">
        <f>'[1]OMM_Unit Matrix'!F21</f>
        <v>0</v>
      </c>
      <c r="G21" s="89" t="str">
        <f>'[1]OMM_Unit Matrix'!G21</f>
        <v>NOT IN SCOPE</v>
      </c>
      <c r="H21" s="89">
        <f>'[1]OMM_Unit Matrix'!H21</f>
        <v>0</v>
      </c>
      <c r="I21" s="89">
        <f>'[1]OMM_Unit Matrix'!I21</f>
        <v>0</v>
      </c>
      <c r="J21" s="89">
        <f>'[1]OMM_Unit Matrix'!J21</f>
        <v>0</v>
      </c>
      <c r="K21" s="89">
        <f>'[1]OMM_Unit Matrix'!K21</f>
        <v>0</v>
      </c>
      <c r="L21" s="89">
        <f>'[1]OMM_Unit Matrix'!L21</f>
        <v>0</v>
      </c>
      <c r="M21" s="89">
        <f>'[1]OMM_Unit Matrix'!M21</f>
        <v>0</v>
      </c>
      <c r="N21" s="89">
        <f>'[1]OMM_Unit Matrix'!N21</f>
        <v>0</v>
      </c>
      <c r="O21" s="89">
        <f>'[1]OMM_Unit Matrix'!O21</f>
        <v>0</v>
      </c>
      <c r="P21" s="89">
        <f>'[1]OMM_Unit Matrix'!P21</f>
        <v>0</v>
      </c>
      <c r="Q21" s="89">
        <f>'[1]OMM_Unit Matrix'!Q21</f>
        <v>0</v>
      </c>
      <c r="R21" s="89">
        <f>'[1]OMM_Unit Matrix'!R21</f>
        <v>0</v>
      </c>
      <c r="S21" s="89">
        <f>'[1]OMM_Unit Matrix'!S21</f>
        <v>0</v>
      </c>
      <c r="T21" s="89">
        <f>'[1]OMM_Unit Matrix'!T21</f>
        <v>0</v>
      </c>
      <c r="U21" s="89">
        <f>'[1]OMM_Unit Matrix'!U21</f>
        <v>0</v>
      </c>
      <c r="V21" s="89">
        <f>'[1]OMM_Unit Matrix'!V21</f>
        <v>0</v>
      </c>
      <c r="W21" s="89">
        <f>'[1]OMM_Unit Matrix'!W21</f>
        <v>0</v>
      </c>
      <c r="X21" s="89">
        <f>'[1]OMM_Unit Matrix'!X21</f>
        <v>0</v>
      </c>
      <c r="Y21" s="89">
        <f>'[1]OMM_Unit Matrix'!Y21</f>
        <v>0</v>
      </c>
      <c r="Z21" s="89">
        <f>'[1]OMM_Unit Matrix'!Z21</f>
        <v>0</v>
      </c>
      <c r="AA21" s="89">
        <f>'[1]OMM_Unit Matrix'!AA21</f>
        <v>0</v>
      </c>
      <c r="AB21" s="89">
        <f>'[1]OMM_Unit Matrix'!AB21</f>
        <v>0</v>
      </c>
      <c r="AC21" s="89">
        <f>'[1]OMM_Unit Matrix'!AC21</f>
        <v>0</v>
      </c>
      <c r="AD21" s="89">
        <f>'[1]OMM_Unit Matrix'!AD21</f>
        <v>0</v>
      </c>
      <c r="AE21" s="89">
        <f>'[1]OMM_Unit Matrix'!AE21</f>
        <v>0</v>
      </c>
      <c r="AF21" s="89">
        <f>'[1]OMM_Unit Matrix'!AF21</f>
        <v>0</v>
      </c>
      <c r="AG21" s="89">
        <f>'[1]OMM_Unit Matrix'!AG21</f>
        <v>0</v>
      </c>
      <c r="AH21" s="89">
        <f>'[1]OMM_Unit Matrix'!AH21</f>
        <v>0</v>
      </c>
      <c r="AI21" s="89">
        <f>'[1]OMM_Unit Matrix'!AI21</f>
        <v>0</v>
      </c>
      <c r="AJ21" s="89">
        <f>'[1]OMM_Unit Matrix'!AJ21</f>
        <v>0</v>
      </c>
      <c r="AK21" s="89">
        <f>'[1]OMM_Unit Matrix'!AK21</f>
        <v>0</v>
      </c>
      <c r="AL21" s="89">
        <f>'[1]OMM_Unit Matrix'!AL21</f>
        <v>0</v>
      </c>
      <c r="AM21" s="89">
        <f>'[1]OMM_Unit Matrix'!AM21</f>
        <v>0</v>
      </c>
      <c r="AN21" s="89">
        <f>'[1]OMM_Unit Matrix'!AN21</f>
        <v>0</v>
      </c>
      <c r="AO21" s="89">
        <f>'[1]OMM_Unit Matrix'!AO21</f>
        <v>0</v>
      </c>
      <c r="AP21" s="89">
        <f>'[1]OMM_Unit Matrix'!AP21</f>
        <v>0</v>
      </c>
      <c r="AQ21" s="270">
        <f>'[1]OMM_Unit Matrix'!AQ21</f>
        <v>0</v>
      </c>
      <c r="AS21" s="244"/>
      <c r="AT21" s="244"/>
      <c r="AU21" s="244"/>
    </row>
    <row r="22" spans="2:47" ht="17.45" hidden="1">
      <c r="B22" s="89">
        <f>'[1]OMM_Unit Matrix'!B22</f>
        <v>2</v>
      </c>
      <c r="C22" s="275">
        <f>'[1]OMM_Unit Matrix'!C22</f>
        <v>12</v>
      </c>
      <c r="D22" s="89">
        <f>'[1]OMM_Unit Matrix'!D22</f>
        <v>2012</v>
      </c>
      <c r="E22" s="89">
        <f>'[1]OMM_Unit Matrix'!E22</f>
        <v>0</v>
      </c>
      <c r="F22" s="89">
        <f>'[1]OMM_Unit Matrix'!F22</f>
        <v>0</v>
      </c>
      <c r="G22" s="89" t="str">
        <f>'[1]OMM_Unit Matrix'!G22</f>
        <v>NOT IN SCOPE</v>
      </c>
      <c r="H22" s="89">
        <f>'[1]OMM_Unit Matrix'!H22</f>
        <v>0</v>
      </c>
      <c r="I22" s="89">
        <f>'[1]OMM_Unit Matrix'!I22</f>
        <v>0</v>
      </c>
      <c r="J22" s="89">
        <f>'[1]OMM_Unit Matrix'!J22</f>
        <v>0</v>
      </c>
      <c r="K22" s="89">
        <f>'[1]OMM_Unit Matrix'!K22</f>
        <v>0</v>
      </c>
      <c r="L22" s="89">
        <f>'[1]OMM_Unit Matrix'!L22</f>
        <v>0</v>
      </c>
      <c r="M22" s="89">
        <f>'[1]OMM_Unit Matrix'!M22</f>
        <v>0</v>
      </c>
      <c r="N22" s="89">
        <f>'[1]OMM_Unit Matrix'!N22</f>
        <v>0</v>
      </c>
      <c r="O22" s="89">
        <f>'[1]OMM_Unit Matrix'!O22</f>
        <v>0</v>
      </c>
      <c r="P22" s="89">
        <f>'[1]OMM_Unit Matrix'!P22</f>
        <v>0</v>
      </c>
      <c r="Q22" s="89">
        <f>'[1]OMM_Unit Matrix'!Q22</f>
        <v>0</v>
      </c>
      <c r="R22" s="89">
        <f>'[1]OMM_Unit Matrix'!R22</f>
        <v>0</v>
      </c>
      <c r="S22" s="89">
        <f>'[1]OMM_Unit Matrix'!S22</f>
        <v>0</v>
      </c>
      <c r="T22" s="89">
        <f>'[1]OMM_Unit Matrix'!T22</f>
        <v>0</v>
      </c>
      <c r="U22" s="89">
        <f>'[1]OMM_Unit Matrix'!U22</f>
        <v>0</v>
      </c>
      <c r="V22" s="89">
        <f>'[1]OMM_Unit Matrix'!V22</f>
        <v>0</v>
      </c>
      <c r="W22" s="89">
        <f>'[1]OMM_Unit Matrix'!W22</f>
        <v>0</v>
      </c>
      <c r="X22" s="89">
        <f>'[1]OMM_Unit Matrix'!X22</f>
        <v>0</v>
      </c>
      <c r="Y22" s="89">
        <f>'[1]OMM_Unit Matrix'!Y22</f>
        <v>0</v>
      </c>
      <c r="Z22" s="89">
        <f>'[1]OMM_Unit Matrix'!Z22</f>
        <v>0</v>
      </c>
      <c r="AA22" s="89">
        <f>'[1]OMM_Unit Matrix'!AA22</f>
        <v>0</v>
      </c>
      <c r="AB22" s="89">
        <f>'[1]OMM_Unit Matrix'!AB22</f>
        <v>0</v>
      </c>
      <c r="AC22" s="89">
        <f>'[1]OMM_Unit Matrix'!AC22</f>
        <v>0</v>
      </c>
      <c r="AD22" s="89">
        <f>'[1]OMM_Unit Matrix'!AD22</f>
        <v>0</v>
      </c>
      <c r="AE22" s="89">
        <f>'[1]OMM_Unit Matrix'!AE22</f>
        <v>0</v>
      </c>
      <c r="AF22" s="89">
        <f>'[1]OMM_Unit Matrix'!AF22</f>
        <v>0</v>
      </c>
      <c r="AG22" s="89">
        <f>'[1]OMM_Unit Matrix'!AG22</f>
        <v>0</v>
      </c>
      <c r="AH22" s="89">
        <f>'[1]OMM_Unit Matrix'!AH22</f>
        <v>0</v>
      </c>
      <c r="AI22" s="89">
        <f>'[1]OMM_Unit Matrix'!AI22</f>
        <v>0</v>
      </c>
      <c r="AJ22" s="89">
        <f>'[1]OMM_Unit Matrix'!AJ22</f>
        <v>0</v>
      </c>
      <c r="AK22" s="89">
        <f>'[1]OMM_Unit Matrix'!AK22</f>
        <v>0</v>
      </c>
      <c r="AL22" s="89">
        <f>'[1]OMM_Unit Matrix'!AL22</f>
        <v>0</v>
      </c>
      <c r="AM22" s="89">
        <f>'[1]OMM_Unit Matrix'!AM22</f>
        <v>0</v>
      </c>
      <c r="AN22" s="89">
        <f>'[1]OMM_Unit Matrix'!AN22</f>
        <v>0</v>
      </c>
      <c r="AO22" s="89">
        <f>'[1]OMM_Unit Matrix'!AO22</f>
        <v>0</v>
      </c>
      <c r="AP22" s="89">
        <f>'[1]OMM_Unit Matrix'!AP22</f>
        <v>0</v>
      </c>
      <c r="AQ22" s="270">
        <f>'[1]OMM_Unit Matrix'!AQ22</f>
        <v>0</v>
      </c>
      <c r="AS22" s="244"/>
      <c r="AT22" s="244"/>
      <c r="AU22" s="244"/>
    </row>
    <row r="23" spans="2:47" ht="17.45" hidden="1">
      <c r="B23" s="89">
        <f>'[1]OMM_Unit Matrix'!B23</f>
        <v>2</v>
      </c>
      <c r="C23" s="275">
        <f>'[1]OMM_Unit Matrix'!C23</f>
        <v>13</v>
      </c>
      <c r="D23" s="89">
        <f>'[1]OMM_Unit Matrix'!D23</f>
        <v>2013</v>
      </c>
      <c r="E23" s="89">
        <f>'[1]OMM_Unit Matrix'!E23</f>
        <v>0</v>
      </c>
      <c r="F23" s="89">
        <f>'[1]OMM_Unit Matrix'!F23</f>
        <v>0</v>
      </c>
      <c r="G23" s="89" t="str">
        <f>'[1]OMM_Unit Matrix'!G23</f>
        <v>NOT IN SCOPE</v>
      </c>
      <c r="H23" s="89">
        <f>'[1]OMM_Unit Matrix'!H23</f>
        <v>0</v>
      </c>
      <c r="I23" s="89">
        <f>'[1]OMM_Unit Matrix'!I23</f>
        <v>0</v>
      </c>
      <c r="J23" s="89">
        <f>'[1]OMM_Unit Matrix'!J23</f>
        <v>0</v>
      </c>
      <c r="K23" s="89">
        <f>'[1]OMM_Unit Matrix'!K23</f>
        <v>0</v>
      </c>
      <c r="L23" s="89">
        <f>'[1]OMM_Unit Matrix'!L23</f>
        <v>0</v>
      </c>
      <c r="M23" s="89">
        <f>'[1]OMM_Unit Matrix'!M23</f>
        <v>0</v>
      </c>
      <c r="N23" s="89">
        <f>'[1]OMM_Unit Matrix'!N23</f>
        <v>0</v>
      </c>
      <c r="O23" s="89">
        <f>'[1]OMM_Unit Matrix'!O23</f>
        <v>0</v>
      </c>
      <c r="P23" s="89">
        <f>'[1]OMM_Unit Matrix'!P23</f>
        <v>0</v>
      </c>
      <c r="Q23" s="89">
        <f>'[1]OMM_Unit Matrix'!Q23</f>
        <v>0</v>
      </c>
      <c r="R23" s="89">
        <f>'[1]OMM_Unit Matrix'!R23</f>
        <v>0</v>
      </c>
      <c r="S23" s="89">
        <f>'[1]OMM_Unit Matrix'!S23</f>
        <v>0</v>
      </c>
      <c r="T23" s="89">
        <f>'[1]OMM_Unit Matrix'!T23</f>
        <v>0</v>
      </c>
      <c r="U23" s="89">
        <f>'[1]OMM_Unit Matrix'!U23</f>
        <v>0</v>
      </c>
      <c r="V23" s="89">
        <f>'[1]OMM_Unit Matrix'!V23</f>
        <v>0</v>
      </c>
      <c r="W23" s="89">
        <f>'[1]OMM_Unit Matrix'!W23</f>
        <v>0</v>
      </c>
      <c r="X23" s="89">
        <f>'[1]OMM_Unit Matrix'!X23</f>
        <v>0</v>
      </c>
      <c r="Y23" s="89">
        <f>'[1]OMM_Unit Matrix'!Y23</f>
        <v>0</v>
      </c>
      <c r="Z23" s="89">
        <f>'[1]OMM_Unit Matrix'!Z23</f>
        <v>0</v>
      </c>
      <c r="AA23" s="89">
        <f>'[1]OMM_Unit Matrix'!AA23</f>
        <v>0</v>
      </c>
      <c r="AB23" s="89">
        <f>'[1]OMM_Unit Matrix'!AB23</f>
        <v>0</v>
      </c>
      <c r="AC23" s="89">
        <f>'[1]OMM_Unit Matrix'!AC23</f>
        <v>0</v>
      </c>
      <c r="AD23" s="89">
        <f>'[1]OMM_Unit Matrix'!AD23</f>
        <v>0</v>
      </c>
      <c r="AE23" s="89">
        <f>'[1]OMM_Unit Matrix'!AE23</f>
        <v>0</v>
      </c>
      <c r="AF23" s="89">
        <f>'[1]OMM_Unit Matrix'!AF23</f>
        <v>0</v>
      </c>
      <c r="AG23" s="89">
        <f>'[1]OMM_Unit Matrix'!AG23</f>
        <v>0</v>
      </c>
      <c r="AH23" s="89">
        <f>'[1]OMM_Unit Matrix'!AH23</f>
        <v>0</v>
      </c>
      <c r="AI23" s="89">
        <f>'[1]OMM_Unit Matrix'!AI23</f>
        <v>0</v>
      </c>
      <c r="AJ23" s="89">
        <f>'[1]OMM_Unit Matrix'!AJ23</f>
        <v>0</v>
      </c>
      <c r="AK23" s="89">
        <f>'[1]OMM_Unit Matrix'!AK23</f>
        <v>0</v>
      </c>
      <c r="AL23" s="89">
        <f>'[1]OMM_Unit Matrix'!AL23</f>
        <v>0</v>
      </c>
      <c r="AM23" s="89">
        <f>'[1]OMM_Unit Matrix'!AM23</f>
        <v>0</v>
      </c>
      <c r="AN23" s="89">
        <f>'[1]OMM_Unit Matrix'!AN23</f>
        <v>0</v>
      </c>
      <c r="AO23" s="89">
        <f>'[1]OMM_Unit Matrix'!AO23</f>
        <v>0</v>
      </c>
      <c r="AP23" s="89">
        <f>'[1]OMM_Unit Matrix'!AP23</f>
        <v>0</v>
      </c>
      <c r="AQ23" s="270">
        <f>'[1]OMM_Unit Matrix'!AQ23</f>
        <v>0</v>
      </c>
      <c r="AS23" s="244"/>
      <c r="AT23" s="244"/>
      <c r="AU23" s="244"/>
    </row>
    <row r="24" spans="2:47" ht="17.45" hidden="1">
      <c r="B24" s="89">
        <f>'[1]OMM_Unit Matrix'!B24</f>
        <v>2</v>
      </c>
      <c r="C24" s="275">
        <f>'[1]OMM_Unit Matrix'!C24</f>
        <v>14</v>
      </c>
      <c r="D24" s="89">
        <f>'[1]OMM_Unit Matrix'!D24</f>
        <v>2014</v>
      </c>
      <c r="E24" s="89">
        <f>'[1]OMM_Unit Matrix'!E24</f>
        <v>0</v>
      </c>
      <c r="F24" s="89">
        <f>'[1]OMM_Unit Matrix'!F24</f>
        <v>0</v>
      </c>
      <c r="G24" s="89" t="str">
        <f>'[1]OMM_Unit Matrix'!G24</f>
        <v>NOT IN SCOPE</v>
      </c>
      <c r="H24" s="89">
        <f>'[1]OMM_Unit Matrix'!H24</f>
        <v>0</v>
      </c>
      <c r="I24" s="89">
        <f>'[1]OMM_Unit Matrix'!I24</f>
        <v>0</v>
      </c>
      <c r="J24" s="89">
        <f>'[1]OMM_Unit Matrix'!J24</f>
        <v>0</v>
      </c>
      <c r="K24" s="89">
        <f>'[1]OMM_Unit Matrix'!K24</f>
        <v>0</v>
      </c>
      <c r="L24" s="89">
        <f>'[1]OMM_Unit Matrix'!L24</f>
        <v>0</v>
      </c>
      <c r="M24" s="89">
        <f>'[1]OMM_Unit Matrix'!M24</f>
        <v>0</v>
      </c>
      <c r="N24" s="89">
        <f>'[1]OMM_Unit Matrix'!N24</f>
        <v>0</v>
      </c>
      <c r="O24" s="89">
        <f>'[1]OMM_Unit Matrix'!O24</f>
        <v>0</v>
      </c>
      <c r="P24" s="89">
        <f>'[1]OMM_Unit Matrix'!P24</f>
        <v>0</v>
      </c>
      <c r="Q24" s="89">
        <f>'[1]OMM_Unit Matrix'!Q24</f>
        <v>0</v>
      </c>
      <c r="R24" s="89">
        <f>'[1]OMM_Unit Matrix'!R24</f>
        <v>0</v>
      </c>
      <c r="S24" s="89">
        <f>'[1]OMM_Unit Matrix'!S24</f>
        <v>0</v>
      </c>
      <c r="T24" s="89">
        <f>'[1]OMM_Unit Matrix'!T24</f>
        <v>0</v>
      </c>
      <c r="U24" s="89">
        <f>'[1]OMM_Unit Matrix'!U24</f>
        <v>0</v>
      </c>
      <c r="V24" s="89">
        <f>'[1]OMM_Unit Matrix'!V24</f>
        <v>0</v>
      </c>
      <c r="W24" s="89">
        <f>'[1]OMM_Unit Matrix'!W24</f>
        <v>0</v>
      </c>
      <c r="X24" s="89">
        <f>'[1]OMM_Unit Matrix'!X24</f>
        <v>0</v>
      </c>
      <c r="Y24" s="89">
        <f>'[1]OMM_Unit Matrix'!Y24</f>
        <v>0</v>
      </c>
      <c r="Z24" s="89">
        <f>'[1]OMM_Unit Matrix'!Z24</f>
        <v>0</v>
      </c>
      <c r="AA24" s="89">
        <f>'[1]OMM_Unit Matrix'!AA24</f>
        <v>0</v>
      </c>
      <c r="AB24" s="89">
        <f>'[1]OMM_Unit Matrix'!AB24</f>
        <v>0</v>
      </c>
      <c r="AC24" s="89">
        <f>'[1]OMM_Unit Matrix'!AC24</f>
        <v>0</v>
      </c>
      <c r="AD24" s="89">
        <f>'[1]OMM_Unit Matrix'!AD24</f>
        <v>0</v>
      </c>
      <c r="AE24" s="89">
        <f>'[1]OMM_Unit Matrix'!AE24</f>
        <v>0</v>
      </c>
      <c r="AF24" s="89">
        <f>'[1]OMM_Unit Matrix'!AF24</f>
        <v>0</v>
      </c>
      <c r="AG24" s="89">
        <f>'[1]OMM_Unit Matrix'!AG24</f>
        <v>0</v>
      </c>
      <c r="AH24" s="89">
        <f>'[1]OMM_Unit Matrix'!AH24</f>
        <v>0</v>
      </c>
      <c r="AI24" s="89">
        <f>'[1]OMM_Unit Matrix'!AI24</f>
        <v>0</v>
      </c>
      <c r="AJ24" s="89">
        <f>'[1]OMM_Unit Matrix'!AJ24</f>
        <v>0</v>
      </c>
      <c r="AK24" s="89">
        <f>'[1]OMM_Unit Matrix'!AK24</f>
        <v>0</v>
      </c>
      <c r="AL24" s="89">
        <f>'[1]OMM_Unit Matrix'!AL24</f>
        <v>0</v>
      </c>
      <c r="AM24" s="89">
        <f>'[1]OMM_Unit Matrix'!AM24</f>
        <v>0</v>
      </c>
      <c r="AN24" s="89">
        <f>'[1]OMM_Unit Matrix'!AN24</f>
        <v>0</v>
      </c>
      <c r="AO24" s="89">
        <f>'[1]OMM_Unit Matrix'!AO24</f>
        <v>0</v>
      </c>
      <c r="AP24" s="89">
        <f>'[1]OMM_Unit Matrix'!AP24</f>
        <v>0</v>
      </c>
      <c r="AQ24" s="270">
        <f>'[1]OMM_Unit Matrix'!AQ24</f>
        <v>0</v>
      </c>
      <c r="AS24" s="244"/>
      <c r="AT24" s="244"/>
      <c r="AU24" s="244"/>
    </row>
    <row r="25" spans="2:47" ht="17.45">
      <c r="B25" s="89">
        <f>'[1]OMM_Unit Matrix'!B25</f>
        <v>2</v>
      </c>
      <c r="C25" s="275">
        <f>'[1]OMM_Unit Matrix'!C25</f>
        <v>15</v>
      </c>
      <c r="D25" s="89">
        <f>'[1]OMM_Unit Matrix'!D25</f>
        <v>2015</v>
      </c>
      <c r="E25" s="89" t="str">
        <f>'[1]OMM_Unit Matrix'!E25</f>
        <v>NO</v>
      </c>
      <c r="F25" s="132" t="str">
        <f>'[1]OMM_Unit Matrix'!F25</f>
        <v>3B-04</v>
      </c>
      <c r="G25" s="89" t="str">
        <f>'[1]OMM_Unit Matrix'!G25</f>
        <v>ORDERED</v>
      </c>
      <c r="H25" s="89" t="str">
        <f>'[1]OMM_Unit Matrix'!H25</f>
        <v>YES</v>
      </c>
      <c r="I25" s="201">
        <f>'[1]OMM_Unit Matrix'!I25</f>
        <v>1</v>
      </c>
      <c r="J25" s="89" t="str">
        <f>'[1]OMM_Unit Matrix'!J25</f>
        <v>NO</v>
      </c>
      <c r="K25" s="89">
        <f>'[1]OMM_Unit Matrix'!K25</f>
        <v>0</v>
      </c>
      <c r="L25" s="89" t="str">
        <f>'[1]OMM_Unit Matrix'!L25</f>
        <v>YES</v>
      </c>
      <c r="M25" s="201">
        <f>'[1]OMM_Unit Matrix'!M25</f>
        <v>1</v>
      </c>
      <c r="N25" s="89" t="str">
        <f>'[1]OMM_Unit Matrix'!N25</f>
        <v>YES</v>
      </c>
      <c r="O25" s="201">
        <f>'[1]OMM_Unit Matrix'!O25</f>
        <v>1</v>
      </c>
      <c r="P25" s="89" t="str">
        <f>'[1]OMM_Unit Matrix'!P25</f>
        <v>NO</v>
      </c>
      <c r="Q25" s="89">
        <f>'[1]OMM_Unit Matrix'!Q25</f>
        <v>0</v>
      </c>
      <c r="R25" s="89" t="str">
        <f>'[1]OMM_Unit Matrix'!R25</f>
        <v>NO</v>
      </c>
      <c r="S25" s="89">
        <f>'[1]OMM_Unit Matrix'!S25</f>
        <v>0</v>
      </c>
      <c r="T25" s="89" t="str">
        <f>'[1]OMM_Unit Matrix'!T25</f>
        <v>NO</v>
      </c>
      <c r="U25" s="89">
        <f>'[1]OMM_Unit Matrix'!U25</f>
        <v>0</v>
      </c>
      <c r="V25" s="89" t="str">
        <f>'[1]OMM_Unit Matrix'!V25</f>
        <v>YES</v>
      </c>
      <c r="W25" s="201">
        <f>'[1]OMM_Unit Matrix'!W25</f>
        <v>1</v>
      </c>
      <c r="X25" s="89" t="str">
        <f>'[1]OMM_Unit Matrix'!X25</f>
        <v>NO</v>
      </c>
      <c r="Y25" s="89">
        <f>'[1]OMM_Unit Matrix'!Y25</f>
        <v>0</v>
      </c>
      <c r="Z25" s="89" t="str">
        <f>'[1]OMM_Unit Matrix'!Z25</f>
        <v>NO</v>
      </c>
      <c r="AA25" s="89">
        <f>'[1]OMM_Unit Matrix'!AA25</f>
        <v>0</v>
      </c>
      <c r="AB25" s="89" t="str">
        <f>'[1]OMM_Unit Matrix'!AB25</f>
        <v>YES</v>
      </c>
      <c r="AC25" s="201">
        <f>'[1]OMM_Unit Matrix'!AC25</f>
        <v>1</v>
      </c>
      <c r="AD25" s="89" t="str">
        <f>'[1]OMM_Unit Matrix'!AD25</f>
        <v>YES</v>
      </c>
      <c r="AE25" s="201">
        <f>'[1]OMM_Unit Matrix'!AE25</f>
        <v>1</v>
      </c>
      <c r="AF25" s="89" t="str">
        <f>'[1]OMM_Unit Matrix'!AF25</f>
        <v>NO</v>
      </c>
      <c r="AG25" s="89">
        <f>'[1]OMM_Unit Matrix'!AG25</f>
        <v>0</v>
      </c>
      <c r="AH25" s="89" t="str">
        <f>'[1]OMM_Unit Matrix'!AH25</f>
        <v>NO</v>
      </c>
      <c r="AI25" s="89">
        <f>'[1]OMM_Unit Matrix'!AI25</f>
        <v>0</v>
      </c>
      <c r="AJ25" s="89" t="str">
        <f>'[1]OMM_Unit Matrix'!AJ25</f>
        <v>NO</v>
      </c>
      <c r="AK25" s="89">
        <f>'[1]OMM_Unit Matrix'!AK25</f>
        <v>0</v>
      </c>
      <c r="AL25" s="89" t="str">
        <f>'[1]OMM_Unit Matrix'!AL25</f>
        <v>NO</v>
      </c>
      <c r="AM25" s="89">
        <f>'[1]OMM_Unit Matrix'!AM25</f>
        <v>0</v>
      </c>
      <c r="AN25" s="89" t="str">
        <f>'[1]OMM_Unit Matrix'!AN25</f>
        <v>NO</v>
      </c>
      <c r="AO25" s="89">
        <f>'[1]OMM_Unit Matrix'!AO25</f>
        <v>0</v>
      </c>
      <c r="AP25" s="89" t="str">
        <f>'[1]OMM_Unit Matrix'!AP25</f>
        <v>NO</v>
      </c>
      <c r="AQ25" s="270">
        <f>'[1]OMM_Unit Matrix'!AQ25</f>
        <v>0</v>
      </c>
      <c r="AS25" s="244"/>
      <c r="AT25" s="244"/>
      <c r="AU25" s="244"/>
    </row>
    <row r="26" spans="2:47" ht="17.45" hidden="1">
      <c r="B26" s="89">
        <f>'[1]OMM_Unit Matrix'!B26</f>
        <v>2</v>
      </c>
      <c r="C26" s="275">
        <f>'[1]OMM_Unit Matrix'!C26</f>
        <v>16</v>
      </c>
      <c r="D26" s="89">
        <f>'[1]OMM_Unit Matrix'!D26</f>
        <v>2016</v>
      </c>
      <c r="E26" s="89">
        <f>'[1]OMM_Unit Matrix'!E26</f>
        <v>0</v>
      </c>
      <c r="F26" s="89">
        <f>'[1]OMM_Unit Matrix'!F26</f>
        <v>0</v>
      </c>
      <c r="G26" s="89" t="str">
        <f>'[1]OMM_Unit Matrix'!G26</f>
        <v>NOT IN SCOPE</v>
      </c>
      <c r="H26" s="89">
        <f>'[1]OMM_Unit Matrix'!H26</f>
        <v>0</v>
      </c>
      <c r="I26" s="89">
        <f>'[1]OMM_Unit Matrix'!I26</f>
        <v>0</v>
      </c>
      <c r="J26" s="89">
        <f>'[1]OMM_Unit Matrix'!J26</f>
        <v>0</v>
      </c>
      <c r="K26" s="89">
        <f>'[1]OMM_Unit Matrix'!K26</f>
        <v>0</v>
      </c>
      <c r="L26" s="89">
        <f>'[1]OMM_Unit Matrix'!L26</f>
        <v>0</v>
      </c>
      <c r="M26" s="89">
        <f>'[1]OMM_Unit Matrix'!M26</f>
        <v>0</v>
      </c>
      <c r="N26" s="89">
        <f>'[1]OMM_Unit Matrix'!N26</f>
        <v>0</v>
      </c>
      <c r="O26" s="89">
        <f>'[1]OMM_Unit Matrix'!O26</f>
        <v>0</v>
      </c>
      <c r="P26" s="89">
        <f>'[1]OMM_Unit Matrix'!P26</f>
        <v>0</v>
      </c>
      <c r="Q26" s="89">
        <f>'[1]OMM_Unit Matrix'!Q26</f>
        <v>0</v>
      </c>
      <c r="R26" s="89">
        <f>'[1]OMM_Unit Matrix'!R26</f>
        <v>0</v>
      </c>
      <c r="S26" s="89">
        <f>'[1]OMM_Unit Matrix'!S26</f>
        <v>0</v>
      </c>
      <c r="T26" s="89">
        <f>'[1]OMM_Unit Matrix'!T26</f>
        <v>0</v>
      </c>
      <c r="U26" s="89">
        <f>'[1]OMM_Unit Matrix'!U26</f>
        <v>0</v>
      </c>
      <c r="V26" s="89">
        <f>'[1]OMM_Unit Matrix'!V26</f>
        <v>0</v>
      </c>
      <c r="W26" s="89">
        <f>'[1]OMM_Unit Matrix'!W26</f>
        <v>0</v>
      </c>
      <c r="X26" s="89">
        <f>'[1]OMM_Unit Matrix'!X26</f>
        <v>0</v>
      </c>
      <c r="Y26" s="89">
        <f>'[1]OMM_Unit Matrix'!Y26</f>
        <v>0</v>
      </c>
      <c r="Z26" s="89">
        <f>'[1]OMM_Unit Matrix'!Z26</f>
        <v>0</v>
      </c>
      <c r="AA26" s="89">
        <f>'[1]OMM_Unit Matrix'!AA26</f>
        <v>0</v>
      </c>
      <c r="AB26" s="89">
        <f>'[1]OMM_Unit Matrix'!AB26</f>
        <v>0</v>
      </c>
      <c r="AC26" s="89">
        <f>'[1]OMM_Unit Matrix'!AC26</f>
        <v>0</v>
      </c>
      <c r="AD26" s="89">
        <f>'[1]OMM_Unit Matrix'!AD26</f>
        <v>0</v>
      </c>
      <c r="AE26" s="89">
        <f>'[1]OMM_Unit Matrix'!AE26</f>
        <v>0</v>
      </c>
      <c r="AF26" s="89">
        <f>'[1]OMM_Unit Matrix'!AF26</f>
        <v>0</v>
      </c>
      <c r="AG26" s="89">
        <f>'[1]OMM_Unit Matrix'!AG26</f>
        <v>0</v>
      </c>
      <c r="AH26" s="89">
        <f>'[1]OMM_Unit Matrix'!AH26</f>
        <v>0</v>
      </c>
      <c r="AI26" s="89">
        <f>'[1]OMM_Unit Matrix'!AI26</f>
        <v>0</v>
      </c>
      <c r="AJ26" s="89">
        <f>'[1]OMM_Unit Matrix'!AJ26</f>
        <v>0</v>
      </c>
      <c r="AK26" s="89">
        <f>'[1]OMM_Unit Matrix'!AK26</f>
        <v>0</v>
      </c>
      <c r="AL26" s="89">
        <f>'[1]OMM_Unit Matrix'!AL26</f>
        <v>0</v>
      </c>
      <c r="AM26" s="89">
        <f>'[1]OMM_Unit Matrix'!AM26</f>
        <v>0</v>
      </c>
      <c r="AN26" s="89">
        <f>'[1]OMM_Unit Matrix'!AN26</f>
        <v>0</v>
      </c>
      <c r="AO26" s="89">
        <f>'[1]OMM_Unit Matrix'!AO26</f>
        <v>0</v>
      </c>
      <c r="AP26" s="89">
        <f>'[1]OMM_Unit Matrix'!AP26</f>
        <v>0</v>
      </c>
      <c r="AQ26" s="270">
        <f>'[1]OMM_Unit Matrix'!AQ26</f>
        <v>0</v>
      </c>
      <c r="AS26" s="244"/>
      <c r="AT26" s="244"/>
      <c r="AU26" s="244"/>
    </row>
    <row r="27" spans="2:47" ht="17.45" hidden="1">
      <c r="B27" s="89">
        <f>'[1]OMM_Unit Matrix'!B27</f>
        <v>2</v>
      </c>
      <c r="C27" s="275">
        <f>'[1]OMM_Unit Matrix'!C27</f>
        <v>17</v>
      </c>
      <c r="D27" s="89">
        <f>'[1]OMM_Unit Matrix'!D27</f>
        <v>2017</v>
      </c>
      <c r="E27" s="89">
        <f>'[1]OMM_Unit Matrix'!E27</f>
        <v>0</v>
      </c>
      <c r="F27" s="89">
        <f>'[1]OMM_Unit Matrix'!F27</f>
        <v>0</v>
      </c>
      <c r="G27" s="89" t="str">
        <f>'[1]OMM_Unit Matrix'!G27</f>
        <v>NOT IN SCOPE</v>
      </c>
      <c r="H27" s="89">
        <f>'[1]OMM_Unit Matrix'!H27</f>
        <v>0</v>
      </c>
      <c r="I27" s="89">
        <f>'[1]OMM_Unit Matrix'!I27</f>
        <v>0</v>
      </c>
      <c r="J27" s="89">
        <f>'[1]OMM_Unit Matrix'!J27</f>
        <v>0</v>
      </c>
      <c r="K27" s="89">
        <f>'[1]OMM_Unit Matrix'!K27</f>
        <v>0</v>
      </c>
      <c r="L27" s="89">
        <f>'[1]OMM_Unit Matrix'!L27</f>
        <v>0</v>
      </c>
      <c r="M27" s="89">
        <f>'[1]OMM_Unit Matrix'!M27</f>
        <v>0</v>
      </c>
      <c r="N27" s="89">
        <f>'[1]OMM_Unit Matrix'!N27</f>
        <v>0</v>
      </c>
      <c r="O27" s="89">
        <f>'[1]OMM_Unit Matrix'!O27</f>
        <v>0</v>
      </c>
      <c r="P27" s="89">
        <f>'[1]OMM_Unit Matrix'!P27</f>
        <v>0</v>
      </c>
      <c r="Q27" s="89">
        <f>'[1]OMM_Unit Matrix'!Q27</f>
        <v>0</v>
      </c>
      <c r="R27" s="89">
        <f>'[1]OMM_Unit Matrix'!R27</f>
        <v>0</v>
      </c>
      <c r="S27" s="89">
        <f>'[1]OMM_Unit Matrix'!S27</f>
        <v>0</v>
      </c>
      <c r="T27" s="89">
        <f>'[1]OMM_Unit Matrix'!T27</f>
        <v>0</v>
      </c>
      <c r="U27" s="89">
        <f>'[1]OMM_Unit Matrix'!U27</f>
        <v>0</v>
      </c>
      <c r="V27" s="89">
        <f>'[1]OMM_Unit Matrix'!V27</f>
        <v>0</v>
      </c>
      <c r="W27" s="89">
        <f>'[1]OMM_Unit Matrix'!W27</f>
        <v>0</v>
      </c>
      <c r="X27" s="89">
        <f>'[1]OMM_Unit Matrix'!X27</f>
        <v>0</v>
      </c>
      <c r="Y27" s="89">
        <f>'[1]OMM_Unit Matrix'!Y27</f>
        <v>0</v>
      </c>
      <c r="Z27" s="89">
        <f>'[1]OMM_Unit Matrix'!Z27</f>
        <v>0</v>
      </c>
      <c r="AA27" s="89">
        <f>'[1]OMM_Unit Matrix'!AA27</f>
        <v>0</v>
      </c>
      <c r="AB27" s="89">
        <f>'[1]OMM_Unit Matrix'!AB27</f>
        <v>0</v>
      </c>
      <c r="AC27" s="89">
        <f>'[1]OMM_Unit Matrix'!AC27</f>
        <v>0</v>
      </c>
      <c r="AD27" s="89">
        <f>'[1]OMM_Unit Matrix'!AD27</f>
        <v>0</v>
      </c>
      <c r="AE27" s="89">
        <f>'[1]OMM_Unit Matrix'!AE27</f>
        <v>0</v>
      </c>
      <c r="AF27" s="89">
        <f>'[1]OMM_Unit Matrix'!AF27</f>
        <v>0</v>
      </c>
      <c r="AG27" s="89">
        <f>'[1]OMM_Unit Matrix'!AG27</f>
        <v>0</v>
      </c>
      <c r="AH27" s="89">
        <f>'[1]OMM_Unit Matrix'!AH27</f>
        <v>0</v>
      </c>
      <c r="AI27" s="89">
        <f>'[1]OMM_Unit Matrix'!AI27</f>
        <v>0</v>
      </c>
      <c r="AJ27" s="89">
        <f>'[1]OMM_Unit Matrix'!AJ27</f>
        <v>0</v>
      </c>
      <c r="AK27" s="89">
        <f>'[1]OMM_Unit Matrix'!AK27</f>
        <v>0</v>
      </c>
      <c r="AL27" s="89">
        <f>'[1]OMM_Unit Matrix'!AL27</f>
        <v>0</v>
      </c>
      <c r="AM27" s="89">
        <f>'[1]OMM_Unit Matrix'!AM27</f>
        <v>0</v>
      </c>
      <c r="AN27" s="89">
        <f>'[1]OMM_Unit Matrix'!AN27</f>
        <v>0</v>
      </c>
      <c r="AO27" s="89">
        <f>'[1]OMM_Unit Matrix'!AO27</f>
        <v>0</v>
      </c>
      <c r="AP27" s="89">
        <f>'[1]OMM_Unit Matrix'!AP27</f>
        <v>0</v>
      </c>
      <c r="AQ27" s="270">
        <f>'[1]OMM_Unit Matrix'!AQ27</f>
        <v>0</v>
      </c>
      <c r="AS27" s="244"/>
      <c r="AT27" s="244"/>
      <c r="AU27" s="244"/>
    </row>
    <row r="28" spans="2:47" ht="17.45" hidden="1">
      <c r="B28" s="89">
        <f>'[1]OMM_Unit Matrix'!B28</f>
        <v>2</v>
      </c>
      <c r="C28" s="275">
        <f>'[1]OMM_Unit Matrix'!C28</f>
        <v>18</v>
      </c>
      <c r="D28" s="89">
        <f>'[1]OMM_Unit Matrix'!D28</f>
        <v>2018</v>
      </c>
      <c r="E28" s="89">
        <f>'[1]OMM_Unit Matrix'!E28</f>
        <v>0</v>
      </c>
      <c r="F28" s="89">
        <f>'[1]OMM_Unit Matrix'!F28</f>
        <v>0</v>
      </c>
      <c r="G28" s="89" t="str">
        <f>'[1]OMM_Unit Matrix'!G28</f>
        <v>NOT IN SCOPE</v>
      </c>
      <c r="H28" s="89">
        <f>'[1]OMM_Unit Matrix'!H28</f>
        <v>0</v>
      </c>
      <c r="I28" s="89">
        <f>'[1]OMM_Unit Matrix'!I28</f>
        <v>0</v>
      </c>
      <c r="J28" s="89">
        <f>'[1]OMM_Unit Matrix'!J28</f>
        <v>0</v>
      </c>
      <c r="K28" s="89">
        <f>'[1]OMM_Unit Matrix'!K28</f>
        <v>0</v>
      </c>
      <c r="L28" s="89">
        <f>'[1]OMM_Unit Matrix'!L28</f>
        <v>0</v>
      </c>
      <c r="M28" s="89">
        <f>'[1]OMM_Unit Matrix'!M28</f>
        <v>0</v>
      </c>
      <c r="N28" s="89">
        <f>'[1]OMM_Unit Matrix'!N28</f>
        <v>0</v>
      </c>
      <c r="O28" s="89">
        <f>'[1]OMM_Unit Matrix'!O28</f>
        <v>0</v>
      </c>
      <c r="P28" s="89">
        <f>'[1]OMM_Unit Matrix'!P28</f>
        <v>0</v>
      </c>
      <c r="Q28" s="89">
        <f>'[1]OMM_Unit Matrix'!Q28</f>
        <v>0</v>
      </c>
      <c r="R28" s="89">
        <f>'[1]OMM_Unit Matrix'!R28</f>
        <v>0</v>
      </c>
      <c r="S28" s="89">
        <f>'[1]OMM_Unit Matrix'!S28</f>
        <v>0</v>
      </c>
      <c r="T28" s="89">
        <f>'[1]OMM_Unit Matrix'!T28</f>
        <v>0</v>
      </c>
      <c r="U28" s="89">
        <f>'[1]OMM_Unit Matrix'!U28</f>
        <v>0</v>
      </c>
      <c r="V28" s="89">
        <f>'[1]OMM_Unit Matrix'!V28</f>
        <v>0</v>
      </c>
      <c r="W28" s="89">
        <f>'[1]OMM_Unit Matrix'!W28</f>
        <v>0</v>
      </c>
      <c r="X28" s="89">
        <f>'[1]OMM_Unit Matrix'!X28</f>
        <v>0</v>
      </c>
      <c r="Y28" s="89">
        <f>'[1]OMM_Unit Matrix'!Y28</f>
        <v>0</v>
      </c>
      <c r="Z28" s="89">
        <f>'[1]OMM_Unit Matrix'!Z28</f>
        <v>0</v>
      </c>
      <c r="AA28" s="89">
        <f>'[1]OMM_Unit Matrix'!AA28</f>
        <v>0</v>
      </c>
      <c r="AB28" s="89">
        <f>'[1]OMM_Unit Matrix'!AB28</f>
        <v>0</v>
      </c>
      <c r="AC28" s="89">
        <f>'[1]OMM_Unit Matrix'!AC28</f>
        <v>0</v>
      </c>
      <c r="AD28" s="89">
        <f>'[1]OMM_Unit Matrix'!AD28</f>
        <v>0</v>
      </c>
      <c r="AE28" s="89">
        <f>'[1]OMM_Unit Matrix'!AE28</f>
        <v>0</v>
      </c>
      <c r="AF28" s="89">
        <f>'[1]OMM_Unit Matrix'!AF28</f>
        <v>0</v>
      </c>
      <c r="AG28" s="89">
        <f>'[1]OMM_Unit Matrix'!AG28</f>
        <v>0</v>
      </c>
      <c r="AH28" s="89">
        <f>'[1]OMM_Unit Matrix'!AH28</f>
        <v>0</v>
      </c>
      <c r="AI28" s="89">
        <f>'[1]OMM_Unit Matrix'!AI28</f>
        <v>0</v>
      </c>
      <c r="AJ28" s="89">
        <f>'[1]OMM_Unit Matrix'!AJ28</f>
        <v>0</v>
      </c>
      <c r="AK28" s="89">
        <f>'[1]OMM_Unit Matrix'!AK28</f>
        <v>0</v>
      </c>
      <c r="AL28" s="89">
        <f>'[1]OMM_Unit Matrix'!AL28</f>
        <v>0</v>
      </c>
      <c r="AM28" s="89">
        <f>'[1]OMM_Unit Matrix'!AM28</f>
        <v>0</v>
      </c>
      <c r="AN28" s="89">
        <f>'[1]OMM_Unit Matrix'!AN28</f>
        <v>0</v>
      </c>
      <c r="AO28" s="89">
        <f>'[1]OMM_Unit Matrix'!AO28</f>
        <v>0</v>
      </c>
      <c r="AP28" s="89">
        <f>'[1]OMM_Unit Matrix'!AP28</f>
        <v>0</v>
      </c>
      <c r="AQ28" s="270">
        <f>'[1]OMM_Unit Matrix'!AQ28</f>
        <v>0</v>
      </c>
      <c r="AS28" s="244"/>
      <c r="AT28" s="244"/>
      <c r="AU28" s="244"/>
    </row>
    <row r="29" spans="2:47" ht="17.45" hidden="1">
      <c r="B29" s="89">
        <f>'[1]OMM_Unit Matrix'!B29</f>
        <v>2</v>
      </c>
      <c r="C29" s="275">
        <f>'[1]OMM_Unit Matrix'!C29</f>
        <v>19</v>
      </c>
      <c r="D29" s="89">
        <f>'[1]OMM_Unit Matrix'!D29</f>
        <v>2019</v>
      </c>
      <c r="E29" s="89">
        <f>'[1]OMM_Unit Matrix'!E29</f>
        <v>0</v>
      </c>
      <c r="F29" s="89">
        <f>'[1]OMM_Unit Matrix'!F29</f>
        <v>0</v>
      </c>
      <c r="G29" s="89" t="str">
        <f>'[1]OMM_Unit Matrix'!G29</f>
        <v>NOT IN SCOPE</v>
      </c>
      <c r="H29" s="89">
        <f>'[1]OMM_Unit Matrix'!H29</f>
        <v>0</v>
      </c>
      <c r="I29" s="89">
        <f>'[1]OMM_Unit Matrix'!I29</f>
        <v>0</v>
      </c>
      <c r="J29" s="89">
        <f>'[1]OMM_Unit Matrix'!J29</f>
        <v>0</v>
      </c>
      <c r="K29" s="89">
        <f>'[1]OMM_Unit Matrix'!K29</f>
        <v>0</v>
      </c>
      <c r="L29" s="89">
        <f>'[1]OMM_Unit Matrix'!L29</f>
        <v>0</v>
      </c>
      <c r="M29" s="89">
        <f>'[1]OMM_Unit Matrix'!M29</f>
        <v>0</v>
      </c>
      <c r="N29" s="89">
        <f>'[1]OMM_Unit Matrix'!N29</f>
        <v>0</v>
      </c>
      <c r="O29" s="89">
        <f>'[1]OMM_Unit Matrix'!O29</f>
        <v>0</v>
      </c>
      <c r="P29" s="89">
        <f>'[1]OMM_Unit Matrix'!P29</f>
        <v>0</v>
      </c>
      <c r="Q29" s="89">
        <f>'[1]OMM_Unit Matrix'!Q29</f>
        <v>0</v>
      </c>
      <c r="R29" s="89">
        <f>'[1]OMM_Unit Matrix'!R29</f>
        <v>0</v>
      </c>
      <c r="S29" s="89">
        <f>'[1]OMM_Unit Matrix'!S29</f>
        <v>0</v>
      </c>
      <c r="T29" s="89">
        <f>'[1]OMM_Unit Matrix'!T29</f>
        <v>0</v>
      </c>
      <c r="U29" s="89">
        <f>'[1]OMM_Unit Matrix'!U29</f>
        <v>0</v>
      </c>
      <c r="V29" s="89">
        <f>'[1]OMM_Unit Matrix'!V29</f>
        <v>0</v>
      </c>
      <c r="W29" s="89">
        <f>'[1]OMM_Unit Matrix'!W29</f>
        <v>0</v>
      </c>
      <c r="X29" s="89">
        <f>'[1]OMM_Unit Matrix'!X29</f>
        <v>0</v>
      </c>
      <c r="Y29" s="89">
        <f>'[1]OMM_Unit Matrix'!Y29</f>
        <v>0</v>
      </c>
      <c r="Z29" s="89">
        <f>'[1]OMM_Unit Matrix'!Z29</f>
        <v>0</v>
      </c>
      <c r="AA29" s="89">
        <f>'[1]OMM_Unit Matrix'!AA29</f>
        <v>0</v>
      </c>
      <c r="AB29" s="89">
        <f>'[1]OMM_Unit Matrix'!AB29</f>
        <v>0</v>
      </c>
      <c r="AC29" s="89">
        <f>'[1]OMM_Unit Matrix'!AC29</f>
        <v>0</v>
      </c>
      <c r="AD29" s="89">
        <f>'[1]OMM_Unit Matrix'!AD29</f>
        <v>0</v>
      </c>
      <c r="AE29" s="89">
        <f>'[1]OMM_Unit Matrix'!AE29</f>
        <v>0</v>
      </c>
      <c r="AF29" s="89">
        <f>'[1]OMM_Unit Matrix'!AF29</f>
        <v>0</v>
      </c>
      <c r="AG29" s="89">
        <f>'[1]OMM_Unit Matrix'!AG29</f>
        <v>0</v>
      </c>
      <c r="AH29" s="89">
        <f>'[1]OMM_Unit Matrix'!AH29</f>
        <v>0</v>
      </c>
      <c r="AI29" s="89">
        <f>'[1]OMM_Unit Matrix'!AI29</f>
        <v>0</v>
      </c>
      <c r="AJ29" s="89">
        <f>'[1]OMM_Unit Matrix'!AJ29</f>
        <v>0</v>
      </c>
      <c r="AK29" s="89">
        <f>'[1]OMM_Unit Matrix'!AK29</f>
        <v>0</v>
      </c>
      <c r="AL29" s="89">
        <f>'[1]OMM_Unit Matrix'!AL29</f>
        <v>0</v>
      </c>
      <c r="AM29" s="89">
        <f>'[1]OMM_Unit Matrix'!AM29</f>
        <v>0</v>
      </c>
      <c r="AN29" s="89">
        <f>'[1]OMM_Unit Matrix'!AN29</f>
        <v>0</v>
      </c>
      <c r="AO29" s="89">
        <f>'[1]OMM_Unit Matrix'!AO29</f>
        <v>0</v>
      </c>
      <c r="AP29" s="89">
        <f>'[1]OMM_Unit Matrix'!AP29</f>
        <v>0</v>
      </c>
      <c r="AQ29" s="270">
        <f>'[1]OMM_Unit Matrix'!AQ29</f>
        <v>0</v>
      </c>
      <c r="AS29" s="244"/>
      <c r="AT29" s="244"/>
      <c r="AU29" s="244"/>
    </row>
    <row r="30" spans="2:47" ht="17.45" hidden="1">
      <c r="B30" s="89">
        <f>'[1]OMM_Unit Matrix'!B30</f>
        <v>2</v>
      </c>
      <c r="C30" s="275">
        <f>'[1]OMM_Unit Matrix'!C30</f>
        <v>20</v>
      </c>
      <c r="D30" s="89">
        <f>'[1]OMM_Unit Matrix'!D30</f>
        <v>2020</v>
      </c>
      <c r="E30" s="89">
        <f>'[1]OMM_Unit Matrix'!E30</f>
        <v>0</v>
      </c>
      <c r="F30" s="89">
        <f>'[1]OMM_Unit Matrix'!F30</f>
        <v>0</v>
      </c>
      <c r="G30" s="89" t="str">
        <f>'[1]OMM_Unit Matrix'!G30</f>
        <v>NOT IN SCOPE</v>
      </c>
      <c r="H30" s="89">
        <f>'[1]OMM_Unit Matrix'!H30</f>
        <v>0</v>
      </c>
      <c r="I30" s="89">
        <f>'[1]OMM_Unit Matrix'!I30</f>
        <v>0</v>
      </c>
      <c r="J30" s="89">
        <f>'[1]OMM_Unit Matrix'!J30</f>
        <v>0</v>
      </c>
      <c r="K30" s="89">
        <f>'[1]OMM_Unit Matrix'!K30</f>
        <v>0</v>
      </c>
      <c r="L30" s="89">
        <f>'[1]OMM_Unit Matrix'!L30</f>
        <v>0</v>
      </c>
      <c r="M30" s="89">
        <f>'[1]OMM_Unit Matrix'!M30</f>
        <v>0</v>
      </c>
      <c r="N30" s="89">
        <f>'[1]OMM_Unit Matrix'!N30</f>
        <v>0</v>
      </c>
      <c r="O30" s="89">
        <f>'[1]OMM_Unit Matrix'!O30</f>
        <v>0</v>
      </c>
      <c r="P30" s="89">
        <f>'[1]OMM_Unit Matrix'!P30</f>
        <v>0</v>
      </c>
      <c r="Q30" s="89">
        <f>'[1]OMM_Unit Matrix'!Q30</f>
        <v>0</v>
      </c>
      <c r="R30" s="89">
        <f>'[1]OMM_Unit Matrix'!R30</f>
        <v>0</v>
      </c>
      <c r="S30" s="89">
        <f>'[1]OMM_Unit Matrix'!S30</f>
        <v>0</v>
      </c>
      <c r="T30" s="89">
        <f>'[1]OMM_Unit Matrix'!T30</f>
        <v>0</v>
      </c>
      <c r="U30" s="89">
        <f>'[1]OMM_Unit Matrix'!U30</f>
        <v>0</v>
      </c>
      <c r="V30" s="89">
        <f>'[1]OMM_Unit Matrix'!V30</f>
        <v>0</v>
      </c>
      <c r="W30" s="89">
        <f>'[1]OMM_Unit Matrix'!W30</f>
        <v>0</v>
      </c>
      <c r="X30" s="89">
        <f>'[1]OMM_Unit Matrix'!X30</f>
        <v>0</v>
      </c>
      <c r="Y30" s="89">
        <f>'[1]OMM_Unit Matrix'!Y30</f>
        <v>0</v>
      </c>
      <c r="Z30" s="89">
        <f>'[1]OMM_Unit Matrix'!Z30</f>
        <v>0</v>
      </c>
      <c r="AA30" s="89">
        <f>'[1]OMM_Unit Matrix'!AA30</f>
        <v>0</v>
      </c>
      <c r="AB30" s="89">
        <f>'[1]OMM_Unit Matrix'!AB30</f>
        <v>0</v>
      </c>
      <c r="AC30" s="89">
        <f>'[1]OMM_Unit Matrix'!AC30</f>
        <v>0</v>
      </c>
      <c r="AD30" s="89">
        <f>'[1]OMM_Unit Matrix'!AD30</f>
        <v>0</v>
      </c>
      <c r="AE30" s="89">
        <f>'[1]OMM_Unit Matrix'!AE30</f>
        <v>0</v>
      </c>
      <c r="AF30" s="89">
        <f>'[1]OMM_Unit Matrix'!AF30</f>
        <v>0</v>
      </c>
      <c r="AG30" s="89">
        <f>'[1]OMM_Unit Matrix'!AG30</f>
        <v>0</v>
      </c>
      <c r="AH30" s="89">
        <f>'[1]OMM_Unit Matrix'!AH30</f>
        <v>0</v>
      </c>
      <c r="AI30" s="89">
        <f>'[1]OMM_Unit Matrix'!AI30</f>
        <v>0</v>
      </c>
      <c r="AJ30" s="89">
        <f>'[1]OMM_Unit Matrix'!AJ30</f>
        <v>0</v>
      </c>
      <c r="AK30" s="89">
        <f>'[1]OMM_Unit Matrix'!AK30</f>
        <v>0</v>
      </c>
      <c r="AL30" s="89">
        <f>'[1]OMM_Unit Matrix'!AL30</f>
        <v>0</v>
      </c>
      <c r="AM30" s="89">
        <f>'[1]OMM_Unit Matrix'!AM30</f>
        <v>0</v>
      </c>
      <c r="AN30" s="89">
        <f>'[1]OMM_Unit Matrix'!AN30</f>
        <v>0</v>
      </c>
      <c r="AO30" s="89">
        <f>'[1]OMM_Unit Matrix'!AO30</f>
        <v>0</v>
      </c>
      <c r="AP30" s="89">
        <f>'[1]OMM_Unit Matrix'!AP30</f>
        <v>0</v>
      </c>
      <c r="AQ30" s="270">
        <f>'[1]OMM_Unit Matrix'!AQ30</f>
        <v>0</v>
      </c>
      <c r="AS30" s="244"/>
      <c r="AT30" s="244"/>
      <c r="AU30" s="244"/>
    </row>
    <row r="31" spans="2:47" ht="17.45" hidden="1">
      <c r="B31" s="89">
        <f>'[1]OMM_Unit Matrix'!B31</f>
        <v>2</v>
      </c>
      <c r="C31" s="275">
        <f>'[1]OMM_Unit Matrix'!C31</f>
        <v>21</v>
      </c>
      <c r="D31" s="89">
        <f>'[1]OMM_Unit Matrix'!D31</f>
        <v>2021</v>
      </c>
      <c r="E31" s="89">
        <f>'[1]OMM_Unit Matrix'!E31</f>
        <v>0</v>
      </c>
      <c r="F31" s="89">
        <f>'[1]OMM_Unit Matrix'!F31</f>
        <v>0</v>
      </c>
      <c r="G31" s="89" t="str">
        <f>'[1]OMM_Unit Matrix'!G31</f>
        <v>NOT IN SCOPE</v>
      </c>
      <c r="H31" s="89">
        <f>'[1]OMM_Unit Matrix'!H31</f>
        <v>0</v>
      </c>
      <c r="I31" s="89">
        <f>'[1]OMM_Unit Matrix'!I31</f>
        <v>0</v>
      </c>
      <c r="J31" s="89">
        <f>'[1]OMM_Unit Matrix'!J31</f>
        <v>0</v>
      </c>
      <c r="K31" s="89">
        <f>'[1]OMM_Unit Matrix'!K31</f>
        <v>0</v>
      </c>
      <c r="L31" s="89">
        <f>'[1]OMM_Unit Matrix'!L31</f>
        <v>0</v>
      </c>
      <c r="M31" s="89">
        <f>'[1]OMM_Unit Matrix'!M31</f>
        <v>0</v>
      </c>
      <c r="N31" s="89">
        <f>'[1]OMM_Unit Matrix'!N31</f>
        <v>0</v>
      </c>
      <c r="O31" s="89">
        <f>'[1]OMM_Unit Matrix'!O31</f>
        <v>0</v>
      </c>
      <c r="P31" s="89">
        <f>'[1]OMM_Unit Matrix'!P31</f>
        <v>0</v>
      </c>
      <c r="Q31" s="89">
        <f>'[1]OMM_Unit Matrix'!Q31</f>
        <v>0</v>
      </c>
      <c r="R31" s="89">
        <f>'[1]OMM_Unit Matrix'!R31</f>
        <v>0</v>
      </c>
      <c r="S31" s="89">
        <f>'[1]OMM_Unit Matrix'!S31</f>
        <v>0</v>
      </c>
      <c r="T31" s="89">
        <f>'[1]OMM_Unit Matrix'!T31</f>
        <v>0</v>
      </c>
      <c r="U31" s="89">
        <f>'[1]OMM_Unit Matrix'!U31</f>
        <v>0</v>
      </c>
      <c r="V31" s="89">
        <f>'[1]OMM_Unit Matrix'!V31</f>
        <v>0</v>
      </c>
      <c r="W31" s="89">
        <f>'[1]OMM_Unit Matrix'!W31</f>
        <v>0</v>
      </c>
      <c r="X31" s="89">
        <f>'[1]OMM_Unit Matrix'!X31</f>
        <v>0</v>
      </c>
      <c r="Y31" s="89">
        <f>'[1]OMM_Unit Matrix'!Y31</f>
        <v>0</v>
      </c>
      <c r="Z31" s="89">
        <f>'[1]OMM_Unit Matrix'!Z31</f>
        <v>0</v>
      </c>
      <c r="AA31" s="89">
        <f>'[1]OMM_Unit Matrix'!AA31</f>
        <v>0</v>
      </c>
      <c r="AB31" s="89">
        <f>'[1]OMM_Unit Matrix'!AB31</f>
        <v>0</v>
      </c>
      <c r="AC31" s="89">
        <f>'[1]OMM_Unit Matrix'!AC31</f>
        <v>0</v>
      </c>
      <c r="AD31" s="89">
        <f>'[1]OMM_Unit Matrix'!AD31</f>
        <v>0</v>
      </c>
      <c r="AE31" s="89">
        <f>'[1]OMM_Unit Matrix'!AE31</f>
        <v>0</v>
      </c>
      <c r="AF31" s="89">
        <f>'[1]OMM_Unit Matrix'!AF31</f>
        <v>0</v>
      </c>
      <c r="AG31" s="89">
        <f>'[1]OMM_Unit Matrix'!AG31</f>
        <v>0</v>
      </c>
      <c r="AH31" s="89">
        <f>'[1]OMM_Unit Matrix'!AH31</f>
        <v>0</v>
      </c>
      <c r="AI31" s="89">
        <f>'[1]OMM_Unit Matrix'!AI31</f>
        <v>0</v>
      </c>
      <c r="AJ31" s="89">
        <f>'[1]OMM_Unit Matrix'!AJ31</f>
        <v>0</v>
      </c>
      <c r="AK31" s="89">
        <f>'[1]OMM_Unit Matrix'!AK31</f>
        <v>0</v>
      </c>
      <c r="AL31" s="89">
        <f>'[1]OMM_Unit Matrix'!AL31</f>
        <v>0</v>
      </c>
      <c r="AM31" s="89">
        <f>'[1]OMM_Unit Matrix'!AM31</f>
        <v>0</v>
      </c>
      <c r="AN31" s="89">
        <f>'[1]OMM_Unit Matrix'!AN31</f>
        <v>0</v>
      </c>
      <c r="AO31" s="89">
        <f>'[1]OMM_Unit Matrix'!AO31</f>
        <v>0</v>
      </c>
      <c r="AP31" s="89">
        <f>'[1]OMM_Unit Matrix'!AP31</f>
        <v>0</v>
      </c>
      <c r="AQ31" s="270">
        <f>'[1]OMM_Unit Matrix'!AQ31</f>
        <v>0</v>
      </c>
      <c r="AS31" s="244"/>
      <c r="AT31" s="244"/>
      <c r="AU31" s="244"/>
    </row>
    <row r="32" spans="2:47" ht="17.45" hidden="1">
      <c r="B32" s="89">
        <f>'[1]OMM_Unit Matrix'!B32</f>
        <v>2</v>
      </c>
      <c r="C32" s="275">
        <f>'[1]OMM_Unit Matrix'!C32</f>
        <v>22</v>
      </c>
      <c r="D32" s="89">
        <f>'[1]OMM_Unit Matrix'!D32</f>
        <v>2022</v>
      </c>
      <c r="E32" s="89">
        <f>'[1]OMM_Unit Matrix'!E32</f>
        <v>0</v>
      </c>
      <c r="F32" s="89">
        <f>'[1]OMM_Unit Matrix'!F32</f>
        <v>0</v>
      </c>
      <c r="G32" s="89" t="str">
        <f>'[1]OMM_Unit Matrix'!G32</f>
        <v>NOT IN SCOPE</v>
      </c>
      <c r="H32" s="89">
        <f>'[1]OMM_Unit Matrix'!H32</f>
        <v>0</v>
      </c>
      <c r="I32" s="89">
        <f>'[1]OMM_Unit Matrix'!I32</f>
        <v>0</v>
      </c>
      <c r="J32" s="89">
        <f>'[1]OMM_Unit Matrix'!J32</f>
        <v>0</v>
      </c>
      <c r="K32" s="89">
        <f>'[1]OMM_Unit Matrix'!K32</f>
        <v>0</v>
      </c>
      <c r="L32" s="89">
        <f>'[1]OMM_Unit Matrix'!L32</f>
        <v>0</v>
      </c>
      <c r="M32" s="89">
        <f>'[1]OMM_Unit Matrix'!M32</f>
        <v>0</v>
      </c>
      <c r="N32" s="89">
        <f>'[1]OMM_Unit Matrix'!N32</f>
        <v>0</v>
      </c>
      <c r="O32" s="89">
        <f>'[1]OMM_Unit Matrix'!O32</f>
        <v>0</v>
      </c>
      <c r="P32" s="89">
        <f>'[1]OMM_Unit Matrix'!P32</f>
        <v>0</v>
      </c>
      <c r="Q32" s="89">
        <f>'[1]OMM_Unit Matrix'!Q32</f>
        <v>0</v>
      </c>
      <c r="R32" s="89">
        <f>'[1]OMM_Unit Matrix'!R32</f>
        <v>0</v>
      </c>
      <c r="S32" s="89">
        <f>'[1]OMM_Unit Matrix'!S32</f>
        <v>0</v>
      </c>
      <c r="T32" s="89">
        <f>'[1]OMM_Unit Matrix'!T32</f>
        <v>0</v>
      </c>
      <c r="U32" s="89">
        <f>'[1]OMM_Unit Matrix'!U32</f>
        <v>0</v>
      </c>
      <c r="V32" s="89">
        <f>'[1]OMM_Unit Matrix'!V32</f>
        <v>0</v>
      </c>
      <c r="W32" s="89">
        <f>'[1]OMM_Unit Matrix'!W32</f>
        <v>0</v>
      </c>
      <c r="X32" s="89">
        <f>'[1]OMM_Unit Matrix'!X32</f>
        <v>0</v>
      </c>
      <c r="Y32" s="89">
        <f>'[1]OMM_Unit Matrix'!Y32</f>
        <v>0</v>
      </c>
      <c r="Z32" s="89">
        <f>'[1]OMM_Unit Matrix'!Z32</f>
        <v>0</v>
      </c>
      <c r="AA32" s="89">
        <f>'[1]OMM_Unit Matrix'!AA32</f>
        <v>0</v>
      </c>
      <c r="AB32" s="89">
        <f>'[1]OMM_Unit Matrix'!AB32</f>
        <v>0</v>
      </c>
      <c r="AC32" s="89">
        <f>'[1]OMM_Unit Matrix'!AC32</f>
        <v>0</v>
      </c>
      <c r="AD32" s="89">
        <f>'[1]OMM_Unit Matrix'!AD32</f>
        <v>0</v>
      </c>
      <c r="AE32" s="89">
        <f>'[1]OMM_Unit Matrix'!AE32</f>
        <v>0</v>
      </c>
      <c r="AF32" s="89">
        <f>'[1]OMM_Unit Matrix'!AF32</f>
        <v>0</v>
      </c>
      <c r="AG32" s="89">
        <f>'[1]OMM_Unit Matrix'!AG32</f>
        <v>0</v>
      </c>
      <c r="AH32" s="89">
        <f>'[1]OMM_Unit Matrix'!AH32</f>
        <v>0</v>
      </c>
      <c r="AI32" s="89">
        <f>'[1]OMM_Unit Matrix'!AI32</f>
        <v>0</v>
      </c>
      <c r="AJ32" s="89">
        <f>'[1]OMM_Unit Matrix'!AJ32</f>
        <v>0</v>
      </c>
      <c r="AK32" s="89">
        <f>'[1]OMM_Unit Matrix'!AK32</f>
        <v>0</v>
      </c>
      <c r="AL32" s="89">
        <f>'[1]OMM_Unit Matrix'!AL32</f>
        <v>0</v>
      </c>
      <c r="AM32" s="89">
        <f>'[1]OMM_Unit Matrix'!AM32</f>
        <v>0</v>
      </c>
      <c r="AN32" s="89">
        <f>'[1]OMM_Unit Matrix'!AN32</f>
        <v>0</v>
      </c>
      <c r="AO32" s="89">
        <f>'[1]OMM_Unit Matrix'!AO32</f>
        <v>0</v>
      </c>
      <c r="AP32" s="89">
        <f>'[1]OMM_Unit Matrix'!AP32</f>
        <v>0</v>
      </c>
      <c r="AQ32" s="270">
        <f>'[1]OMM_Unit Matrix'!AQ32</f>
        <v>0</v>
      </c>
      <c r="AS32" s="244"/>
      <c r="AT32" s="244"/>
      <c r="AU32" s="244"/>
    </row>
    <row r="33" spans="2:47" ht="17.45">
      <c r="B33" s="89">
        <f>'[1]OMM_Unit Matrix'!B33</f>
        <v>2</v>
      </c>
      <c r="C33" s="275">
        <f>'[1]OMM_Unit Matrix'!C33</f>
        <v>23</v>
      </c>
      <c r="D33" s="89">
        <f>'[1]OMM_Unit Matrix'!D33</f>
        <v>2023</v>
      </c>
      <c r="E33" s="89" t="str">
        <f>'[1]OMM_Unit Matrix'!E33</f>
        <v>NO</v>
      </c>
      <c r="F33" s="132" t="str">
        <f>'[1]OMM_Unit Matrix'!F33</f>
        <v>2B-07</v>
      </c>
      <c r="G33" s="89" t="str">
        <f>'[1]OMM_Unit Matrix'!G33</f>
        <v>ORDERED</v>
      </c>
      <c r="H33" s="89" t="str">
        <f>'[1]OMM_Unit Matrix'!H33</f>
        <v>YES</v>
      </c>
      <c r="I33" s="201">
        <f>'[1]OMM_Unit Matrix'!I33</f>
        <v>1</v>
      </c>
      <c r="J33" s="89" t="str">
        <f>'[1]OMM_Unit Matrix'!J33</f>
        <v>NO</v>
      </c>
      <c r="K33" s="89">
        <f>'[1]OMM_Unit Matrix'!K33</f>
        <v>0</v>
      </c>
      <c r="L33" s="89" t="str">
        <f>'[1]OMM_Unit Matrix'!L33</f>
        <v>YES</v>
      </c>
      <c r="M33" s="201">
        <f>'[1]OMM_Unit Matrix'!M33</f>
        <v>1</v>
      </c>
      <c r="N33" s="89" t="str">
        <f>'[1]OMM_Unit Matrix'!N33</f>
        <v>YES</v>
      </c>
      <c r="O33" s="201">
        <f>'[1]OMM_Unit Matrix'!O33</f>
        <v>1</v>
      </c>
      <c r="P33" s="89" t="str">
        <f>'[1]OMM_Unit Matrix'!P33</f>
        <v>NO</v>
      </c>
      <c r="Q33" s="89">
        <f>'[1]OMM_Unit Matrix'!Q33</f>
        <v>0</v>
      </c>
      <c r="R33" s="89" t="str">
        <f>'[1]OMM_Unit Matrix'!R33</f>
        <v>NO</v>
      </c>
      <c r="S33" s="89">
        <f>'[1]OMM_Unit Matrix'!S33</f>
        <v>0</v>
      </c>
      <c r="T33" s="89" t="str">
        <f>'[1]OMM_Unit Matrix'!T33</f>
        <v>NO</v>
      </c>
      <c r="U33" s="89">
        <f>'[1]OMM_Unit Matrix'!U33</f>
        <v>0</v>
      </c>
      <c r="V33" s="89" t="str">
        <f>'[1]OMM_Unit Matrix'!V33</f>
        <v>YES</v>
      </c>
      <c r="W33" s="201">
        <f>'[1]OMM_Unit Matrix'!W33</f>
        <v>1</v>
      </c>
      <c r="X33" s="89" t="str">
        <f>'[1]OMM_Unit Matrix'!X33</f>
        <v>NO</v>
      </c>
      <c r="Y33" s="89">
        <f>'[1]OMM_Unit Matrix'!Y33</f>
        <v>0</v>
      </c>
      <c r="Z33" s="89" t="str">
        <f>'[1]OMM_Unit Matrix'!Z33</f>
        <v>NO</v>
      </c>
      <c r="AA33" s="89">
        <f>'[1]OMM_Unit Matrix'!AA33</f>
        <v>0</v>
      </c>
      <c r="AB33" s="89" t="str">
        <f>'[1]OMM_Unit Matrix'!AB33</f>
        <v>YES</v>
      </c>
      <c r="AC33" s="201">
        <f>'[1]OMM_Unit Matrix'!AC33</f>
        <v>1</v>
      </c>
      <c r="AD33" s="89" t="str">
        <f>'[1]OMM_Unit Matrix'!AD33</f>
        <v>YES</v>
      </c>
      <c r="AE33" s="201">
        <f>'[1]OMM_Unit Matrix'!AE33</f>
        <v>1</v>
      </c>
      <c r="AF33" s="89" t="str">
        <f>'[1]OMM_Unit Matrix'!AF33</f>
        <v>NO</v>
      </c>
      <c r="AG33" s="89">
        <f>'[1]OMM_Unit Matrix'!AG33</f>
        <v>0</v>
      </c>
      <c r="AH33" s="89" t="str">
        <f>'[1]OMM_Unit Matrix'!AH33</f>
        <v>NO</v>
      </c>
      <c r="AI33" s="89">
        <f>'[1]OMM_Unit Matrix'!AI33</f>
        <v>0</v>
      </c>
      <c r="AJ33" s="89" t="str">
        <f>'[1]OMM_Unit Matrix'!AJ33</f>
        <v>NO</v>
      </c>
      <c r="AK33" s="89">
        <f>'[1]OMM_Unit Matrix'!AK33</f>
        <v>0</v>
      </c>
      <c r="AL33" s="89" t="str">
        <f>'[1]OMM_Unit Matrix'!AL33</f>
        <v>YES</v>
      </c>
      <c r="AM33" s="201">
        <f>'[1]OMM_Unit Matrix'!AM33</f>
        <v>1</v>
      </c>
      <c r="AN33" s="89" t="str">
        <f>'[1]OMM_Unit Matrix'!AN33</f>
        <v>NO</v>
      </c>
      <c r="AO33" s="89">
        <f>'[1]OMM_Unit Matrix'!AO33</f>
        <v>0</v>
      </c>
      <c r="AP33" s="89" t="str">
        <f>'[1]OMM_Unit Matrix'!AP33</f>
        <v>NO</v>
      </c>
      <c r="AQ33" s="270">
        <f>'[1]OMM_Unit Matrix'!AQ33</f>
        <v>0</v>
      </c>
      <c r="AS33" s="244"/>
      <c r="AT33" s="244"/>
      <c r="AU33" s="244"/>
    </row>
    <row r="34" spans="2:47" ht="17.45" hidden="1">
      <c r="B34" s="89">
        <f>'[1]OMM_Unit Matrix'!B34</f>
        <v>2</v>
      </c>
      <c r="C34" s="275">
        <f>'[1]OMM_Unit Matrix'!C34</f>
        <v>24</v>
      </c>
      <c r="D34" s="89">
        <f>'[1]OMM_Unit Matrix'!D34</f>
        <v>2024</v>
      </c>
      <c r="E34" s="89">
        <f>'[1]OMM_Unit Matrix'!E34</f>
        <v>0</v>
      </c>
      <c r="F34" s="89">
        <f>'[1]OMM_Unit Matrix'!F34</f>
        <v>0</v>
      </c>
      <c r="G34" s="89" t="str">
        <f>'[1]OMM_Unit Matrix'!G34</f>
        <v>NOT IN SCOPE</v>
      </c>
      <c r="H34" s="89">
        <f>'[1]OMM_Unit Matrix'!H34</f>
        <v>0</v>
      </c>
      <c r="I34" s="89">
        <f>'[1]OMM_Unit Matrix'!I34</f>
        <v>0</v>
      </c>
      <c r="J34" s="89">
        <f>'[1]OMM_Unit Matrix'!J34</f>
        <v>0</v>
      </c>
      <c r="K34" s="89">
        <f>'[1]OMM_Unit Matrix'!K34</f>
        <v>0</v>
      </c>
      <c r="L34" s="89">
        <f>'[1]OMM_Unit Matrix'!L34</f>
        <v>0</v>
      </c>
      <c r="M34" s="89">
        <f>'[1]OMM_Unit Matrix'!M34</f>
        <v>0</v>
      </c>
      <c r="N34" s="89">
        <f>'[1]OMM_Unit Matrix'!N34</f>
        <v>0</v>
      </c>
      <c r="O34" s="89">
        <f>'[1]OMM_Unit Matrix'!O34</f>
        <v>0</v>
      </c>
      <c r="P34" s="89">
        <f>'[1]OMM_Unit Matrix'!P34</f>
        <v>0</v>
      </c>
      <c r="Q34" s="89">
        <f>'[1]OMM_Unit Matrix'!Q34</f>
        <v>0</v>
      </c>
      <c r="R34" s="89">
        <f>'[1]OMM_Unit Matrix'!R34</f>
        <v>0</v>
      </c>
      <c r="S34" s="89">
        <f>'[1]OMM_Unit Matrix'!S34</f>
        <v>0</v>
      </c>
      <c r="T34" s="89">
        <f>'[1]OMM_Unit Matrix'!T34</f>
        <v>0</v>
      </c>
      <c r="U34" s="89">
        <f>'[1]OMM_Unit Matrix'!U34</f>
        <v>0</v>
      </c>
      <c r="V34" s="89">
        <f>'[1]OMM_Unit Matrix'!V34</f>
        <v>0</v>
      </c>
      <c r="W34" s="89">
        <f>'[1]OMM_Unit Matrix'!W34</f>
        <v>0</v>
      </c>
      <c r="X34" s="89">
        <f>'[1]OMM_Unit Matrix'!X34</f>
        <v>0</v>
      </c>
      <c r="Y34" s="89">
        <f>'[1]OMM_Unit Matrix'!Y34</f>
        <v>0</v>
      </c>
      <c r="Z34" s="89">
        <f>'[1]OMM_Unit Matrix'!Z34</f>
        <v>0</v>
      </c>
      <c r="AA34" s="89">
        <f>'[1]OMM_Unit Matrix'!AA34</f>
        <v>0</v>
      </c>
      <c r="AB34" s="89">
        <f>'[1]OMM_Unit Matrix'!AB34</f>
        <v>0</v>
      </c>
      <c r="AC34" s="89">
        <f>'[1]OMM_Unit Matrix'!AC34</f>
        <v>0</v>
      </c>
      <c r="AD34" s="89">
        <f>'[1]OMM_Unit Matrix'!AD34</f>
        <v>0</v>
      </c>
      <c r="AE34" s="89">
        <f>'[1]OMM_Unit Matrix'!AE34</f>
        <v>0</v>
      </c>
      <c r="AF34" s="89">
        <f>'[1]OMM_Unit Matrix'!AF34</f>
        <v>0</v>
      </c>
      <c r="AG34" s="89">
        <f>'[1]OMM_Unit Matrix'!AG34</f>
        <v>0</v>
      </c>
      <c r="AH34" s="89">
        <f>'[1]OMM_Unit Matrix'!AH34</f>
        <v>0</v>
      </c>
      <c r="AI34" s="89">
        <f>'[1]OMM_Unit Matrix'!AI34</f>
        <v>0</v>
      </c>
      <c r="AJ34" s="89">
        <f>'[1]OMM_Unit Matrix'!AJ34</f>
        <v>0</v>
      </c>
      <c r="AK34" s="89">
        <f>'[1]OMM_Unit Matrix'!AK34</f>
        <v>0</v>
      </c>
      <c r="AL34" s="89">
        <f>'[1]OMM_Unit Matrix'!AL34</f>
        <v>0</v>
      </c>
      <c r="AM34" s="89">
        <f>'[1]OMM_Unit Matrix'!AM34</f>
        <v>0</v>
      </c>
      <c r="AN34" s="89">
        <f>'[1]OMM_Unit Matrix'!AN34</f>
        <v>0</v>
      </c>
      <c r="AO34" s="89">
        <f>'[1]OMM_Unit Matrix'!AO34</f>
        <v>0</v>
      </c>
      <c r="AP34" s="89">
        <f>'[1]OMM_Unit Matrix'!AP34</f>
        <v>0</v>
      </c>
      <c r="AQ34" s="270">
        <f>'[1]OMM_Unit Matrix'!AQ34</f>
        <v>0</v>
      </c>
      <c r="AS34" s="244"/>
      <c r="AT34" s="244"/>
      <c r="AU34" s="244"/>
    </row>
    <row r="35" spans="2:47" ht="17.45" hidden="1">
      <c r="B35" s="89">
        <f>'[1]OMM_Unit Matrix'!B35</f>
        <v>2</v>
      </c>
      <c r="C35" s="275">
        <f>'[1]OMM_Unit Matrix'!C35</f>
        <v>25</v>
      </c>
      <c r="D35" s="89">
        <f>'[1]OMM_Unit Matrix'!D35</f>
        <v>2025</v>
      </c>
      <c r="E35" s="89">
        <f>'[1]OMM_Unit Matrix'!E35</f>
        <v>0</v>
      </c>
      <c r="F35" s="89">
        <f>'[1]OMM_Unit Matrix'!F35</f>
        <v>0</v>
      </c>
      <c r="G35" s="89" t="str">
        <f>'[1]OMM_Unit Matrix'!G35</f>
        <v>NOT IN SCOPE</v>
      </c>
      <c r="H35" s="89">
        <f>'[1]OMM_Unit Matrix'!H35</f>
        <v>0</v>
      </c>
      <c r="I35" s="89">
        <f>'[1]OMM_Unit Matrix'!I35</f>
        <v>0</v>
      </c>
      <c r="J35" s="89">
        <f>'[1]OMM_Unit Matrix'!J35</f>
        <v>0</v>
      </c>
      <c r="K35" s="89">
        <f>'[1]OMM_Unit Matrix'!K35</f>
        <v>0</v>
      </c>
      <c r="L35" s="89">
        <f>'[1]OMM_Unit Matrix'!L35</f>
        <v>0</v>
      </c>
      <c r="M35" s="89">
        <f>'[1]OMM_Unit Matrix'!M35</f>
        <v>0</v>
      </c>
      <c r="N35" s="89">
        <f>'[1]OMM_Unit Matrix'!N35</f>
        <v>0</v>
      </c>
      <c r="O35" s="89">
        <f>'[1]OMM_Unit Matrix'!O35</f>
        <v>0</v>
      </c>
      <c r="P35" s="89">
        <f>'[1]OMM_Unit Matrix'!P35</f>
        <v>0</v>
      </c>
      <c r="Q35" s="89">
        <f>'[1]OMM_Unit Matrix'!Q35</f>
        <v>0</v>
      </c>
      <c r="R35" s="89">
        <f>'[1]OMM_Unit Matrix'!R35</f>
        <v>0</v>
      </c>
      <c r="S35" s="89">
        <f>'[1]OMM_Unit Matrix'!S35</f>
        <v>0</v>
      </c>
      <c r="T35" s="89">
        <f>'[1]OMM_Unit Matrix'!T35</f>
        <v>0</v>
      </c>
      <c r="U35" s="89">
        <f>'[1]OMM_Unit Matrix'!U35</f>
        <v>0</v>
      </c>
      <c r="V35" s="89">
        <f>'[1]OMM_Unit Matrix'!V35</f>
        <v>0</v>
      </c>
      <c r="W35" s="89">
        <f>'[1]OMM_Unit Matrix'!W35</f>
        <v>0</v>
      </c>
      <c r="X35" s="89">
        <f>'[1]OMM_Unit Matrix'!X35</f>
        <v>0</v>
      </c>
      <c r="Y35" s="89">
        <f>'[1]OMM_Unit Matrix'!Y35</f>
        <v>0</v>
      </c>
      <c r="Z35" s="89">
        <f>'[1]OMM_Unit Matrix'!Z35</f>
        <v>0</v>
      </c>
      <c r="AA35" s="89">
        <f>'[1]OMM_Unit Matrix'!AA35</f>
        <v>0</v>
      </c>
      <c r="AB35" s="89">
        <f>'[1]OMM_Unit Matrix'!AB35</f>
        <v>0</v>
      </c>
      <c r="AC35" s="89">
        <f>'[1]OMM_Unit Matrix'!AC35</f>
        <v>0</v>
      </c>
      <c r="AD35" s="89">
        <f>'[1]OMM_Unit Matrix'!AD35</f>
        <v>0</v>
      </c>
      <c r="AE35" s="89">
        <f>'[1]OMM_Unit Matrix'!AE35</f>
        <v>0</v>
      </c>
      <c r="AF35" s="89">
        <f>'[1]OMM_Unit Matrix'!AF35</f>
        <v>0</v>
      </c>
      <c r="AG35" s="89">
        <f>'[1]OMM_Unit Matrix'!AG35</f>
        <v>0</v>
      </c>
      <c r="AH35" s="89">
        <f>'[1]OMM_Unit Matrix'!AH35</f>
        <v>0</v>
      </c>
      <c r="AI35" s="89">
        <f>'[1]OMM_Unit Matrix'!AI35</f>
        <v>0</v>
      </c>
      <c r="AJ35" s="89">
        <f>'[1]OMM_Unit Matrix'!AJ35</f>
        <v>0</v>
      </c>
      <c r="AK35" s="89">
        <f>'[1]OMM_Unit Matrix'!AK35</f>
        <v>0</v>
      </c>
      <c r="AL35" s="89">
        <f>'[1]OMM_Unit Matrix'!AL35</f>
        <v>0</v>
      </c>
      <c r="AM35" s="89">
        <f>'[1]OMM_Unit Matrix'!AM35</f>
        <v>0</v>
      </c>
      <c r="AN35" s="89">
        <f>'[1]OMM_Unit Matrix'!AN35</f>
        <v>0</v>
      </c>
      <c r="AO35" s="89">
        <f>'[1]OMM_Unit Matrix'!AO35</f>
        <v>0</v>
      </c>
      <c r="AP35" s="89">
        <f>'[1]OMM_Unit Matrix'!AP35</f>
        <v>0</v>
      </c>
      <c r="AQ35" s="270">
        <f>'[1]OMM_Unit Matrix'!AQ35</f>
        <v>0</v>
      </c>
      <c r="AS35" s="244"/>
      <c r="AT35" s="244"/>
      <c r="AU35" s="244"/>
    </row>
    <row r="36" spans="2:47" ht="17.45" hidden="1">
      <c r="B36" s="89">
        <f>'[1]OMM_Unit Matrix'!B36</f>
        <v>2</v>
      </c>
      <c r="C36" s="275">
        <f>'[1]OMM_Unit Matrix'!C36</f>
        <v>26</v>
      </c>
      <c r="D36" s="89">
        <f>'[1]OMM_Unit Matrix'!D36</f>
        <v>2026</v>
      </c>
      <c r="E36" s="89">
        <f>'[1]OMM_Unit Matrix'!E36</f>
        <v>0</v>
      </c>
      <c r="F36" s="89">
        <f>'[1]OMM_Unit Matrix'!F36</f>
        <v>0</v>
      </c>
      <c r="G36" s="89" t="str">
        <f>'[1]OMM_Unit Matrix'!G36</f>
        <v>NOT IN SCOPE</v>
      </c>
      <c r="H36" s="89">
        <f>'[1]OMM_Unit Matrix'!H36</f>
        <v>0</v>
      </c>
      <c r="I36" s="89">
        <f>'[1]OMM_Unit Matrix'!I36</f>
        <v>0</v>
      </c>
      <c r="J36" s="89">
        <f>'[1]OMM_Unit Matrix'!J36</f>
        <v>0</v>
      </c>
      <c r="K36" s="89">
        <f>'[1]OMM_Unit Matrix'!K36</f>
        <v>0</v>
      </c>
      <c r="L36" s="89">
        <f>'[1]OMM_Unit Matrix'!L36</f>
        <v>0</v>
      </c>
      <c r="M36" s="89">
        <f>'[1]OMM_Unit Matrix'!M36</f>
        <v>0</v>
      </c>
      <c r="N36" s="89">
        <f>'[1]OMM_Unit Matrix'!N36</f>
        <v>0</v>
      </c>
      <c r="O36" s="89">
        <f>'[1]OMM_Unit Matrix'!O36</f>
        <v>0</v>
      </c>
      <c r="P36" s="89">
        <f>'[1]OMM_Unit Matrix'!P36</f>
        <v>0</v>
      </c>
      <c r="Q36" s="89">
        <f>'[1]OMM_Unit Matrix'!Q36</f>
        <v>0</v>
      </c>
      <c r="R36" s="89">
        <f>'[1]OMM_Unit Matrix'!R36</f>
        <v>0</v>
      </c>
      <c r="S36" s="89">
        <f>'[1]OMM_Unit Matrix'!S36</f>
        <v>0</v>
      </c>
      <c r="T36" s="89">
        <f>'[1]OMM_Unit Matrix'!T36</f>
        <v>0</v>
      </c>
      <c r="U36" s="89">
        <f>'[1]OMM_Unit Matrix'!U36</f>
        <v>0</v>
      </c>
      <c r="V36" s="89">
        <f>'[1]OMM_Unit Matrix'!V36</f>
        <v>0</v>
      </c>
      <c r="W36" s="89">
        <f>'[1]OMM_Unit Matrix'!W36</f>
        <v>0</v>
      </c>
      <c r="X36" s="89">
        <f>'[1]OMM_Unit Matrix'!X36</f>
        <v>0</v>
      </c>
      <c r="Y36" s="89">
        <f>'[1]OMM_Unit Matrix'!Y36</f>
        <v>0</v>
      </c>
      <c r="Z36" s="89">
        <f>'[1]OMM_Unit Matrix'!Z36</f>
        <v>0</v>
      </c>
      <c r="AA36" s="89">
        <f>'[1]OMM_Unit Matrix'!AA36</f>
        <v>0</v>
      </c>
      <c r="AB36" s="89">
        <f>'[1]OMM_Unit Matrix'!AB36</f>
        <v>0</v>
      </c>
      <c r="AC36" s="89">
        <f>'[1]OMM_Unit Matrix'!AC36</f>
        <v>0</v>
      </c>
      <c r="AD36" s="89">
        <f>'[1]OMM_Unit Matrix'!AD36</f>
        <v>0</v>
      </c>
      <c r="AE36" s="89">
        <f>'[1]OMM_Unit Matrix'!AE36</f>
        <v>0</v>
      </c>
      <c r="AF36" s="89">
        <f>'[1]OMM_Unit Matrix'!AF36</f>
        <v>0</v>
      </c>
      <c r="AG36" s="89">
        <f>'[1]OMM_Unit Matrix'!AG36</f>
        <v>0</v>
      </c>
      <c r="AH36" s="89">
        <f>'[1]OMM_Unit Matrix'!AH36</f>
        <v>0</v>
      </c>
      <c r="AI36" s="89">
        <f>'[1]OMM_Unit Matrix'!AI36</f>
        <v>0</v>
      </c>
      <c r="AJ36" s="89">
        <f>'[1]OMM_Unit Matrix'!AJ36</f>
        <v>0</v>
      </c>
      <c r="AK36" s="89">
        <f>'[1]OMM_Unit Matrix'!AK36</f>
        <v>0</v>
      </c>
      <c r="AL36" s="89">
        <f>'[1]OMM_Unit Matrix'!AL36</f>
        <v>0</v>
      </c>
      <c r="AM36" s="89">
        <f>'[1]OMM_Unit Matrix'!AM36</f>
        <v>0</v>
      </c>
      <c r="AN36" s="89">
        <f>'[1]OMM_Unit Matrix'!AN36</f>
        <v>0</v>
      </c>
      <c r="AO36" s="89">
        <f>'[1]OMM_Unit Matrix'!AO36</f>
        <v>0</v>
      </c>
      <c r="AP36" s="89">
        <f>'[1]OMM_Unit Matrix'!AP36</f>
        <v>0</v>
      </c>
      <c r="AQ36" s="270">
        <f>'[1]OMM_Unit Matrix'!AQ36</f>
        <v>0</v>
      </c>
      <c r="AS36" s="244"/>
      <c r="AT36" s="244"/>
      <c r="AU36" s="244"/>
    </row>
    <row r="37" spans="2:47" ht="17.45" hidden="1">
      <c r="B37" s="89">
        <f>'[1]OMM_Unit Matrix'!B37</f>
        <v>2</v>
      </c>
      <c r="C37" s="275">
        <f>'[1]OMM_Unit Matrix'!C37</f>
        <v>27</v>
      </c>
      <c r="D37" s="89">
        <f>'[1]OMM_Unit Matrix'!D37</f>
        <v>2027</v>
      </c>
      <c r="E37" s="89">
        <f>'[1]OMM_Unit Matrix'!E37</f>
        <v>0</v>
      </c>
      <c r="F37" s="89">
        <f>'[1]OMM_Unit Matrix'!F37</f>
        <v>0</v>
      </c>
      <c r="G37" s="89" t="str">
        <f>'[1]OMM_Unit Matrix'!G37</f>
        <v>NOT IN SCOPE</v>
      </c>
      <c r="H37" s="89">
        <f>'[1]OMM_Unit Matrix'!H37</f>
        <v>0</v>
      </c>
      <c r="I37" s="89">
        <f>'[1]OMM_Unit Matrix'!I37</f>
        <v>0</v>
      </c>
      <c r="J37" s="89">
        <f>'[1]OMM_Unit Matrix'!J37</f>
        <v>0</v>
      </c>
      <c r="K37" s="89">
        <f>'[1]OMM_Unit Matrix'!K37</f>
        <v>0</v>
      </c>
      <c r="L37" s="89">
        <f>'[1]OMM_Unit Matrix'!L37</f>
        <v>0</v>
      </c>
      <c r="M37" s="89">
        <f>'[1]OMM_Unit Matrix'!M37</f>
        <v>0</v>
      </c>
      <c r="N37" s="89">
        <f>'[1]OMM_Unit Matrix'!N37</f>
        <v>0</v>
      </c>
      <c r="O37" s="89">
        <f>'[1]OMM_Unit Matrix'!O37</f>
        <v>0</v>
      </c>
      <c r="P37" s="89">
        <f>'[1]OMM_Unit Matrix'!P37</f>
        <v>0</v>
      </c>
      <c r="Q37" s="89">
        <f>'[1]OMM_Unit Matrix'!Q37</f>
        <v>0</v>
      </c>
      <c r="R37" s="89">
        <f>'[1]OMM_Unit Matrix'!R37</f>
        <v>0</v>
      </c>
      <c r="S37" s="89">
        <f>'[1]OMM_Unit Matrix'!S37</f>
        <v>0</v>
      </c>
      <c r="T37" s="89">
        <f>'[1]OMM_Unit Matrix'!T37</f>
        <v>0</v>
      </c>
      <c r="U37" s="89">
        <f>'[1]OMM_Unit Matrix'!U37</f>
        <v>0</v>
      </c>
      <c r="V37" s="89">
        <f>'[1]OMM_Unit Matrix'!V37</f>
        <v>0</v>
      </c>
      <c r="W37" s="89">
        <f>'[1]OMM_Unit Matrix'!W37</f>
        <v>0</v>
      </c>
      <c r="X37" s="89">
        <f>'[1]OMM_Unit Matrix'!X37</f>
        <v>0</v>
      </c>
      <c r="Y37" s="89">
        <f>'[1]OMM_Unit Matrix'!Y37</f>
        <v>0</v>
      </c>
      <c r="Z37" s="89">
        <f>'[1]OMM_Unit Matrix'!Z37</f>
        <v>0</v>
      </c>
      <c r="AA37" s="89">
        <f>'[1]OMM_Unit Matrix'!AA37</f>
        <v>0</v>
      </c>
      <c r="AB37" s="89">
        <f>'[1]OMM_Unit Matrix'!AB37</f>
        <v>0</v>
      </c>
      <c r="AC37" s="89">
        <f>'[1]OMM_Unit Matrix'!AC37</f>
        <v>0</v>
      </c>
      <c r="AD37" s="89">
        <f>'[1]OMM_Unit Matrix'!AD37</f>
        <v>0</v>
      </c>
      <c r="AE37" s="89">
        <f>'[1]OMM_Unit Matrix'!AE37</f>
        <v>0</v>
      </c>
      <c r="AF37" s="89">
        <f>'[1]OMM_Unit Matrix'!AF37</f>
        <v>0</v>
      </c>
      <c r="AG37" s="89">
        <f>'[1]OMM_Unit Matrix'!AG37</f>
        <v>0</v>
      </c>
      <c r="AH37" s="89">
        <f>'[1]OMM_Unit Matrix'!AH37</f>
        <v>0</v>
      </c>
      <c r="AI37" s="89">
        <f>'[1]OMM_Unit Matrix'!AI37</f>
        <v>0</v>
      </c>
      <c r="AJ37" s="89">
        <f>'[1]OMM_Unit Matrix'!AJ37</f>
        <v>0</v>
      </c>
      <c r="AK37" s="89">
        <f>'[1]OMM_Unit Matrix'!AK37</f>
        <v>0</v>
      </c>
      <c r="AL37" s="89">
        <f>'[1]OMM_Unit Matrix'!AL37</f>
        <v>0</v>
      </c>
      <c r="AM37" s="89">
        <f>'[1]OMM_Unit Matrix'!AM37</f>
        <v>0</v>
      </c>
      <c r="AN37" s="89">
        <f>'[1]OMM_Unit Matrix'!AN37</f>
        <v>0</v>
      </c>
      <c r="AO37" s="89">
        <f>'[1]OMM_Unit Matrix'!AO37</f>
        <v>0</v>
      </c>
      <c r="AP37" s="89">
        <f>'[1]OMM_Unit Matrix'!AP37</f>
        <v>0</v>
      </c>
      <c r="AQ37" s="270">
        <f>'[1]OMM_Unit Matrix'!AQ37</f>
        <v>0</v>
      </c>
      <c r="AS37" s="244"/>
      <c r="AT37" s="244"/>
      <c r="AU37" s="244"/>
    </row>
    <row r="38" spans="2:47" ht="17.45" hidden="1">
      <c r="B38" s="89">
        <f>'[1]OMM_Unit Matrix'!B38</f>
        <v>2</v>
      </c>
      <c r="C38" s="275">
        <f>'[1]OMM_Unit Matrix'!C38</f>
        <v>28</v>
      </c>
      <c r="D38" s="89">
        <f>'[1]OMM_Unit Matrix'!D38</f>
        <v>2028</v>
      </c>
      <c r="E38" s="89">
        <f>'[1]OMM_Unit Matrix'!E38</f>
        <v>0</v>
      </c>
      <c r="F38" s="89">
        <f>'[1]OMM_Unit Matrix'!F38</f>
        <v>0</v>
      </c>
      <c r="G38" s="89" t="str">
        <f>'[1]OMM_Unit Matrix'!G38</f>
        <v>NOT IN SCOPE</v>
      </c>
      <c r="H38" s="89">
        <f>'[1]OMM_Unit Matrix'!H38</f>
        <v>0</v>
      </c>
      <c r="I38" s="89">
        <f>'[1]OMM_Unit Matrix'!I38</f>
        <v>0</v>
      </c>
      <c r="J38" s="89">
        <f>'[1]OMM_Unit Matrix'!J38</f>
        <v>0</v>
      </c>
      <c r="K38" s="89">
        <f>'[1]OMM_Unit Matrix'!K38</f>
        <v>0</v>
      </c>
      <c r="L38" s="89">
        <f>'[1]OMM_Unit Matrix'!L38</f>
        <v>0</v>
      </c>
      <c r="M38" s="89">
        <f>'[1]OMM_Unit Matrix'!M38</f>
        <v>0</v>
      </c>
      <c r="N38" s="89">
        <f>'[1]OMM_Unit Matrix'!N38</f>
        <v>0</v>
      </c>
      <c r="O38" s="89">
        <f>'[1]OMM_Unit Matrix'!O38</f>
        <v>0</v>
      </c>
      <c r="P38" s="89">
        <f>'[1]OMM_Unit Matrix'!P38</f>
        <v>0</v>
      </c>
      <c r="Q38" s="89">
        <f>'[1]OMM_Unit Matrix'!Q38</f>
        <v>0</v>
      </c>
      <c r="R38" s="89">
        <f>'[1]OMM_Unit Matrix'!R38</f>
        <v>0</v>
      </c>
      <c r="S38" s="89">
        <f>'[1]OMM_Unit Matrix'!S38</f>
        <v>0</v>
      </c>
      <c r="T38" s="89">
        <f>'[1]OMM_Unit Matrix'!T38</f>
        <v>0</v>
      </c>
      <c r="U38" s="89">
        <f>'[1]OMM_Unit Matrix'!U38</f>
        <v>0</v>
      </c>
      <c r="V38" s="89">
        <f>'[1]OMM_Unit Matrix'!V38</f>
        <v>0</v>
      </c>
      <c r="W38" s="89">
        <f>'[1]OMM_Unit Matrix'!W38</f>
        <v>0</v>
      </c>
      <c r="X38" s="89">
        <f>'[1]OMM_Unit Matrix'!X38</f>
        <v>0</v>
      </c>
      <c r="Y38" s="89">
        <f>'[1]OMM_Unit Matrix'!Y38</f>
        <v>0</v>
      </c>
      <c r="Z38" s="89">
        <f>'[1]OMM_Unit Matrix'!Z38</f>
        <v>0</v>
      </c>
      <c r="AA38" s="89">
        <f>'[1]OMM_Unit Matrix'!AA38</f>
        <v>0</v>
      </c>
      <c r="AB38" s="89">
        <f>'[1]OMM_Unit Matrix'!AB38</f>
        <v>0</v>
      </c>
      <c r="AC38" s="89">
        <f>'[1]OMM_Unit Matrix'!AC38</f>
        <v>0</v>
      </c>
      <c r="AD38" s="89">
        <f>'[1]OMM_Unit Matrix'!AD38</f>
        <v>0</v>
      </c>
      <c r="AE38" s="89">
        <f>'[1]OMM_Unit Matrix'!AE38</f>
        <v>0</v>
      </c>
      <c r="AF38" s="89">
        <f>'[1]OMM_Unit Matrix'!AF38</f>
        <v>0</v>
      </c>
      <c r="AG38" s="89">
        <f>'[1]OMM_Unit Matrix'!AG38</f>
        <v>0</v>
      </c>
      <c r="AH38" s="89">
        <f>'[1]OMM_Unit Matrix'!AH38</f>
        <v>0</v>
      </c>
      <c r="AI38" s="89">
        <f>'[1]OMM_Unit Matrix'!AI38</f>
        <v>0</v>
      </c>
      <c r="AJ38" s="89">
        <f>'[1]OMM_Unit Matrix'!AJ38</f>
        <v>0</v>
      </c>
      <c r="AK38" s="89">
        <f>'[1]OMM_Unit Matrix'!AK38</f>
        <v>0</v>
      </c>
      <c r="AL38" s="89">
        <f>'[1]OMM_Unit Matrix'!AL38</f>
        <v>0</v>
      </c>
      <c r="AM38" s="89">
        <f>'[1]OMM_Unit Matrix'!AM38</f>
        <v>0</v>
      </c>
      <c r="AN38" s="89">
        <f>'[1]OMM_Unit Matrix'!AN38</f>
        <v>0</v>
      </c>
      <c r="AO38" s="89">
        <f>'[1]OMM_Unit Matrix'!AO38</f>
        <v>0</v>
      </c>
      <c r="AP38" s="89">
        <f>'[1]OMM_Unit Matrix'!AP38</f>
        <v>0</v>
      </c>
      <c r="AQ38" s="270">
        <f>'[1]OMM_Unit Matrix'!AQ38</f>
        <v>0</v>
      </c>
      <c r="AS38" s="244"/>
      <c r="AT38" s="244"/>
      <c r="AU38" s="244"/>
    </row>
    <row r="39" spans="2:47" ht="15" hidden="1" customHeight="1">
      <c r="B39" s="89">
        <f>'[1]OMM_Unit Matrix'!B39</f>
        <v>3</v>
      </c>
      <c r="C39" s="275">
        <f>'[1]OMM_Unit Matrix'!C39</f>
        <v>1</v>
      </c>
      <c r="D39" s="89">
        <f>'[1]OMM_Unit Matrix'!D39</f>
        <v>3001</v>
      </c>
      <c r="E39" s="89">
        <f>'[1]OMM_Unit Matrix'!E39</f>
        <v>0</v>
      </c>
      <c r="F39" s="89">
        <f>'[1]OMM_Unit Matrix'!F39</f>
        <v>0</v>
      </c>
      <c r="G39" s="89" t="str">
        <f>'[1]OMM_Unit Matrix'!G39</f>
        <v>NOT IN SCOPE</v>
      </c>
      <c r="H39" s="89">
        <f>'[1]OMM_Unit Matrix'!H39</f>
        <v>0</v>
      </c>
      <c r="I39" s="89">
        <f>'[1]OMM_Unit Matrix'!I39</f>
        <v>0</v>
      </c>
      <c r="J39" s="89">
        <f>'[1]OMM_Unit Matrix'!J39</f>
        <v>0</v>
      </c>
      <c r="K39" s="89">
        <f>'[1]OMM_Unit Matrix'!K39</f>
        <v>0</v>
      </c>
      <c r="L39" s="89">
        <f>'[1]OMM_Unit Matrix'!L39</f>
        <v>0</v>
      </c>
      <c r="M39" s="89">
        <f>'[1]OMM_Unit Matrix'!M39</f>
        <v>0</v>
      </c>
      <c r="N39" s="89">
        <f>'[1]OMM_Unit Matrix'!N39</f>
        <v>0</v>
      </c>
      <c r="O39" s="89">
        <f>'[1]OMM_Unit Matrix'!O39</f>
        <v>0</v>
      </c>
      <c r="P39" s="89">
        <f>'[1]OMM_Unit Matrix'!P39</f>
        <v>0</v>
      </c>
      <c r="Q39" s="89">
        <f>'[1]OMM_Unit Matrix'!Q39</f>
        <v>0</v>
      </c>
      <c r="R39" s="89">
        <f>'[1]OMM_Unit Matrix'!R39</f>
        <v>0</v>
      </c>
      <c r="S39" s="89">
        <f>'[1]OMM_Unit Matrix'!S39</f>
        <v>0</v>
      </c>
      <c r="T39" s="89">
        <f>'[1]OMM_Unit Matrix'!T39</f>
        <v>0</v>
      </c>
      <c r="U39" s="89">
        <f>'[1]OMM_Unit Matrix'!U39</f>
        <v>0</v>
      </c>
      <c r="V39" s="89">
        <f>'[1]OMM_Unit Matrix'!V39</f>
        <v>0</v>
      </c>
      <c r="W39" s="89">
        <f>'[1]OMM_Unit Matrix'!W39</f>
        <v>0</v>
      </c>
      <c r="X39" s="89">
        <f>'[1]OMM_Unit Matrix'!X39</f>
        <v>0</v>
      </c>
      <c r="Y39" s="89">
        <f>'[1]OMM_Unit Matrix'!Y39</f>
        <v>0</v>
      </c>
      <c r="Z39" s="89">
        <f>'[1]OMM_Unit Matrix'!Z39</f>
        <v>0</v>
      </c>
      <c r="AA39" s="89">
        <f>'[1]OMM_Unit Matrix'!AA39</f>
        <v>0</v>
      </c>
      <c r="AB39" s="89">
        <f>'[1]OMM_Unit Matrix'!AB39</f>
        <v>0</v>
      </c>
      <c r="AC39" s="89">
        <f>'[1]OMM_Unit Matrix'!AC39</f>
        <v>0</v>
      </c>
      <c r="AD39" s="89">
        <f>'[1]OMM_Unit Matrix'!AD39</f>
        <v>0</v>
      </c>
      <c r="AE39" s="89">
        <f>'[1]OMM_Unit Matrix'!AE39</f>
        <v>0</v>
      </c>
      <c r="AF39" s="89">
        <f>'[1]OMM_Unit Matrix'!AF39</f>
        <v>0</v>
      </c>
      <c r="AG39" s="89">
        <f>'[1]OMM_Unit Matrix'!AG39</f>
        <v>0</v>
      </c>
      <c r="AH39" s="89">
        <f>'[1]OMM_Unit Matrix'!AH39</f>
        <v>0</v>
      </c>
      <c r="AI39" s="89">
        <f>'[1]OMM_Unit Matrix'!AI39</f>
        <v>0</v>
      </c>
      <c r="AJ39" s="89">
        <f>'[1]OMM_Unit Matrix'!AJ39</f>
        <v>0</v>
      </c>
      <c r="AK39" s="89">
        <f>'[1]OMM_Unit Matrix'!AK39</f>
        <v>0</v>
      </c>
      <c r="AL39" s="89">
        <f>'[1]OMM_Unit Matrix'!AL39</f>
        <v>0</v>
      </c>
      <c r="AM39" s="89">
        <f>'[1]OMM_Unit Matrix'!AM39</f>
        <v>0</v>
      </c>
      <c r="AN39" s="89">
        <f>'[1]OMM_Unit Matrix'!AN39</f>
        <v>0</v>
      </c>
      <c r="AO39" s="89">
        <f>'[1]OMM_Unit Matrix'!AO39</f>
        <v>0</v>
      </c>
      <c r="AP39" s="89">
        <f>'[1]OMM_Unit Matrix'!AP39</f>
        <v>0</v>
      </c>
      <c r="AQ39" s="270">
        <f>'[1]OMM_Unit Matrix'!AQ39</f>
        <v>0</v>
      </c>
      <c r="AS39" s="244"/>
      <c r="AT39" s="244"/>
      <c r="AU39" s="244"/>
    </row>
    <row r="40" spans="2:47" ht="15" hidden="1" customHeight="1">
      <c r="B40" s="89">
        <f>'[1]OMM_Unit Matrix'!B40</f>
        <v>3</v>
      </c>
      <c r="C40" s="275">
        <f>'[1]OMM_Unit Matrix'!C40</f>
        <v>2</v>
      </c>
      <c r="D40" s="89">
        <f>'[1]OMM_Unit Matrix'!D40</f>
        <v>3002</v>
      </c>
      <c r="E40" s="89">
        <f>'[1]OMM_Unit Matrix'!E40</f>
        <v>0</v>
      </c>
      <c r="F40" s="89">
        <f>'[1]OMM_Unit Matrix'!F40</f>
        <v>0</v>
      </c>
      <c r="G40" s="89" t="str">
        <f>'[1]OMM_Unit Matrix'!G40</f>
        <v>NOT IN SCOPE</v>
      </c>
      <c r="H40" s="89">
        <f>'[1]OMM_Unit Matrix'!H40</f>
        <v>0</v>
      </c>
      <c r="I40" s="89">
        <f>'[1]OMM_Unit Matrix'!I40</f>
        <v>0</v>
      </c>
      <c r="J40" s="89">
        <f>'[1]OMM_Unit Matrix'!J40</f>
        <v>0</v>
      </c>
      <c r="K40" s="89">
        <f>'[1]OMM_Unit Matrix'!K40</f>
        <v>0</v>
      </c>
      <c r="L40" s="89">
        <f>'[1]OMM_Unit Matrix'!L40</f>
        <v>0</v>
      </c>
      <c r="M40" s="89">
        <f>'[1]OMM_Unit Matrix'!M40</f>
        <v>0</v>
      </c>
      <c r="N40" s="89">
        <f>'[1]OMM_Unit Matrix'!N40</f>
        <v>0</v>
      </c>
      <c r="O40" s="89">
        <f>'[1]OMM_Unit Matrix'!O40</f>
        <v>0</v>
      </c>
      <c r="P40" s="89">
        <f>'[1]OMM_Unit Matrix'!P40</f>
        <v>0</v>
      </c>
      <c r="Q40" s="89">
        <f>'[1]OMM_Unit Matrix'!Q40</f>
        <v>0</v>
      </c>
      <c r="R40" s="89">
        <f>'[1]OMM_Unit Matrix'!R40</f>
        <v>0</v>
      </c>
      <c r="S40" s="89">
        <f>'[1]OMM_Unit Matrix'!S40</f>
        <v>0</v>
      </c>
      <c r="T40" s="89">
        <f>'[1]OMM_Unit Matrix'!T40</f>
        <v>0</v>
      </c>
      <c r="U40" s="89">
        <f>'[1]OMM_Unit Matrix'!U40</f>
        <v>0</v>
      </c>
      <c r="V40" s="89">
        <f>'[1]OMM_Unit Matrix'!V40</f>
        <v>0</v>
      </c>
      <c r="W40" s="89">
        <f>'[1]OMM_Unit Matrix'!W40</f>
        <v>0</v>
      </c>
      <c r="X40" s="89">
        <f>'[1]OMM_Unit Matrix'!X40</f>
        <v>0</v>
      </c>
      <c r="Y40" s="89">
        <f>'[1]OMM_Unit Matrix'!Y40</f>
        <v>0</v>
      </c>
      <c r="Z40" s="89">
        <f>'[1]OMM_Unit Matrix'!Z40</f>
        <v>0</v>
      </c>
      <c r="AA40" s="89">
        <f>'[1]OMM_Unit Matrix'!AA40</f>
        <v>0</v>
      </c>
      <c r="AB40" s="89">
        <f>'[1]OMM_Unit Matrix'!AB40</f>
        <v>0</v>
      </c>
      <c r="AC40" s="89">
        <f>'[1]OMM_Unit Matrix'!AC40</f>
        <v>0</v>
      </c>
      <c r="AD40" s="89">
        <f>'[1]OMM_Unit Matrix'!AD40</f>
        <v>0</v>
      </c>
      <c r="AE40" s="89">
        <f>'[1]OMM_Unit Matrix'!AE40</f>
        <v>0</v>
      </c>
      <c r="AF40" s="89">
        <f>'[1]OMM_Unit Matrix'!AF40</f>
        <v>0</v>
      </c>
      <c r="AG40" s="89">
        <f>'[1]OMM_Unit Matrix'!AG40</f>
        <v>0</v>
      </c>
      <c r="AH40" s="89">
        <f>'[1]OMM_Unit Matrix'!AH40</f>
        <v>0</v>
      </c>
      <c r="AI40" s="89">
        <f>'[1]OMM_Unit Matrix'!AI40</f>
        <v>0</v>
      </c>
      <c r="AJ40" s="89">
        <f>'[1]OMM_Unit Matrix'!AJ40</f>
        <v>0</v>
      </c>
      <c r="AK40" s="89">
        <f>'[1]OMM_Unit Matrix'!AK40</f>
        <v>0</v>
      </c>
      <c r="AL40" s="89">
        <f>'[1]OMM_Unit Matrix'!AL40</f>
        <v>0</v>
      </c>
      <c r="AM40" s="89">
        <f>'[1]OMM_Unit Matrix'!AM40</f>
        <v>0</v>
      </c>
      <c r="AN40" s="89">
        <f>'[1]OMM_Unit Matrix'!AN40</f>
        <v>0</v>
      </c>
      <c r="AO40" s="89">
        <f>'[1]OMM_Unit Matrix'!AO40</f>
        <v>0</v>
      </c>
      <c r="AP40" s="89">
        <f>'[1]OMM_Unit Matrix'!AP40</f>
        <v>0</v>
      </c>
      <c r="AQ40" s="270">
        <f>'[1]OMM_Unit Matrix'!AQ40</f>
        <v>0</v>
      </c>
      <c r="AS40" s="244"/>
      <c r="AT40" s="244"/>
      <c r="AU40" s="244"/>
    </row>
    <row r="41" spans="2:47" ht="15" hidden="1" customHeight="1">
      <c r="B41" s="89">
        <f>'[1]OMM_Unit Matrix'!B41</f>
        <v>3</v>
      </c>
      <c r="C41" s="275">
        <f>'[1]OMM_Unit Matrix'!C41</f>
        <v>3</v>
      </c>
      <c r="D41" s="89">
        <f>'[1]OMM_Unit Matrix'!D41</f>
        <v>3003</v>
      </c>
      <c r="E41" s="89">
        <f>'[1]OMM_Unit Matrix'!E41</f>
        <v>0</v>
      </c>
      <c r="F41" s="89">
        <f>'[1]OMM_Unit Matrix'!F41</f>
        <v>0</v>
      </c>
      <c r="G41" s="89" t="str">
        <f>'[1]OMM_Unit Matrix'!G41</f>
        <v>NOT IN SCOPE</v>
      </c>
      <c r="H41" s="89">
        <f>'[1]OMM_Unit Matrix'!H41</f>
        <v>0</v>
      </c>
      <c r="I41" s="89">
        <f>'[1]OMM_Unit Matrix'!I41</f>
        <v>0</v>
      </c>
      <c r="J41" s="89">
        <f>'[1]OMM_Unit Matrix'!J41</f>
        <v>0</v>
      </c>
      <c r="K41" s="89">
        <f>'[1]OMM_Unit Matrix'!K41</f>
        <v>0</v>
      </c>
      <c r="L41" s="89">
        <f>'[1]OMM_Unit Matrix'!L41</f>
        <v>0</v>
      </c>
      <c r="M41" s="89">
        <f>'[1]OMM_Unit Matrix'!M41</f>
        <v>0</v>
      </c>
      <c r="N41" s="89">
        <f>'[1]OMM_Unit Matrix'!N41</f>
        <v>0</v>
      </c>
      <c r="O41" s="89">
        <f>'[1]OMM_Unit Matrix'!O41</f>
        <v>0</v>
      </c>
      <c r="P41" s="89">
        <f>'[1]OMM_Unit Matrix'!P41</f>
        <v>0</v>
      </c>
      <c r="Q41" s="89">
        <f>'[1]OMM_Unit Matrix'!Q41</f>
        <v>0</v>
      </c>
      <c r="R41" s="89">
        <f>'[1]OMM_Unit Matrix'!R41</f>
        <v>0</v>
      </c>
      <c r="S41" s="89">
        <f>'[1]OMM_Unit Matrix'!S41</f>
        <v>0</v>
      </c>
      <c r="T41" s="89">
        <f>'[1]OMM_Unit Matrix'!T41</f>
        <v>0</v>
      </c>
      <c r="U41" s="89">
        <f>'[1]OMM_Unit Matrix'!U41</f>
        <v>0</v>
      </c>
      <c r="V41" s="89">
        <f>'[1]OMM_Unit Matrix'!V41</f>
        <v>0</v>
      </c>
      <c r="W41" s="89">
        <f>'[1]OMM_Unit Matrix'!W41</f>
        <v>0</v>
      </c>
      <c r="X41" s="89">
        <f>'[1]OMM_Unit Matrix'!X41</f>
        <v>0</v>
      </c>
      <c r="Y41" s="89">
        <f>'[1]OMM_Unit Matrix'!Y41</f>
        <v>0</v>
      </c>
      <c r="Z41" s="89">
        <f>'[1]OMM_Unit Matrix'!Z41</f>
        <v>0</v>
      </c>
      <c r="AA41" s="89">
        <f>'[1]OMM_Unit Matrix'!AA41</f>
        <v>0</v>
      </c>
      <c r="AB41" s="89">
        <f>'[1]OMM_Unit Matrix'!AB41</f>
        <v>0</v>
      </c>
      <c r="AC41" s="89">
        <f>'[1]OMM_Unit Matrix'!AC41</f>
        <v>0</v>
      </c>
      <c r="AD41" s="89">
        <f>'[1]OMM_Unit Matrix'!AD41</f>
        <v>0</v>
      </c>
      <c r="AE41" s="89">
        <f>'[1]OMM_Unit Matrix'!AE41</f>
        <v>0</v>
      </c>
      <c r="AF41" s="89">
        <f>'[1]OMM_Unit Matrix'!AF41</f>
        <v>0</v>
      </c>
      <c r="AG41" s="89">
        <f>'[1]OMM_Unit Matrix'!AG41</f>
        <v>0</v>
      </c>
      <c r="AH41" s="89">
        <f>'[1]OMM_Unit Matrix'!AH41</f>
        <v>0</v>
      </c>
      <c r="AI41" s="89">
        <f>'[1]OMM_Unit Matrix'!AI41</f>
        <v>0</v>
      </c>
      <c r="AJ41" s="89">
        <f>'[1]OMM_Unit Matrix'!AJ41</f>
        <v>0</v>
      </c>
      <c r="AK41" s="89">
        <f>'[1]OMM_Unit Matrix'!AK41</f>
        <v>0</v>
      </c>
      <c r="AL41" s="89">
        <f>'[1]OMM_Unit Matrix'!AL41</f>
        <v>0</v>
      </c>
      <c r="AM41" s="89">
        <f>'[1]OMM_Unit Matrix'!AM41</f>
        <v>0</v>
      </c>
      <c r="AN41" s="89">
        <f>'[1]OMM_Unit Matrix'!AN41</f>
        <v>0</v>
      </c>
      <c r="AO41" s="89">
        <f>'[1]OMM_Unit Matrix'!AO41</f>
        <v>0</v>
      </c>
      <c r="AP41" s="89">
        <f>'[1]OMM_Unit Matrix'!AP41</f>
        <v>0</v>
      </c>
      <c r="AQ41" s="270">
        <f>'[1]OMM_Unit Matrix'!AQ41</f>
        <v>0</v>
      </c>
      <c r="AS41" s="244"/>
      <c r="AT41" s="244"/>
      <c r="AU41" s="244"/>
    </row>
    <row r="42" spans="2:47" ht="15" hidden="1" customHeight="1">
      <c r="B42" s="89">
        <f>'[1]OMM_Unit Matrix'!B42</f>
        <v>3</v>
      </c>
      <c r="C42" s="275">
        <f>'[1]OMM_Unit Matrix'!C42</f>
        <v>4</v>
      </c>
      <c r="D42" s="89">
        <f>'[1]OMM_Unit Matrix'!D42</f>
        <v>3004</v>
      </c>
      <c r="E42" s="89">
        <f>'[1]OMM_Unit Matrix'!E42</f>
        <v>0</v>
      </c>
      <c r="F42" s="89">
        <f>'[1]OMM_Unit Matrix'!F42</f>
        <v>0</v>
      </c>
      <c r="G42" s="89" t="str">
        <f>'[1]OMM_Unit Matrix'!G42</f>
        <v>NOT IN SCOPE</v>
      </c>
      <c r="H42" s="89">
        <f>'[1]OMM_Unit Matrix'!H42</f>
        <v>0</v>
      </c>
      <c r="I42" s="89">
        <f>'[1]OMM_Unit Matrix'!I42</f>
        <v>0</v>
      </c>
      <c r="J42" s="89">
        <f>'[1]OMM_Unit Matrix'!J42</f>
        <v>0</v>
      </c>
      <c r="K42" s="89">
        <f>'[1]OMM_Unit Matrix'!K42</f>
        <v>0</v>
      </c>
      <c r="L42" s="89">
        <f>'[1]OMM_Unit Matrix'!L42</f>
        <v>0</v>
      </c>
      <c r="M42" s="89">
        <f>'[1]OMM_Unit Matrix'!M42</f>
        <v>0</v>
      </c>
      <c r="N42" s="89">
        <f>'[1]OMM_Unit Matrix'!N42</f>
        <v>0</v>
      </c>
      <c r="O42" s="89">
        <f>'[1]OMM_Unit Matrix'!O42</f>
        <v>0</v>
      </c>
      <c r="P42" s="89">
        <f>'[1]OMM_Unit Matrix'!P42</f>
        <v>0</v>
      </c>
      <c r="Q42" s="89">
        <f>'[1]OMM_Unit Matrix'!Q42</f>
        <v>0</v>
      </c>
      <c r="R42" s="89">
        <f>'[1]OMM_Unit Matrix'!R42</f>
        <v>0</v>
      </c>
      <c r="S42" s="89">
        <f>'[1]OMM_Unit Matrix'!S42</f>
        <v>0</v>
      </c>
      <c r="T42" s="89">
        <f>'[1]OMM_Unit Matrix'!T42</f>
        <v>0</v>
      </c>
      <c r="U42" s="89">
        <f>'[1]OMM_Unit Matrix'!U42</f>
        <v>0</v>
      </c>
      <c r="V42" s="89">
        <f>'[1]OMM_Unit Matrix'!V42</f>
        <v>0</v>
      </c>
      <c r="W42" s="89">
        <f>'[1]OMM_Unit Matrix'!W42</f>
        <v>0</v>
      </c>
      <c r="X42" s="89">
        <f>'[1]OMM_Unit Matrix'!X42</f>
        <v>0</v>
      </c>
      <c r="Y42" s="89">
        <f>'[1]OMM_Unit Matrix'!Y42</f>
        <v>0</v>
      </c>
      <c r="Z42" s="89">
        <f>'[1]OMM_Unit Matrix'!Z42</f>
        <v>0</v>
      </c>
      <c r="AA42" s="89">
        <f>'[1]OMM_Unit Matrix'!AA42</f>
        <v>0</v>
      </c>
      <c r="AB42" s="89">
        <f>'[1]OMM_Unit Matrix'!AB42</f>
        <v>0</v>
      </c>
      <c r="AC42" s="89">
        <f>'[1]OMM_Unit Matrix'!AC42</f>
        <v>0</v>
      </c>
      <c r="AD42" s="89">
        <f>'[1]OMM_Unit Matrix'!AD42</f>
        <v>0</v>
      </c>
      <c r="AE42" s="89">
        <f>'[1]OMM_Unit Matrix'!AE42</f>
        <v>0</v>
      </c>
      <c r="AF42" s="89">
        <f>'[1]OMM_Unit Matrix'!AF42</f>
        <v>0</v>
      </c>
      <c r="AG42" s="89">
        <f>'[1]OMM_Unit Matrix'!AG42</f>
        <v>0</v>
      </c>
      <c r="AH42" s="89">
        <f>'[1]OMM_Unit Matrix'!AH42</f>
        <v>0</v>
      </c>
      <c r="AI42" s="89">
        <f>'[1]OMM_Unit Matrix'!AI42</f>
        <v>0</v>
      </c>
      <c r="AJ42" s="89">
        <f>'[1]OMM_Unit Matrix'!AJ42</f>
        <v>0</v>
      </c>
      <c r="AK42" s="89">
        <f>'[1]OMM_Unit Matrix'!AK42</f>
        <v>0</v>
      </c>
      <c r="AL42" s="89">
        <f>'[1]OMM_Unit Matrix'!AL42</f>
        <v>0</v>
      </c>
      <c r="AM42" s="89">
        <f>'[1]OMM_Unit Matrix'!AM42</f>
        <v>0</v>
      </c>
      <c r="AN42" s="89">
        <f>'[1]OMM_Unit Matrix'!AN42</f>
        <v>0</v>
      </c>
      <c r="AO42" s="89">
        <f>'[1]OMM_Unit Matrix'!AO42</f>
        <v>0</v>
      </c>
      <c r="AP42" s="89">
        <f>'[1]OMM_Unit Matrix'!AP42</f>
        <v>0</v>
      </c>
      <c r="AQ42" s="270">
        <f>'[1]OMM_Unit Matrix'!AQ42</f>
        <v>0</v>
      </c>
      <c r="AS42" s="244"/>
      <c r="AT42" s="244"/>
      <c r="AU42" s="244"/>
    </row>
    <row r="43" spans="2:47" ht="15" customHeight="1">
      <c r="B43" s="89">
        <f>'[1]OMM_Unit Matrix'!B43</f>
        <v>3</v>
      </c>
      <c r="C43" s="275">
        <f>'[1]OMM_Unit Matrix'!C43</f>
        <v>5</v>
      </c>
      <c r="D43" s="89">
        <f>'[1]OMM_Unit Matrix'!D43</f>
        <v>3005</v>
      </c>
      <c r="E43" s="89" t="str">
        <f>'[1]OMM_Unit Matrix'!E43</f>
        <v>YES</v>
      </c>
      <c r="F43" s="132" t="str">
        <f>'[1]OMM_Unit Matrix'!F43</f>
        <v>3005.06.07</v>
      </c>
      <c r="G43" s="89" t="str">
        <f>'[1]OMM_Unit Matrix'!G43</f>
        <v>ORDERED</v>
      </c>
      <c r="H43" s="89" t="str">
        <f>'[1]OMM_Unit Matrix'!H43</f>
        <v>NO</v>
      </c>
      <c r="I43" s="89">
        <f>'[1]OMM_Unit Matrix'!I43</f>
        <v>0</v>
      </c>
      <c r="J43" s="89" t="str">
        <f>'[1]OMM_Unit Matrix'!J43</f>
        <v>NO</v>
      </c>
      <c r="K43" s="89">
        <f>'[1]OMM_Unit Matrix'!K43</f>
        <v>0</v>
      </c>
      <c r="L43" s="89" t="str">
        <f>'[1]OMM_Unit Matrix'!L43</f>
        <v>NO</v>
      </c>
      <c r="M43" s="89">
        <f>'[1]OMM_Unit Matrix'!M43</f>
        <v>0</v>
      </c>
      <c r="N43" s="89" t="str">
        <f>'[1]OMM_Unit Matrix'!N43</f>
        <v>YES</v>
      </c>
      <c r="O43" s="201">
        <f>'[1]OMM_Unit Matrix'!O43</f>
        <v>1</v>
      </c>
      <c r="P43" s="89" t="str">
        <f>'[1]OMM_Unit Matrix'!P43</f>
        <v>NO</v>
      </c>
      <c r="Q43" s="89">
        <f>'[1]OMM_Unit Matrix'!Q43</f>
        <v>0</v>
      </c>
      <c r="R43" s="89" t="str">
        <f>'[1]OMM_Unit Matrix'!R43</f>
        <v>NO</v>
      </c>
      <c r="S43" s="89">
        <f>'[1]OMM_Unit Matrix'!S43</f>
        <v>0</v>
      </c>
      <c r="T43" s="89" t="str">
        <f>'[1]OMM_Unit Matrix'!T43</f>
        <v>NO</v>
      </c>
      <c r="U43" s="89">
        <f>'[1]OMM_Unit Matrix'!U43</f>
        <v>0</v>
      </c>
      <c r="V43" s="89" t="str">
        <f>'[1]OMM_Unit Matrix'!V43</f>
        <v>YES</v>
      </c>
      <c r="W43" s="201">
        <f>'[1]OMM_Unit Matrix'!W43</f>
        <v>1</v>
      </c>
      <c r="X43" s="89" t="str">
        <f>'[1]OMM_Unit Matrix'!X43</f>
        <v>YES</v>
      </c>
      <c r="Y43" s="201">
        <f>'[1]OMM_Unit Matrix'!Y43</f>
        <v>1</v>
      </c>
      <c r="Z43" s="89" t="str">
        <f>'[1]OMM_Unit Matrix'!Z43</f>
        <v>NO</v>
      </c>
      <c r="AA43" s="89">
        <f>'[1]OMM_Unit Matrix'!AA43</f>
        <v>0</v>
      </c>
      <c r="AB43" s="89" t="str">
        <f>'[1]OMM_Unit Matrix'!AB43</f>
        <v>YES</v>
      </c>
      <c r="AC43" s="201">
        <f>'[1]OMM_Unit Matrix'!AC43</f>
        <v>1</v>
      </c>
      <c r="AD43" s="89" t="str">
        <f>'[1]OMM_Unit Matrix'!AD43</f>
        <v>YES</v>
      </c>
      <c r="AE43" s="201">
        <f>'[1]OMM_Unit Matrix'!AE43</f>
        <v>1</v>
      </c>
      <c r="AF43" s="89" t="str">
        <f>'[1]OMM_Unit Matrix'!AF43</f>
        <v>YES</v>
      </c>
      <c r="AG43" s="201">
        <f>'[1]OMM_Unit Matrix'!AG43</f>
        <v>1</v>
      </c>
      <c r="AH43" s="89" t="str">
        <f>'[1]OMM_Unit Matrix'!AH43</f>
        <v>NO</v>
      </c>
      <c r="AI43" s="89">
        <f>'[1]OMM_Unit Matrix'!AI43</f>
        <v>0</v>
      </c>
      <c r="AJ43" s="89" t="str">
        <f>'[1]OMM_Unit Matrix'!AJ43</f>
        <v>NO</v>
      </c>
      <c r="AK43" s="89">
        <f>'[1]OMM_Unit Matrix'!AK43</f>
        <v>0</v>
      </c>
      <c r="AL43" s="89" t="str">
        <f>'[1]OMM_Unit Matrix'!AL43</f>
        <v>NO</v>
      </c>
      <c r="AM43" s="89">
        <f>'[1]OMM_Unit Matrix'!AM43</f>
        <v>0</v>
      </c>
      <c r="AN43" s="89" t="str">
        <f>'[1]OMM_Unit Matrix'!AN43</f>
        <v>NO</v>
      </c>
      <c r="AO43" s="89">
        <f>'[1]OMM_Unit Matrix'!AO43</f>
        <v>0</v>
      </c>
      <c r="AP43" s="89" t="str">
        <f>'[1]OMM_Unit Matrix'!AP43</f>
        <v>NO</v>
      </c>
      <c r="AQ43" s="89">
        <f>'[1]OMM_Unit Matrix'!AQ43</f>
        <v>0</v>
      </c>
      <c r="AS43" s="244"/>
      <c r="AT43" s="244"/>
      <c r="AU43" s="244"/>
    </row>
    <row r="44" spans="2:47" ht="15" customHeight="1">
      <c r="B44" s="89">
        <f>'[1]OMM_Unit Matrix'!B44</f>
        <v>3</v>
      </c>
      <c r="C44" s="275">
        <f>'[1]OMM_Unit Matrix'!C44</f>
        <v>6</v>
      </c>
      <c r="D44" s="89">
        <f>'[1]OMM_Unit Matrix'!D44</f>
        <v>3006</v>
      </c>
      <c r="E44" s="89" t="str">
        <f>'[1]OMM_Unit Matrix'!E44</f>
        <v>YES</v>
      </c>
      <c r="F44" s="132" t="str">
        <f>'[1]OMM_Unit Matrix'!F44</f>
        <v>3005.06.07</v>
      </c>
      <c r="G44" s="89" t="str">
        <f>'[1]OMM_Unit Matrix'!G44</f>
        <v>ORDERED</v>
      </c>
      <c r="H44" s="89" t="str">
        <f>'[1]OMM_Unit Matrix'!H44</f>
        <v>NO</v>
      </c>
      <c r="I44" s="89">
        <f>'[1]OMM_Unit Matrix'!I44</f>
        <v>0</v>
      </c>
      <c r="J44" s="89" t="str">
        <f>'[1]OMM_Unit Matrix'!J44</f>
        <v>NO</v>
      </c>
      <c r="K44" s="89">
        <f>'[1]OMM_Unit Matrix'!K44</f>
        <v>0</v>
      </c>
      <c r="L44" s="89" t="str">
        <f>'[1]OMM_Unit Matrix'!L44</f>
        <v>NO</v>
      </c>
      <c r="M44" s="89">
        <f>'[1]OMM_Unit Matrix'!M44</f>
        <v>0</v>
      </c>
      <c r="N44" s="89" t="str">
        <f>'[1]OMM_Unit Matrix'!N44</f>
        <v>NO</v>
      </c>
      <c r="O44" s="89">
        <f>'[1]OMM_Unit Matrix'!O44</f>
        <v>0</v>
      </c>
      <c r="P44" s="89" t="str">
        <f>'[1]OMM_Unit Matrix'!P44</f>
        <v>NO</v>
      </c>
      <c r="Q44" s="89">
        <f>'[1]OMM_Unit Matrix'!Q44</f>
        <v>0</v>
      </c>
      <c r="R44" s="89" t="str">
        <f>'[1]OMM_Unit Matrix'!R44</f>
        <v>NO</v>
      </c>
      <c r="S44" s="89">
        <f>'[1]OMM_Unit Matrix'!S44</f>
        <v>0</v>
      </c>
      <c r="T44" s="89" t="str">
        <f>'[1]OMM_Unit Matrix'!T44</f>
        <v>NO</v>
      </c>
      <c r="U44" s="89">
        <f>'[1]OMM_Unit Matrix'!U44</f>
        <v>0</v>
      </c>
      <c r="V44" s="89" t="str">
        <f>'[1]OMM_Unit Matrix'!V44</f>
        <v>NO</v>
      </c>
      <c r="W44" s="89">
        <f>'[1]OMM_Unit Matrix'!W44</f>
        <v>0</v>
      </c>
      <c r="X44" s="89" t="str">
        <f>'[1]OMM_Unit Matrix'!X44</f>
        <v>NO</v>
      </c>
      <c r="Y44" s="89">
        <f>'[1]OMM_Unit Matrix'!Y44</f>
        <v>0</v>
      </c>
      <c r="Z44" s="89" t="str">
        <f>'[1]OMM_Unit Matrix'!Z44</f>
        <v>NO</v>
      </c>
      <c r="AA44" s="89">
        <f>'[1]OMM_Unit Matrix'!AA44</f>
        <v>0</v>
      </c>
      <c r="AB44" s="89" t="str">
        <f>'[1]OMM_Unit Matrix'!AB44</f>
        <v>NO</v>
      </c>
      <c r="AC44" s="89">
        <f>'[1]OMM_Unit Matrix'!AC44</f>
        <v>0</v>
      </c>
      <c r="AD44" s="89" t="str">
        <f>'[1]OMM_Unit Matrix'!AD44</f>
        <v>NO</v>
      </c>
      <c r="AE44" s="89">
        <f>'[1]OMM_Unit Matrix'!AE44</f>
        <v>0</v>
      </c>
      <c r="AF44" s="89" t="str">
        <f>'[1]OMM_Unit Matrix'!AF44</f>
        <v>NO</v>
      </c>
      <c r="AG44" s="89">
        <f>'[1]OMM_Unit Matrix'!AG44</f>
        <v>0</v>
      </c>
      <c r="AH44" s="89" t="str">
        <f>'[1]OMM_Unit Matrix'!AH44</f>
        <v>NO</v>
      </c>
      <c r="AI44" s="89">
        <f>'[1]OMM_Unit Matrix'!AI44</f>
        <v>0</v>
      </c>
      <c r="AJ44" s="89" t="str">
        <f>'[1]OMM_Unit Matrix'!AJ44</f>
        <v>NO</v>
      </c>
      <c r="AK44" s="89">
        <f>'[1]OMM_Unit Matrix'!AK44</f>
        <v>0</v>
      </c>
      <c r="AL44" s="89" t="str">
        <f>'[1]OMM_Unit Matrix'!AL44</f>
        <v>NO</v>
      </c>
      <c r="AM44" s="89">
        <f>'[1]OMM_Unit Matrix'!AM44</f>
        <v>0</v>
      </c>
      <c r="AN44" s="89" t="str">
        <f>'[1]OMM_Unit Matrix'!AN44</f>
        <v>NO</v>
      </c>
      <c r="AO44" s="89">
        <f>'[1]OMM_Unit Matrix'!AO44</f>
        <v>0</v>
      </c>
      <c r="AP44" s="89" t="str">
        <f>'[1]OMM_Unit Matrix'!AP44</f>
        <v>NO</v>
      </c>
      <c r="AQ44" s="89">
        <f>'[1]OMM_Unit Matrix'!AQ44</f>
        <v>0</v>
      </c>
      <c r="AS44" s="244"/>
      <c r="AT44" s="244"/>
      <c r="AU44" s="244"/>
    </row>
    <row r="45" spans="2:47" ht="15" customHeight="1">
      <c r="B45" s="89">
        <f>'[1]OMM_Unit Matrix'!B45</f>
        <v>3</v>
      </c>
      <c r="C45" s="275">
        <f>'[1]OMM_Unit Matrix'!C45</f>
        <v>7</v>
      </c>
      <c r="D45" s="89">
        <f>'[1]OMM_Unit Matrix'!D45</f>
        <v>3007</v>
      </c>
      <c r="E45" s="89" t="str">
        <f>'[1]OMM_Unit Matrix'!E45</f>
        <v>YES</v>
      </c>
      <c r="F45" s="132" t="str">
        <f>'[1]OMM_Unit Matrix'!F45</f>
        <v>3005.06.07</v>
      </c>
      <c r="G45" s="89" t="str">
        <f>'[1]OMM_Unit Matrix'!G45</f>
        <v>ORDERED</v>
      </c>
      <c r="H45" s="89" t="str">
        <f>'[1]OMM_Unit Matrix'!H45</f>
        <v>NO</v>
      </c>
      <c r="I45" s="89">
        <f>'[1]OMM_Unit Matrix'!I45</f>
        <v>0</v>
      </c>
      <c r="J45" s="89" t="str">
        <f>'[1]OMM_Unit Matrix'!J45</f>
        <v>NO</v>
      </c>
      <c r="K45" s="89">
        <f>'[1]OMM_Unit Matrix'!K45</f>
        <v>0</v>
      </c>
      <c r="L45" s="89" t="str">
        <f>'[1]OMM_Unit Matrix'!L45</f>
        <v>NO</v>
      </c>
      <c r="M45" s="89">
        <f>'[1]OMM_Unit Matrix'!M45</f>
        <v>0</v>
      </c>
      <c r="N45" s="89" t="str">
        <f>'[1]OMM_Unit Matrix'!N45</f>
        <v>NO</v>
      </c>
      <c r="O45" s="89">
        <f>'[1]OMM_Unit Matrix'!O45</f>
        <v>0</v>
      </c>
      <c r="P45" s="89" t="str">
        <f>'[1]OMM_Unit Matrix'!P45</f>
        <v>NO</v>
      </c>
      <c r="Q45" s="89">
        <f>'[1]OMM_Unit Matrix'!Q45</f>
        <v>0</v>
      </c>
      <c r="R45" s="89" t="str">
        <f>'[1]OMM_Unit Matrix'!R45</f>
        <v>NO</v>
      </c>
      <c r="S45" s="89">
        <f>'[1]OMM_Unit Matrix'!S45</f>
        <v>0</v>
      </c>
      <c r="T45" s="89" t="str">
        <f>'[1]OMM_Unit Matrix'!T45</f>
        <v>NO</v>
      </c>
      <c r="U45" s="89">
        <f>'[1]OMM_Unit Matrix'!U45</f>
        <v>0</v>
      </c>
      <c r="V45" s="89" t="str">
        <f>'[1]OMM_Unit Matrix'!V45</f>
        <v>NO</v>
      </c>
      <c r="W45" s="89">
        <f>'[1]OMM_Unit Matrix'!W45</f>
        <v>0</v>
      </c>
      <c r="X45" s="89" t="str">
        <f>'[1]OMM_Unit Matrix'!X45</f>
        <v>NO</v>
      </c>
      <c r="Y45" s="89">
        <f>'[1]OMM_Unit Matrix'!Y45</f>
        <v>0</v>
      </c>
      <c r="Z45" s="89" t="str">
        <f>'[1]OMM_Unit Matrix'!Z45</f>
        <v>NO</v>
      </c>
      <c r="AA45" s="89">
        <f>'[1]OMM_Unit Matrix'!AA45</f>
        <v>0</v>
      </c>
      <c r="AB45" s="89" t="str">
        <f>'[1]OMM_Unit Matrix'!AB45</f>
        <v>NO</v>
      </c>
      <c r="AC45" s="89">
        <f>'[1]OMM_Unit Matrix'!AC45</f>
        <v>0</v>
      </c>
      <c r="AD45" s="89" t="str">
        <f>'[1]OMM_Unit Matrix'!AD45</f>
        <v>NO</v>
      </c>
      <c r="AE45" s="89">
        <f>'[1]OMM_Unit Matrix'!AE45</f>
        <v>0</v>
      </c>
      <c r="AF45" s="89" t="str">
        <f>'[1]OMM_Unit Matrix'!AF45</f>
        <v>NO</v>
      </c>
      <c r="AG45" s="89">
        <f>'[1]OMM_Unit Matrix'!AG45</f>
        <v>0</v>
      </c>
      <c r="AH45" s="89" t="str">
        <f>'[1]OMM_Unit Matrix'!AH45</f>
        <v>NO</v>
      </c>
      <c r="AI45" s="89">
        <f>'[1]OMM_Unit Matrix'!AI45</f>
        <v>0</v>
      </c>
      <c r="AJ45" s="89" t="str">
        <f>'[1]OMM_Unit Matrix'!AJ45</f>
        <v>NO</v>
      </c>
      <c r="AK45" s="89">
        <f>'[1]OMM_Unit Matrix'!AK45</f>
        <v>0</v>
      </c>
      <c r="AL45" s="89" t="str">
        <f>'[1]OMM_Unit Matrix'!AL45</f>
        <v>NO</v>
      </c>
      <c r="AM45" s="89">
        <f>'[1]OMM_Unit Matrix'!AM45</f>
        <v>0</v>
      </c>
      <c r="AN45" s="89" t="str">
        <f>'[1]OMM_Unit Matrix'!AN45</f>
        <v>NO</v>
      </c>
      <c r="AO45" s="89">
        <f>'[1]OMM_Unit Matrix'!AO45</f>
        <v>0</v>
      </c>
      <c r="AP45" s="89" t="str">
        <f>'[1]OMM_Unit Matrix'!AP45</f>
        <v>NO</v>
      </c>
      <c r="AQ45" s="89">
        <f>'[1]OMM_Unit Matrix'!AQ45</f>
        <v>0</v>
      </c>
      <c r="AS45" s="244"/>
      <c r="AT45" s="244"/>
      <c r="AU45" s="244"/>
    </row>
    <row r="46" spans="2:47" ht="15" hidden="1" customHeight="1">
      <c r="B46" s="89">
        <f>'[1]OMM_Unit Matrix'!B46</f>
        <v>3</v>
      </c>
      <c r="C46" s="275">
        <f>'[1]OMM_Unit Matrix'!C46</f>
        <v>8</v>
      </c>
      <c r="D46" s="89">
        <f>'[1]OMM_Unit Matrix'!D46</f>
        <v>3008</v>
      </c>
      <c r="E46" s="89">
        <f>'[1]OMM_Unit Matrix'!E46</f>
        <v>0</v>
      </c>
      <c r="F46" s="89">
        <f>'[1]OMM_Unit Matrix'!F46</f>
        <v>0</v>
      </c>
      <c r="G46" s="89" t="str">
        <f>'[1]OMM_Unit Matrix'!G46</f>
        <v>NOT IN SCOPE</v>
      </c>
      <c r="H46" s="89">
        <f>'[1]OMM_Unit Matrix'!H46</f>
        <v>0</v>
      </c>
      <c r="I46" s="89">
        <f>'[1]OMM_Unit Matrix'!I46</f>
        <v>0</v>
      </c>
      <c r="J46" s="89">
        <f>'[1]OMM_Unit Matrix'!J46</f>
        <v>0</v>
      </c>
      <c r="K46" s="89">
        <f>'[1]OMM_Unit Matrix'!K46</f>
        <v>0</v>
      </c>
      <c r="L46" s="89">
        <f>'[1]OMM_Unit Matrix'!L46</f>
        <v>0</v>
      </c>
      <c r="M46" s="89">
        <f>'[1]OMM_Unit Matrix'!M46</f>
        <v>0</v>
      </c>
      <c r="N46" s="89">
        <f>'[1]OMM_Unit Matrix'!N46</f>
        <v>0</v>
      </c>
      <c r="O46" s="89">
        <f>'[1]OMM_Unit Matrix'!O46</f>
        <v>0</v>
      </c>
      <c r="P46" s="89">
        <f>'[1]OMM_Unit Matrix'!P46</f>
        <v>0</v>
      </c>
      <c r="Q46" s="89">
        <f>'[1]OMM_Unit Matrix'!Q46</f>
        <v>0</v>
      </c>
      <c r="R46" s="89">
        <f>'[1]OMM_Unit Matrix'!R46</f>
        <v>0</v>
      </c>
      <c r="S46" s="89">
        <f>'[1]OMM_Unit Matrix'!S46</f>
        <v>0</v>
      </c>
      <c r="T46" s="89">
        <f>'[1]OMM_Unit Matrix'!T46</f>
        <v>0</v>
      </c>
      <c r="U46" s="89">
        <f>'[1]OMM_Unit Matrix'!U46</f>
        <v>0</v>
      </c>
      <c r="V46" s="89">
        <f>'[1]OMM_Unit Matrix'!V46</f>
        <v>0</v>
      </c>
      <c r="W46" s="89">
        <f>'[1]OMM_Unit Matrix'!W46</f>
        <v>0</v>
      </c>
      <c r="X46" s="89">
        <f>'[1]OMM_Unit Matrix'!X46</f>
        <v>0</v>
      </c>
      <c r="Y46" s="89">
        <f>'[1]OMM_Unit Matrix'!Y46</f>
        <v>0</v>
      </c>
      <c r="Z46" s="89">
        <f>'[1]OMM_Unit Matrix'!Z46</f>
        <v>0</v>
      </c>
      <c r="AA46" s="89">
        <f>'[1]OMM_Unit Matrix'!AA46</f>
        <v>0</v>
      </c>
      <c r="AB46" s="89">
        <f>'[1]OMM_Unit Matrix'!AB46</f>
        <v>0</v>
      </c>
      <c r="AC46" s="89">
        <f>'[1]OMM_Unit Matrix'!AC46</f>
        <v>0</v>
      </c>
      <c r="AD46" s="89">
        <f>'[1]OMM_Unit Matrix'!AD46</f>
        <v>0</v>
      </c>
      <c r="AE46" s="89">
        <f>'[1]OMM_Unit Matrix'!AE46</f>
        <v>0</v>
      </c>
      <c r="AF46" s="89">
        <f>'[1]OMM_Unit Matrix'!AF46</f>
        <v>0</v>
      </c>
      <c r="AG46" s="89">
        <f>'[1]OMM_Unit Matrix'!AG46</f>
        <v>0</v>
      </c>
      <c r="AH46" s="89">
        <f>'[1]OMM_Unit Matrix'!AH46</f>
        <v>0</v>
      </c>
      <c r="AI46" s="89">
        <f>'[1]OMM_Unit Matrix'!AI46</f>
        <v>0</v>
      </c>
      <c r="AJ46" s="89">
        <f>'[1]OMM_Unit Matrix'!AJ46</f>
        <v>0</v>
      </c>
      <c r="AK46" s="89">
        <f>'[1]OMM_Unit Matrix'!AK46</f>
        <v>0</v>
      </c>
      <c r="AL46" s="89">
        <f>'[1]OMM_Unit Matrix'!AL46</f>
        <v>0</v>
      </c>
      <c r="AM46" s="89">
        <f>'[1]OMM_Unit Matrix'!AM46</f>
        <v>0</v>
      </c>
      <c r="AN46" s="89">
        <f>'[1]OMM_Unit Matrix'!AN46</f>
        <v>0</v>
      </c>
      <c r="AO46" s="89">
        <f>'[1]OMM_Unit Matrix'!AO46</f>
        <v>0</v>
      </c>
      <c r="AP46" s="89">
        <f>'[1]OMM_Unit Matrix'!AP46</f>
        <v>0</v>
      </c>
      <c r="AQ46" s="270">
        <f>'[1]OMM_Unit Matrix'!AQ46</f>
        <v>0</v>
      </c>
      <c r="AS46" s="244"/>
      <c r="AT46" s="244"/>
      <c r="AU46" s="244"/>
    </row>
    <row r="47" spans="2:47" ht="17.45" hidden="1">
      <c r="B47" s="89">
        <f>'[1]OMM_Unit Matrix'!B47</f>
        <v>3</v>
      </c>
      <c r="C47" s="275">
        <f>'[1]OMM_Unit Matrix'!C47</f>
        <v>9</v>
      </c>
      <c r="D47" s="89">
        <f>'[1]OMM_Unit Matrix'!D47</f>
        <v>3009</v>
      </c>
      <c r="E47" s="89">
        <f>'[1]OMM_Unit Matrix'!E47</f>
        <v>0</v>
      </c>
      <c r="F47" s="89">
        <f>'[1]OMM_Unit Matrix'!F47</f>
        <v>0</v>
      </c>
      <c r="G47" s="89" t="str">
        <f>'[1]OMM_Unit Matrix'!G47</f>
        <v>NOT IN SCOPE</v>
      </c>
      <c r="H47" s="89">
        <f>'[1]OMM_Unit Matrix'!H47</f>
        <v>0</v>
      </c>
      <c r="I47" s="89">
        <f>'[1]OMM_Unit Matrix'!I47</f>
        <v>0</v>
      </c>
      <c r="J47" s="89">
        <f>'[1]OMM_Unit Matrix'!J47</f>
        <v>0</v>
      </c>
      <c r="K47" s="89">
        <f>'[1]OMM_Unit Matrix'!K47</f>
        <v>0</v>
      </c>
      <c r="L47" s="89">
        <f>'[1]OMM_Unit Matrix'!L47</f>
        <v>0</v>
      </c>
      <c r="M47" s="89">
        <f>'[1]OMM_Unit Matrix'!M47</f>
        <v>0</v>
      </c>
      <c r="N47" s="89">
        <f>'[1]OMM_Unit Matrix'!N47</f>
        <v>0</v>
      </c>
      <c r="O47" s="89">
        <f>'[1]OMM_Unit Matrix'!O47</f>
        <v>0</v>
      </c>
      <c r="P47" s="89">
        <f>'[1]OMM_Unit Matrix'!P47</f>
        <v>0</v>
      </c>
      <c r="Q47" s="89">
        <f>'[1]OMM_Unit Matrix'!Q47</f>
        <v>0</v>
      </c>
      <c r="R47" s="89">
        <f>'[1]OMM_Unit Matrix'!R47</f>
        <v>0</v>
      </c>
      <c r="S47" s="89">
        <f>'[1]OMM_Unit Matrix'!S47</f>
        <v>0</v>
      </c>
      <c r="T47" s="89">
        <f>'[1]OMM_Unit Matrix'!T47</f>
        <v>0</v>
      </c>
      <c r="U47" s="89">
        <f>'[1]OMM_Unit Matrix'!U47</f>
        <v>0</v>
      </c>
      <c r="V47" s="89">
        <f>'[1]OMM_Unit Matrix'!V47</f>
        <v>0</v>
      </c>
      <c r="W47" s="89">
        <f>'[1]OMM_Unit Matrix'!W47</f>
        <v>0</v>
      </c>
      <c r="X47" s="89">
        <f>'[1]OMM_Unit Matrix'!X47</f>
        <v>0</v>
      </c>
      <c r="Y47" s="89">
        <f>'[1]OMM_Unit Matrix'!Y47</f>
        <v>0</v>
      </c>
      <c r="Z47" s="89">
        <f>'[1]OMM_Unit Matrix'!Z47</f>
        <v>0</v>
      </c>
      <c r="AA47" s="89">
        <f>'[1]OMM_Unit Matrix'!AA47</f>
        <v>0</v>
      </c>
      <c r="AB47" s="89">
        <f>'[1]OMM_Unit Matrix'!AB47</f>
        <v>0</v>
      </c>
      <c r="AC47" s="89">
        <f>'[1]OMM_Unit Matrix'!AC47</f>
        <v>0</v>
      </c>
      <c r="AD47" s="89">
        <f>'[1]OMM_Unit Matrix'!AD47</f>
        <v>0</v>
      </c>
      <c r="AE47" s="89">
        <f>'[1]OMM_Unit Matrix'!AE47</f>
        <v>0</v>
      </c>
      <c r="AF47" s="89">
        <f>'[1]OMM_Unit Matrix'!AF47</f>
        <v>0</v>
      </c>
      <c r="AG47" s="89">
        <f>'[1]OMM_Unit Matrix'!AG47</f>
        <v>0</v>
      </c>
      <c r="AH47" s="89">
        <f>'[1]OMM_Unit Matrix'!AH47</f>
        <v>0</v>
      </c>
      <c r="AI47" s="89">
        <f>'[1]OMM_Unit Matrix'!AI47</f>
        <v>0</v>
      </c>
      <c r="AJ47" s="89">
        <f>'[1]OMM_Unit Matrix'!AJ47</f>
        <v>0</v>
      </c>
      <c r="AK47" s="89">
        <f>'[1]OMM_Unit Matrix'!AK47</f>
        <v>0</v>
      </c>
      <c r="AL47" s="89">
        <f>'[1]OMM_Unit Matrix'!AL47</f>
        <v>0</v>
      </c>
      <c r="AM47" s="89">
        <f>'[1]OMM_Unit Matrix'!AM47</f>
        <v>0</v>
      </c>
      <c r="AN47" s="89">
        <f>'[1]OMM_Unit Matrix'!AN47</f>
        <v>0</v>
      </c>
      <c r="AO47" s="89">
        <f>'[1]OMM_Unit Matrix'!AO47</f>
        <v>0</v>
      </c>
      <c r="AP47" s="89">
        <f>'[1]OMM_Unit Matrix'!AP47</f>
        <v>0</v>
      </c>
      <c r="AQ47" s="270">
        <f>'[1]OMM_Unit Matrix'!AQ47</f>
        <v>0</v>
      </c>
      <c r="AS47" s="244"/>
      <c r="AT47" s="244"/>
      <c r="AU47" s="244"/>
    </row>
    <row r="48" spans="2:47" ht="17.45" hidden="1">
      <c r="B48" s="89">
        <f>'[1]OMM_Unit Matrix'!B48</f>
        <v>3</v>
      </c>
      <c r="C48" s="275">
        <f>'[1]OMM_Unit Matrix'!C48</f>
        <v>10</v>
      </c>
      <c r="D48" s="89">
        <f>'[1]OMM_Unit Matrix'!D48</f>
        <v>3010</v>
      </c>
      <c r="E48" s="89">
        <f>'[1]OMM_Unit Matrix'!E48</f>
        <v>0</v>
      </c>
      <c r="F48" s="89">
        <f>'[1]OMM_Unit Matrix'!F48</f>
        <v>0</v>
      </c>
      <c r="G48" s="89" t="str">
        <f>'[1]OMM_Unit Matrix'!G48</f>
        <v>NOT IN SCOPE</v>
      </c>
      <c r="H48" s="89">
        <f>'[1]OMM_Unit Matrix'!H48</f>
        <v>0</v>
      </c>
      <c r="I48" s="89">
        <f>'[1]OMM_Unit Matrix'!I48</f>
        <v>0</v>
      </c>
      <c r="J48" s="89">
        <f>'[1]OMM_Unit Matrix'!J48</f>
        <v>0</v>
      </c>
      <c r="K48" s="89">
        <f>'[1]OMM_Unit Matrix'!K48</f>
        <v>0</v>
      </c>
      <c r="L48" s="89">
        <f>'[1]OMM_Unit Matrix'!L48</f>
        <v>0</v>
      </c>
      <c r="M48" s="89">
        <f>'[1]OMM_Unit Matrix'!M48</f>
        <v>0</v>
      </c>
      <c r="N48" s="89">
        <f>'[1]OMM_Unit Matrix'!N48</f>
        <v>0</v>
      </c>
      <c r="O48" s="89">
        <f>'[1]OMM_Unit Matrix'!O48</f>
        <v>0</v>
      </c>
      <c r="P48" s="89">
        <f>'[1]OMM_Unit Matrix'!P48</f>
        <v>0</v>
      </c>
      <c r="Q48" s="89">
        <f>'[1]OMM_Unit Matrix'!Q48</f>
        <v>0</v>
      </c>
      <c r="R48" s="89">
        <f>'[1]OMM_Unit Matrix'!R48</f>
        <v>0</v>
      </c>
      <c r="S48" s="89">
        <f>'[1]OMM_Unit Matrix'!S48</f>
        <v>0</v>
      </c>
      <c r="T48" s="89">
        <f>'[1]OMM_Unit Matrix'!T48</f>
        <v>0</v>
      </c>
      <c r="U48" s="89">
        <f>'[1]OMM_Unit Matrix'!U48</f>
        <v>0</v>
      </c>
      <c r="V48" s="89">
        <f>'[1]OMM_Unit Matrix'!V48</f>
        <v>0</v>
      </c>
      <c r="W48" s="89">
        <f>'[1]OMM_Unit Matrix'!W48</f>
        <v>0</v>
      </c>
      <c r="X48" s="89">
        <f>'[1]OMM_Unit Matrix'!X48</f>
        <v>0</v>
      </c>
      <c r="Y48" s="89">
        <f>'[1]OMM_Unit Matrix'!Y48</f>
        <v>0</v>
      </c>
      <c r="Z48" s="89">
        <f>'[1]OMM_Unit Matrix'!Z48</f>
        <v>0</v>
      </c>
      <c r="AA48" s="89">
        <f>'[1]OMM_Unit Matrix'!AA48</f>
        <v>0</v>
      </c>
      <c r="AB48" s="89">
        <f>'[1]OMM_Unit Matrix'!AB48</f>
        <v>0</v>
      </c>
      <c r="AC48" s="89">
        <f>'[1]OMM_Unit Matrix'!AC48</f>
        <v>0</v>
      </c>
      <c r="AD48" s="89">
        <f>'[1]OMM_Unit Matrix'!AD48</f>
        <v>0</v>
      </c>
      <c r="AE48" s="89">
        <f>'[1]OMM_Unit Matrix'!AE48</f>
        <v>0</v>
      </c>
      <c r="AF48" s="89">
        <f>'[1]OMM_Unit Matrix'!AF48</f>
        <v>0</v>
      </c>
      <c r="AG48" s="89">
        <f>'[1]OMM_Unit Matrix'!AG48</f>
        <v>0</v>
      </c>
      <c r="AH48" s="89">
        <f>'[1]OMM_Unit Matrix'!AH48</f>
        <v>0</v>
      </c>
      <c r="AI48" s="89">
        <f>'[1]OMM_Unit Matrix'!AI48</f>
        <v>0</v>
      </c>
      <c r="AJ48" s="89">
        <f>'[1]OMM_Unit Matrix'!AJ48</f>
        <v>0</v>
      </c>
      <c r="AK48" s="89">
        <f>'[1]OMM_Unit Matrix'!AK48</f>
        <v>0</v>
      </c>
      <c r="AL48" s="89">
        <f>'[1]OMM_Unit Matrix'!AL48</f>
        <v>0</v>
      </c>
      <c r="AM48" s="89">
        <f>'[1]OMM_Unit Matrix'!AM48</f>
        <v>0</v>
      </c>
      <c r="AN48" s="89">
        <f>'[1]OMM_Unit Matrix'!AN48</f>
        <v>0</v>
      </c>
      <c r="AO48" s="89">
        <f>'[1]OMM_Unit Matrix'!AO48</f>
        <v>0</v>
      </c>
      <c r="AP48" s="89">
        <f>'[1]OMM_Unit Matrix'!AP48</f>
        <v>0</v>
      </c>
      <c r="AQ48" s="270">
        <f>'[1]OMM_Unit Matrix'!AQ48</f>
        <v>0</v>
      </c>
      <c r="AS48" s="244"/>
      <c r="AT48" s="244"/>
      <c r="AU48" s="244"/>
    </row>
    <row r="49" spans="2:47" ht="17.45" hidden="1">
      <c r="B49" s="89">
        <f>'[1]OMM_Unit Matrix'!B49</f>
        <v>3</v>
      </c>
      <c r="C49" s="275">
        <f>'[1]OMM_Unit Matrix'!C49</f>
        <v>11</v>
      </c>
      <c r="D49" s="89">
        <f>'[1]OMM_Unit Matrix'!D49</f>
        <v>3011</v>
      </c>
      <c r="E49" s="89">
        <f>'[1]OMM_Unit Matrix'!E49</f>
        <v>0</v>
      </c>
      <c r="F49" s="89">
        <f>'[1]OMM_Unit Matrix'!F49</f>
        <v>0</v>
      </c>
      <c r="G49" s="89" t="str">
        <f>'[1]OMM_Unit Matrix'!G49</f>
        <v>NOT IN SCOPE</v>
      </c>
      <c r="H49" s="89">
        <f>'[1]OMM_Unit Matrix'!H49</f>
        <v>0</v>
      </c>
      <c r="I49" s="89">
        <f>'[1]OMM_Unit Matrix'!I49</f>
        <v>0</v>
      </c>
      <c r="J49" s="89">
        <f>'[1]OMM_Unit Matrix'!J49</f>
        <v>0</v>
      </c>
      <c r="K49" s="89">
        <f>'[1]OMM_Unit Matrix'!K49</f>
        <v>0</v>
      </c>
      <c r="L49" s="89">
        <f>'[1]OMM_Unit Matrix'!L49</f>
        <v>0</v>
      </c>
      <c r="M49" s="89">
        <f>'[1]OMM_Unit Matrix'!M49</f>
        <v>0</v>
      </c>
      <c r="N49" s="89">
        <f>'[1]OMM_Unit Matrix'!N49</f>
        <v>0</v>
      </c>
      <c r="O49" s="89">
        <f>'[1]OMM_Unit Matrix'!O49</f>
        <v>0</v>
      </c>
      <c r="P49" s="89">
        <f>'[1]OMM_Unit Matrix'!P49</f>
        <v>0</v>
      </c>
      <c r="Q49" s="89">
        <f>'[1]OMM_Unit Matrix'!Q49</f>
        <v>0</v>
      </c>
      <c r="R49" s="89">
        <f>'[1]OMM_Unit Matrix'!R49</f>
        <v>0</v>
      </c>
      <c r="S49" s="89">
        <f>'[1]OMM_Unit Matrix'!S49</f>
        <v>0</v>
      </c>
      <c r="T49" s="89">
        <f>'[1]OMM_Unit Matrix'!T49</f>
        <v>0</v>
      </c>
      <c r="U49" s="89">
        <f>'[1]OMM_Unit Matrix'!U49</f>
        <v>0</v>
      </c>
      <c r="V49" s="89">
        <f>'[1]OMM_Unit Matrix'!V49</f>
        <v>0</v>
      </c>
      <c r="W49" s="89">
        <f>'[1]OMM_Unit Matrix'!W49</f>
        <v>0</v>
      </c>
      <c r="X49" s="89">
        <f>'[1]OMM_Unit Matrix'!X49</f>
        <v>0</v>
      </c>
      <c r="Y49" s="89">
        <f>'[1]OMM_Unit Matrix'!Y49</f>
        <v>0</v>
      </c>
      <c r="Z49" s="89">
        <f>'[1]OMM_Unit Matrix'!Z49</f>
        <v>0</v>
      </c>
      <c r="AA49" s="89">
        <f>'[1]OMM_Unit Matrix'!AA49</f>
        <v>0</v>
      </c>
      <c r="AB49" s="89">
        <f>'[1]OMM_Unit Matrix'!AB49</f>
        <v>0</v>
      </c>
      <c r="AC49" s="89">
        <f>'[1]OMM_Unit Matrix'!AC49</f>
        <v>0</v>
      </c>
      <c r="AD49" s="89">
        <f>'[1]OMM_Unit Matrix'!AD49</f>
        <v>0</v>
      </c>
      <c r="AE49" s="89">
        <f>'[1]OMM_Unit Matrix'!AE49</f>
        <v>0</v>
      </c>
      <c r="AF49" s="89">
        <f>'[1]OMM_Unit Matrix'!AF49</f>
        <v>0</v>
      </c>
      <c r="AG49" s="89">
        <f>'[1]OMM_Unit Matrix'!AG49</f>
        <v>0</v>
      </c>
      <c r="AH49" s="89">
        <f>'[1]OMM_Unit Matrix'!AH49</f>
        <v>0</v>
      </c>
      <c r="AI49" s="89">
        <f>'[1]OMM_Unit Matrix'!AI49</f>
        <v>0</v>
      </c>
      <c r="AJ49" s="89">
        <f>'[1]OMM_Unit Matrix'!AJ49</f>
        <v>0</v>
      </c>
      <c r="AK49" s="89">
        <f>'[1]OMM_Unit Matrix'!AK49</f>
        <v>0</v>
      </c>
      <c r="AL49" s="89">
        <f>'[1]OMM_Unit Matrix'!AL49</f>
        <v>0</v>
      </c>
      <c r="AM49" s="89">
        <f>'[1]OMM_Unit Matrix'!AM49</f>
        <v>0</v>
      </c>
      <c r="AN49" s="89">
        <f>'[1]OMM_Unit Matrix'!AN49</f>
        <v>0</v>
      </c>
      <c r="AO49" s="89">
        <f>'[1]OMM_Unit Matrix'!AO49</f>
        <v>0</v>
      </c>
      <c r="AP49" s="89">
        <f>'[1]OMM_Unit Matrix'!AP49</f>
        <v>0</v>
      </c>
      <c r="AQ49" s="270">
        <f>'[1]OMM_Unit Matrix'!AQ49</f>
        <v>0</v>
      </c>
      <c r="AS49" s="244"/>
      <c r="AT49" s="244"/>
      <c r="AU49" s="244"/>
    </row>
    <row r="50" spans="2:47" ht="17.45" hidden="1">
      <c r="B50" s="89">
        <f>'[1]OMM_Unit Matrix'!B50</f>
        <v>3</v>
      </c>
      <c r="C50" s="275">
        <f>'[1]OMM_Unit Matrix'!C50</f>
        <v>12</v>
      </c>
      <c r="D50" s="89">
        <f>'[1]OMM_Unit Matrix'!D50</f>
        <v>3012</v>
      </c>
      <c r="E50" s="89">
        <f>'[1]OMM_Unit Matrix'!E50</f>
        <v>0</v>
      </c>
      <c r="F50" s="89">
        <f>'[1]OMM_Unit Matrix'!F50</f>
        <v>0</v>
      </c>
      <c r="G50" s="89" t="str">
        <f>'[1]OMM_Unit Matrix'!G50</f>
        <v>NOT IN SCOPE</v>
      </c>
      <c r="H50" s="89">
        <f>'[1]OMM_Unit Matrix'!H50</f>
        <v>0</v>
      </c>
      <c r="I50" s="89">
        <f>'[1]OMM_Unit Matrix'!I50</f>
        <v>0</v>
      </c>
      <c r="J50" s="89">
        <f>'[1]OMM_Unit Matrix'!J50</f>
        <v>0</v>
      </c>
      <c r="K50" s="89">
        <f>'[1]OMM_Unit Matrix'!K50</f>
        <v>0</v>
      </c>
      <c r="L50" s="89">
        <f>'[1]OMM_Unit Matrix'!L50</f>
        <v>0</v>
      </c>
      <c r="M50" s="89">
        <f>'[1]OMM_Unit Matrix'!M50</f>
        <v>0</v>
      </c>
      <c r="N50" s="89">
        <f>'[1]OMM_Unit Matrix'!N50</f>
        <v>0</v>
      </c>
      <c r="O50" s="89">
        <f>'[1]OMM_Unit Matrix'!O50</f>
        <v>0</v>
      </c>
      <c r="P50" s="89">
        <f>'[1]OMM_Unit Matrix'!P50</f>
        <v>0</v>
      </c>
      <c r="Q50" s="89">
        <f>'[1]OMM_Unit Matrix'!Q50</f>
        <v>0</v>
      </c>
      <c r="R50" s="89">
        <f>'[1]OMM_Unit Matrix'!R50</f>
        <v>0</v>
      </c>
      <c r="S50" s="89">
        <f>'[1]OMM_Unit Matrix'!S50</f>
        <v>0</v>
      </c>
      <c r="T50" s="89">
        <f>'[1]OMM_Unit Matrix'!T50</f>
        <v>0</v>
      </c>
      <c r="U50" s="89">
        <f>'[1]OMM_Unit Matrix'!U50</f>
        <v>0</v>
      </c>
      <c r="V50" s="89">
        <f>'[1]OMM_Unit Matrix'!V50</f>
        <v>0</v>
      </c>
      <c r="W50" s="89">
        <f>'[1]OMM_Unit Matrix'!W50</f>
        <v>0</v>
      </c>
      <c r="X50" s="89">
        <f>'[1]OMM_Unit Matrix'!X50</f>
        <v>0</v>
      </c>
      <c r="Y50" s="89">
        <f>'[1]OMM_Unit Matrix'!Y50</f>
        <v>0</v>
      </c>
      <c r="Z50" s="89">
        <f>'[1]OMM_Unit Matrix'!Z50</f>
        <v>0</v>
      </c>
      <c r="AA50" s="89">
        <f>'[1]OMM_Unit Matrix'!AA50</f>
        <v>0</v>
      </c>
      <c r="AB50" s="89">
        <f>'[1]OMM_Unit Matrix'!AB50</f>
        <v>0</v>
      </c>
      <c r="AC50" s="89">
        <f>'[1]OMM_Unit Matrix'!AC50</f>
        <v>0</v>
      </c>
      <c r="AD50" s="89">
        <f>'[1]OMM_Unit Matrix'!AD50</f>
        <v>0</v>
      </c>
      <c r="AE50" s="89">
        <f>'[1]OMM_Unit Matrix'!AE50</f>
        <v>0</v>
      </c>
      <c r="AF50" s="89">
        <f>'[1]OMM_Unit Matrix'!AF50</f>
        <v>0</v>
      </c>
      <c r="AG50" s="89">
        <f>'[1]OMM_Unit Matrix'!AG50</f>
        <v>0</v>
      </c>
      <c r="AH50" s="89">
        <f>'[1]OMM_Unit Matrix'!AH50</f>
        <v>0</v>
      </c>
      <c r="AI50" s="89">
        <f>'[1]OMM_Unit Matrix'!AI50</f>
        <v>0</v>
      </c>
      <c r="AJ50" s="89">
        <f>'[1]OMM_Unit Matrix'!AJ50</f>
        <v>0</v>
      </c>
      <c r="AK50" s="89">
        <f>'[1]OMM_Unit Matrix'!AK50</f>
        <v>0</v>
      </c>
      <c r="AL50" s="89">
        <f>'[1]OMM_Unit Matrix'!AL50</f>
        <v>0</v>
      </c>
      <c r="AM50" s="89">
        <f>'[1]OMM_Unit Matrix'!AM50</f>
        <v>0</v>
      </c>
      <c r="AN50" s="89">
        <f>'[1]OMM_Unit Matrix'!AN50</f>
        <v>0</v>
      </c>
      <c r="AO50" s="89">
        <f>'[1]OMM_Unit Matrix'!AO50</f>
        <v>0</v>
      </c>
      <c r="AP50" s="89">
        <f>'[1]OMM_Unit Matrix'!AP50</f>
        <v>0</v>
      </c>
      <c r="AQ50" s="270">
        <f>'[1]OMM_Unit Matrix'!AQ50</f>
        <v>0</v>
      </c>
      <c r="AS50" s="244"/>
      <c r="AT50" s="244"/>
      <c r="AU50" s="244"/>
    </row>
    <row r="51" spans="2:47" ht="17.45" hidden="1">
      <c r="B51" s="89">
        <f>'[1]OMM_Unit Matrix'!B51</f>
        <v>3</v>
      </c>
      <c r="C51" s="275">
        <f>'[1]OMM_Unit Matrix'!C51</f>
        <v>13</v>
      </c>
      <c r="D51" s="89">
        <f>'[1]OMM_Unit Matrix'!D51</f>
        <v>3013</v>
      </c>
      <c r="E51" s="89">
        <f>'[1]OMM_Unit Matrix'!E51</f>
        <v>0</v>
      </c>
      <c r="F51" s="89">
        <f>'[1]OMM_Unit Matrix'!F51</f>
        <v>0</v>
      </c>
      <c r="G51" s="89" t="str">
        <f>'[1]OMM_Unit Matrix'!G51</f>
        <v>NOT IN SCOPE</v>
      </c>
      <c r="H51" s="89">
        <f>'[1]OMM_Unit Matrix'!H51</f>
        <v>0</v>
      </c>
      <c r="I51" s="89">
        <f>'[1]OMM_Unit Matrix'!I51</f>
        <v>0</v>
      </c>
      <c r="J51" s="89">
        <f>'[1]OMM_Unit Matrix'!J51</f>
        <v>0</v>
      </c>
      <c r="K51" s="89">
        <f>'[1]OMM_Unit Matrix'!K51</f>
        <v>0</v>
      </c>
      <c r="L51" s="89">
        <f>'[1]OMM_Unit Matrix'!L51</f>
        <v>0</v>
      </c>
      <c r="M51" s="89">
        <f>'[1]OMM_Unit Matrix'!M51</f>
        <v>0</v>
      </c>
      <c r="N51" s="89">
        <f>'[1]OMM_Unit Matrix'!N51</f>
        <v>0</v>
      </c>
      <c r="O51" s="89">
        <f>'[1]OMM_Unit Matrix'!O51</f>
        <v>0</v>
      </c>
      <c r="P51" s="89">
        <f>'[1]OMM_Unit Matrix'!P51</f>
        <v>0</v>
      </c>
      <c r="Q51" s="89">
        <f>'[1]OMM_Unit Matrix'!Q51</f>
        <v>0</v>
      </c>
      <c r="R51" s="89">
        <f>'[1]OMM_Unit Matrix'!R51</f>
        <v>0</v>
      </c>
      <c r="S51" s="89">
        <f>'[1]OMM_Unit Matrix'!S51</f>
        <v>0</v>
      </c>
      <c r="T51" s="89">
        <f>'[1]OMM_Unit Matrix'!T51</f>
        <v>0</v>
      </c>
      <c r="U51" s="89">
        <f>'[1]OMM_Unit Matrix'!U51</f>
        <v>0</v>
      </c>
      <c r="V51" s="89">
        <f>'[1]OMM_Unit Matrix'!V51</f>
        <v>0</v>
      </c>
      <c r="W51" s="89">
        <f>'[1]OMM_Unit Matrix'!W51</f>
        <v>0</v>
      </c>
      <c r="X51" s="89">
        <f>'[1]OMM_Unit Matrix'!X51</f>
        <v>0</v>
      </c>
      <c r="Y51" s="89">
        <f>'[1]OMM_Unit Matrix'!Y51</f>
        <v>0</v>
      </c>
      <c r="Z51" s="89">
        <f>'[1]OMM_Unit Matrix'!Z51</f>
        <v>0</v>
      </c>
      <c r="AA51" s="89">
        <f>'[1]OMM_Unit Matrix'!AA51</f>
        <v>0</v>
      </c>
      <c r="AB51" s="89">
        <f>'[1]OMM_Unit Matrix'!AB51</f>
        <v>0</v>
      </c>
      <c r="AC51" s="89">
        <f>'[1]OMM_Unit Matrix'!AC51</f>
        <v>0</v>
      </c>
      <c r="AD51" s="89">
        <f>'[1]OMM_Unit Matrix'!AD51</f>
        <v>0</v>
      </c>
      <c r="AE51" s="89">
        <f>'[1]OMM_Unit Matrix'!AE51</f>
        <v>0</v>
      </c>
      <c r="AF51" s="89">
        <f>'[1]OMM_Unit Matrix'!AF51</f>
        <v>0</v>
      </c>
      <c r="AG51" s="89">
        <f>'[1]OMM_Unit Matrix'!AG51</f>
        <v>0</v>
      </c>
      <c r="AH51" s="89">
        <f>'[1]OMM_Unit Matrix'!AH51</f>
        <v>0</v>
      </c>
      <c r="AI51" s="89">
        <f>'[1]OMM_Unit Matrix'!AI51</f>
        <v>0</v>
      </c>
      <c r="AJ51" s="89">
        <f>'[1]OMM_Unit Matrix'!AJ51</f>
        <v>0</v>
      </c>
      <c r="AK51" s="89">
        <f>'[1]OMM_Unit Matrix'!AK51</f>
        <v>0</v>
      </c>
      <c r="AL51" s="89">
        <f>'[1]OMM_Unit Matrix'!AL51</f>
        <v>0</v>
      </c>
      <c r="AM51" s="89">
        <f>'[1]OMM_Unit Matrix'!AM51</f>
        <v>0</v>
      </c>
      <c r="AN51" s="89">
        <f>'[1]OMM_Unit Matrix'!AN51</f>
        <v>0</v>
      </c>
      <c r="AO51" s="89">
        <f>'[1]OMM_Unit Matrix'!AO51</f>
        <v>0</v>
      </c>
      <c r="AP51" s="89">
        <f>'[1]OMM_Unit Matrix'!AP51</f>
        <v>0</v>
      </c>
      <c r="AQ51" s="270">
        <f>'[1]OMM_Unit Matrix'!AQ51</f>
        <v>0</v>
      </c>
      <c r="AS51" s="244"/>
      <c r="AT51" s="244"/>
      <c r="AU51" s="244"/>
    </row>
    <row r="52" spans="2:47" ht="17.45" hidden="1">
      <c r="B52" s="89">
        <f>'[1]OMM_Unit Matrix'!B52</f>
        <v>3</v>
      </c>
      <c r="C52" s="275">
        <f>'[1]OMM_Unit Matrix'!C52</f>
        <v>14</v>
      </c>
      <c r="D52" s="89">
        <f>'[1]OMM_Unit Matrix'!D52</f>
        <v>3014</v>
      </c>
      <c r="E52" s="89">
        <f>'[1]OMM_Unit Matrix'!E52</f>
        <v>0</v>
      </c>
      <c r="F52" s="89">
        <f>'[1]OMM_Unit Matrix'!F52</f>
        <v>0</v>
      </c>
      <c r="G52" s="89" t="str">
        <f>'[1]OMM_Unit Matrix'!G52</f>
        <v>NOT IN SCOPE</v>
      </c>
      <c r="H52" s="89">
        <f>'[1]OMM_Unit Matrix'!H52</f>
        <v>0</v>
      </c>
      <c r="I52" s="89">
        <f>'[1]OMM_Unit Matrix'!I52</f>
        <v>0</v>
      </c>
      <c r="J52" s="89">
        <f>'[1]OMM_Unit Matrix'!J52</f>
        <v>0</v>
      </c>
      <c r="K52" s="89">
        <f>'[1]OMM_Unit Matrix'!K52</f>
        <v>0</v>
      </c>
      <c r="L52" s="89">
        <f>'[1]OMM_Unit Matrix'!L52</f>
        <v>0</v>
      </c>
      <c r="M52" s="89">
        <f>'[1]OMM_Unit Matrix'!M52</f>
        <v>0</v>
      </c>
      <c r="N52" s="89">
        <f>'[1]OMM_Unit Matrix'!N52</f>
        <v>0</v>
      </c>
      <c r="O52" s="89">
        <f>'[1]OMM_Unit Matrix'!O52</f>
        <v>0</v>
      </c>
      <c r="P52" s="89">
        <f>'[1]OMM_Unit Matrix'!P52</f>
        <v>0</v>
      </c>
      <c r="Q52" s="89">
        <f>'[1]OMM_Unit Matrix'!Q52</f>
        <v>0</v>
      </c>
      <c r="R52" s="89">
        <f>'[1]OMM_Unit Matrix'!R52</f>
        <v>0</v>
      </c>
      <c r="S52" s="89">
        <f>'[1]OMM_Unit Matrix'!S52</f>
        <v>0</v>
      </c>
      <c r="T52" s="89">
        <f>'[1]OMM_Unit Matrix'!T52</f>
        <v>0</v>
      </c>
      <c r="U52" s="89">
        <f>'[1]OMM_Unit Matrix'!U52</f>
        <v>0</v>
      </c>
      <c r="V52" s="89">
        <f>'[1]OMM_Unit Matrix'!V52</f>
        <v>0</v>
      </c>
      <c r="W52" s="89">
        <f>'[1]OMM_Unit Matrix'!W52</f>
        <v>0</v>
      </c>
      <c r="X52" s="89">
        <f>'[1]OMM_Unit Matrix'!X52</f>
        <v>0</v>
      </c>
      <c r="Y52" s="89">
        <f>'[1]OMM_Unit Matrix'!Y52</f>
        <v>0</v>
      </c>
      <c r="Z52" s="89">
        <f>'[1]OMM_Unit Matrix'!Z52</f>
        <v>0</v>
      </c>
      <c r="AA52" s="89">
        <f>'[1]OMM_Unit Matrix'!AA52</f>
        <v>0</v>
      </c>
      <c r="AB52" s="89">
        <f>'[1]OMM_Unit Matrix'!AB52</f>
        <v>0</v>
      </c>
      <c r="AC52" s="89">
        <f>'[1]OMM_Unit Matrix'!AC52</f>
        <v>0</v>
      </c>
      <c r="AD52" s="89">
        <f>'[1]OMM_Unit Matrix'!AD52</f>
        <v>0</v>
      </c>
      <c r="AE52" s="89">
        <f>'[1]OMM_Unit Matrix'!AE52</f>
        <v>0</v>
      </c>
      <c r="AF52" s="89">
        <f>'[1]OMM_Unit Matrix'!AF52</f>
        <v>0</v>
      </c>
      <c r="AG52" s="89">
        <f>'[1]OMM_Unit Matrix'!AG52</f>
        <v>0</v>
      </c>
      <c r="AH52" s="89">
        <f>'[1]OMM_Unit Matrix'!AH52</f>
        <v>0</v>
      </c>
      <c r="AI52" s="89">
        <f>'[1]OMM_Unit Matrix'!AI52</f>
        <v>0</v>
      </c>
      <c r="AJ52" s="89">
        <f>'[1]OMM_Unit Matrix'!AJ52</f>
        <v>0</v>
      </c>
      <c r="AK52" s="89">
        <f>'[1]OMM_Unit Matrix'!AK52</f>
        <v>0</v>
      </c>
      <c r="AL52" s="89">
        <f>'[1]OMM_Unit Matrix'!AL52</f>
        <v>0</v>
      </c>
      <c r="AM52" s="89">
        <f>'[1]OMM_Unit Matrix'!AM52</f>
        <v>0</v>
      </c>
      <c r="AN52" s="89">
        <f>'[1]OMM_Unit Matrix'!AN52</f>
        <v>0</v>
      </c>
      <c r="AO52" s="89">
        <f>'[1]OMM_Unit Matrix'!AO52</f>
        <v>0</v>
      </c>
      <c r="AP52" s="89">
        <f>'[1]OMM_Unit Matrix'!AP52</f>
        <v>0</v>
      </c>
      <c r="AQ52" s="270">
        <f>'[1]OMM_Unit Matrix'!AQ52</f>
        <v>0</v>
      </c>
      <c r="AS52" s="244"/>
      <c r="AT52" s="244"/>
      <c r="AU52" s="244"/>
    </row>
    <row r="53" spans="2:47" ht="17.45" hidden="1">
      <c r="B53" s="89">
        <f>'[1]OMM_Unit Matrix'!B53</f>
        <v>3</v>
      </c>
      <c r="C53" s="275">
        <f>'[1]OMM_Unit Matrix'!C53</f>
        <v>15</v>
      </c>
      <c r="D53" s="89">
        <f>'[1]OMM_Unit Matrix'!D53</f>
        <v>3015</v>
      </c>
      <c r="E53" s="89">
        <f>'[1]OMM_Unit Matrix'!E53</f>
        <v>0</v>
      </c>
      <c r="F53" s="89">
        <f>'[1]OMM_Unit Matrix'!F53</f>
        <v>0</v>
      </c>
      <c r="G53" s="89" t="str">
        <f>'[1]OMM_Unit Matrix'!G53</f>
        <v>NOT IN SCOPE</v>
      </c>
      <c r="H53" s="89">
        <f>'[1]OMM_Unit Matrix'!H53</f>
        <v>0</v>
      </c>
      <c r="I53" s="89">
        <f>'[1]OMM_Unit Matrix'!I53</f>
        <v>0</v>
      </c>
      <c r="J53" s="89">
        <f>'[1]OMM_Unit Matrix'!J53</f>
        <v>0</v>
      </c>
      <c r="K53" s="89">
        <f>'[1]OMM_Unit Matrix'!K53</f>
        <v>0</v>
      </c>
      <c r="L53" s="89">
        <f>'[1]OMM_Unit Matrix'!L53</f>
        <v>0</v>
      </c>
      <c r="M53" s="89">
        <f>'[1]OMM_Unit Matrix'!M53</f>
        <v>0</v>
      </c>
      <c r="N53" s="89">
        <f>'[1]OMM_Unit Matrix'!N53</f>
        <v>0</v>
      </c>
      <c r="O53" s="89">
        <f>'[1]OMM_Unit Matrix'!O53</f>
        <v>0</v>
      </c>
      <c r="P53" s="89">
        <f>'[1]OMM_Unit Matrix'!P53</f>
        <v>0</v>
      </c>
      <c r="Q53" s="89">
        <f>'[1]OMM_Unit Matrix'!Q53</f>
        <v>0</v>
      </c>
      <c r="R53" s="89">
        <f>'[1]OMM_Unit Matrix'!R53</f>
        <v>0</v>
      </c>
      <c r="S53" s="89">
        <f>'[1]OMM_Unit Matrix'!S53</f>
        <v>0</v>
      </c>
      <c r="T53" s="89">
        <f>'[1]OMM_Unit Matrix'!T53</f>
        <v>0</v>
      </c>
      <c r="U53" s="89">
        <f>'[1]OMM_Unit Matrix'!U53</f>
        <v>0</v>
      </c>
      <c r="V53" s="89">
        <f>'[1]OMM_Unit Matrix'!V53</f>
        <v>0</v>
      </c>
      <c r="W53" s="89">
        <f>'[1]OMM_Unit Matrix'!W53</f>
        <v>0</v>
      </c>
      <c r="X53" s="89">
        <f>'[1]OMM_Unit Matrix'!X53</f>
        <v>0</v>
      </c>
      <c r="Y53" s="89">
        <f>'[1]OMM_Unit Matrix'!Y53</f>
        <v>0</v>
      </c>
      <c r="Z53" s="89">
        <f>'[1]OMM_Unit Matrix'!Z53</f>
        <v>0</v>
      </c>
      <c r="AA53" s="89">
        <f>'[1]OMM_Unit Matrix'!AA53</f>
        <v>0</v>
      </c>
      <c r="AB53" s="89">
        <f>'[1]OMM_Unit Matrix'!AB53</f>
        <v>0</v>
      </c>
      <c r="AC53" s="89">
        <f>'[1]OMM_Unit Matrix'!AC53</f>
        <v>0</v>
      </c>
      <c r="AD53" s="89">
        <f>'[1]OMM_Unit Matrix'!AD53</f>
        <v>0</v>
      </c>
      <c r="AE53" s="89">
        <f>'[1]OMM_Unit Matrix'!AE53</f>
        <v>0</v>
      </c>
      <c r="AF53" s="89">
        <f>'[1]OMM_Unit Matrix'!AF53</f>
        <v>0</v>
      </c>
      <c r="AG53" s="89">
        <f>'[1]OMM_Unit Matrix'!AG53</f>
        <v>0</v>
      </c>
      <c r="AH53" s="89">
        <f>'[1]OMM_Unit Matrix'!AH53</f>
        <v>0</v>
      </c>
      <c r="AI53" s="89">
        <f>'[1]OMM_Unit Matrix'!AI53</f>
        <v>0</v>
      </c>
      <c r="AJ53" s="89">
        <f>'[1]OMM_Unit Matrix'!AJ53</f>
        <v>0</v>
      </c>
      <c r="AK53" s="89">
        <f>'[1]OMM_Unit Matrix'!AK53</f>
        <v>0</v>
      </c>
      <c r="AL53" s="89">
        <f>'[1]OMM_Unit Matrix'!AL53</f>
        <v>0</v>
      </c>
      <c r="AM53" s="89">
        <f>'[1]OMM_Unit Matrix'!AM53</f>
        <v>0</v>
      </c>
      <c r="AN53" s="89">
        <f>'[1]OMM_Unit Matrix'!AN53</f>
        <v>0</v>
      </c>
      <c r="AO53" s="89">
        <f>'[1]OMM_Unit Matrix'!AO53</f>
        <v>0</v>
      </c>
      <c r="AP53" s="89">
        <f>'[1]OMM_Unit Matrix'!AP53</f>
        <v>0</v>
      </c>
      <c r="AQ53" s="270">
        <f>'[1]OMM_Unit Matrix'!AQ53</f>
        <v>0</v>
      </c>
      <c r="AS53" s="244"/>
      <c r="AT53" s="244"/>
      <c r="AU53" s="244"/>
    </row>
    <row r="54" spans="2:47" ht="17.45" hidden="1">
      <c r="B54" s="89">
        <f>'[1]OMM_Unit Matrix'!B54</f>
        <v>3</v>
      </c>
      <c r="C54" s="275">
        <f>'[1]OMM_Unit Matrix'!C54</f>
        <v>16</v>
      </c>
      <c r="D54" s="89">
        <f>'[1]OMM_Unit Matrix'!D54</f>
        <v>3016</v>
      </c>
      <c r="E54" s="89">
        <f>'[1]OMM_Unit Matrix'!E54</f>
        <v>0</v>
      </c>
      <c r="F54" s="89">
        <f>'[1]OMM_Unit Matrix'!F54</f>
        <v>0</v>
      </c>
      <c r="G54" s="89" t="str">
        <f>'[1]OMM_Unit Matrix'!G54</f>
        <v>NOT IN SCOPE</v>
      </c>
      <c r="H54" s="89">
        <f>'[1]OMM_Unit Matrix'!H54</f>
        <v>0</v>
      </c>
      <c r="I54" s="89">
        <f>'[1]OMM_Unit Matrix'!I54</f>
        <v>0</v>
      </c>
      <c r="J54" s="89">
        <f>'[1]OMM_Unit Matrix'!J54</f>
        <v>0</v>
      </c>
      <c r="K54" s="89">
        <f>'[1]OMM_Unit Matrix'!K54</f>
        <v>0</v>
      </c>
      <c r="L54" s="89">
        <f>'[1]OMM_Unit Matrix'!L54</f>
        <v>0</v>
      </c>
      <c r="M54" s="89">
        <f>'[1]OMM_Unit Matrix'!M54</f>
        <v>0</v>
      </c>
      <c r="N54" s="89">
        <f>'[1]OMM_Unit Matrix'!N54</f>
        <v>0</v>
      </c>
      <c r="O54" s="89">
        <f>'[1]OMM_Unit Matrix'!O54</f>
        <v>0</v>
      </c>
      <c r="P54" s="89">
        <f>'[1]OMM_Unit Matrix'!P54</f>
        <v>0</v>
      </c>
      <c r="Q54" s="89">
        <f>'[1]OMM_Unit Matrix'!Q54</f>
        <v>0</v>
      </c>
      <c r="R54" s="89">
        <f>'[1]OMM_Unit Matrix'!R54</f>
        <v>0</v>
      </c>
      <c r="S54" s="89">
        <f>'[1]OMM_Unit Matrix'!S54</f>
        <v>0</v>
      </c>
      <c r="T54" s="89">
        <f>'[1]OMM_Unit Matrix'!T54</f>
        <v>0</v>
      </c>
      <c r="U54" s="89">
        <f>'[1]OMM_Unit Matrix'!U54</f>
        <v>0</v>
      </c>
      <c r="V54" s="89">
        <f>'[1]OMM_Unit Matrix'!V54</f>
        <v>0</v>
      </c>
      <c r="W54" s="89">
        <f>'[1]OMM_Unit Matrix'!W54</f>
        <v>0</v>
      </c>
      <c r="X54" s="89">
        <f>'[1]OMM_Unit Matrix'!X54</f>
        <v>0</v>
      </c>
      <c r="Y54" s="89">
        <f>'[1]OMM_Unit Matrix'!Y54</f>
        <v>0</v>
      </c>
      <c r="Z54" s="89">
        <f>'[1]OMM_Unit Matrix'!Z54</f>
        <v>0</v>
      </c>
      <c r="AA54" s="89">
        <f>'[1]OMM_Unit Matrix'!AA54</f>
        <v>0</v>
      </c>
      <c r="AB54" s="89">
        <f>'[1]OMM_Unit Matrix'!AB54</f>
        <v>0</v>
      </c>
      <c r="AC54" s="89">
        <f>'[1]OMM_Unit Matrix'!AC54</f>
        <v>0</v>
      </c>
      <c r="AD54" s="89">
        <f>'[1]OMM_Unit Matrix'!AD54</f>
        <v>0</v>
      </c>
      <c r="AE54" s="89">
        <f>'[1]OMM_Unit Matrix'!AE54</f>
        <v>0</v>
      </c>
      <c r="AF54" s="89">
        <f>'[1]OMM_Unit Matrix'!AF54</f>
        <v>0</v>
      </c>
      <c r="AG54" s="89">
        <f>'[1]OMM_Unit Matrix'!AG54</f>
        <v>0</v>
      </c>
      <c r="AH54" s="89">
        <f>'[1]OMM_Unit Matrix'!AH54</f>
        <v>0</v>
      </c>
      <c r="AI54" s="89">
        <f>'[1]OMM_Unit Matrix'!AI54</f>
        <v>0</v>
      </c>
      <c r="AJ54" s="89">
        <f>'[1]OMM_Unit Matrix'!AJ54</f>
        <v>0</v>
      </c>
      <c r="AK54" s="89">
        <f>'[1]OMM_Unit Matrix'!AK54</f>
        <v>0</v>
      </c>
      <c r="AL54" s="89">
        <f>'[1]OMM_Unit Matrix'!AL54</f>
        <v>0</v>
      </c>
      <c r="AM54" s="89">
        <f>'[1]OMM_Unit Matrix'!AM54</f>
        <v>0</v>
      </c>
      <c r="AN54" s="89">
        <f>'[1]OMM_Unit Matrix'!AN54</f>
        <v>0</v>
      </c>
      <c r="AO54" s="89">
        <f>'[1]OMM_Unit Matrix'!AO54</f>
        <v>0</v>
      </c>
      <c r="AP54" s="89">
        <f>'[1]OMM_Unit Matrix'!AP54</f>
        <v>0</v>
      </c>
      <c r="AQ54" s="270">
        <f>'[1]OMM_Unit Matrix'!AQ54</f>
        <v>0</v>
      </c>
      <c r="AS54" s="244"/>
      <c r="AT54" s="244"/>
      <c r="AU54" s="244"/>
    </row>
    <row r="55" spans="2:47" ht="17.45">
      <c r="B55" s="89">
        <f>'[1]OMM_Unit Matrix'!B55</f>
        <v>3</v>
      </c>
      <c r="C55" s="275">
        <f>'[1]OMM_Unit Matrix'!C55</f>
        <v>17</v>
      </c>
      <c r="D55" s="89">
        <f>'[1]OMM_Unit Matrix'!D55</f>
        <v>3017</v>
      </c>
      <c r="E55" s="89" t="str">
        <f>'[1]OMM_Unit Matrix'!E55</f>
        <v>NO</v>
      </c>
      <c r="F55" s="132" t="str">
        <f>'[1]OMM_Unit Matrix'!F55</f>
        <v>1B-05</v>
      </c>
      <c r="G55" s="89" t="str">
        <f>'[1]OMM_Unit Matrix'!G55</f>
        <v>ORDERED</v>
      </c>
      <c r="H55" s="89" t="str">
        <f>'[1]OMM_Unit Matrix'!H55</f>
        <v>YES</v>
      </c>
      <c r="I55" s="201">
        <f>'[1]OMM_Unit Matrix'!I55</f>
        <v>2</v>
      </c>
      <c r="J55" s="89" t="str">
        <f>'[1]OMM_Unit Matrix'!J55</f>
        <v>NO</v>
      </c>
      <c r="K55" s="89">
        <f>'[1]OMM_Unit Matrix'!K55</f>
        <v>0</v>
      </c>
      <c r="L55" s="89" t="str">
        <f>'[1]OMM_Unit Matrix'!L55</f>
        <v>NO</v>
      </c>
      <c r="M55" s="89">
        <f>'[1]OMM_Unit Matrix'!M55</f>
        <v>0</v>
      </c>
      <c r="N55" s="89" t="str">
        <f>'[1]OMM_Unit Matrix'!N55</f>
        <v>YES</v>
      </c>
      <c r="O55" s="201">
        <f>'[1]OMM_Unit Matrix'!O55</f>
        <v>2</v>
      </c>
      <c r="P55" s="89" t="str">
        <f>'[1]OMM_Unit Matrix'!P55</f>
        <v>NO</v>
      </c>
      <c r="Q55" s="89">
        <f>'[1]OMM_Unit Matrix'!Q55</f>
        <v>0</v>
      </c>
      <c r="R55" s="89" t="str">
        <f>'[1]OMM_Unit Matrix'!R55</f>
        <v>NO</v>
      </c>
      <c r="S55" s="89">
        <f>'[1]OMM_Unit Matrix'!S55</f>
        <v>0</v>
      </c>
      <c r="T55" s="89" t="str">
        <f>'[1]OMM_Unit Matrix'!T55</f>
        <v>NO</v>
      </c>
      <c r="U55" s="89">
        <f>'[1]OMM_Unit Matrix'!U55</f>
        <v>0</v>
      </c>
      <c r="V55" s="89" t="str">
        <f>'[1]OMM_Unit Matrix'!V55</f>
        <v>YES</v>
      </c>
      <c r="W55" s="201">
        <f>'[1]OMM_Unit Matrix'!W55</f>
        <v>2</v>
      </c>
      <c r="X55" s="89" t="str">
        <f>'[1]OMM_Unit Matrix'!X55</f>
        <v>NO</v>
      </c>
      <c r="Y55" s="89">
        <f>'[1]OMM_Unit Matrix'!Y55</f>
        <v>0</v>
      </c>
      <c r="Z55" s="89" t="str">
        <f>'[1]OMM_Unit Matrix'!Z55</f>
        <v>NO</v>
      </c>
      <c r="AA55" s="89">
        <f>'[1]OMM_Unit Matrix'!AA55</f>
        <v>0</v>
      </c>
      <c r="AB55" s="89" t="str">
        <f>'[1]OMM_Unit Matrix'!AB55</f>
        <v>YES</v>
      </c>
      <c r="AC55" s="201">
        <f>'[1]OMM_Unit Matrix'!AC55</f>
        <v>2</v>
      </c>
      <c r="AD55" s="89" t="str">
        <f>'[1]OMM_Unit Matrix'!AD55</f>
        <v>NO</v>
      </c>
      <c r="AE55" s="89">
        <f>'[1]OMM_Unit Matrix'!AE55</f>
        <v>0</v>
      </c>
      <c r="AF55" s="89" t="str">
        <f>'[1]OMM_Unit Matrix'!AF55</f>
        <v>NO</v>
      </c>
      <c r="AG55" s="89">
        <f>'[1]OMM_Unit Matrix'!AG55</f>
        <v>0</v>
      </c>
      <c r="AH55" s="89" t="str">
        <f>'[1]OMM_Unit Matrix'!AH55</f>
        <v>NO</v>
      </c>
      <c r="AI55" s="89">
        <f>'[1]OMM_Unit Matrix'!AI55</f>
        <v>0</v>
      </c>
      <c r="AJ55" s="89" t="str">
        <f>'[1]OMM_Unit Matrix'!AJ55</f>
        <v>NO</v>
      </c>
      <c r="AK55" s="89">
        <f>'[1]OMM_Unit Matrix'!AK55</f>
        <v>0</v>
      </c>
      <c r="AL55" s="89" t="str">
        <f>'[1]OMM_Unit Matrix'!AL55</f>
        <v>NO</v>
      </c>
      <c r="AM55" s="89">
        <f>'[1]OMM_Unit Matrix'!AM55</f>
        <v>0</v>
      </c>
      <c r="AN55" s="89" t="str">
        <f>'[1]OMM_Unit Matrix'!AN55</f>
        <v>NO</v>
      </c>
      <c r="AO55" s="89">
        <f>'[1]OMM_Unit Matrix'!AO55</f>
        <v>0</v>
      </c>
      <c r="AP55" s="89" t="str">
        <f>'[1]OMM_Unit Matrix'!AP55</f>
        <v>NO</v>
      </c>
      <c r="AQ55" s="270">
        <f>'[1]OMM_Unit Matrix'!AQ55</f>
        <v>0</v>
      </c>
      <c r="AS55" s="244"/>
      <c r="AT55" s="244"/>
      <c r="AU55" s="244"/>
    </row>
    <row r="56" spans="2:47" hidden="1">
      <c r="B56" s="89">
        <f>'[1]OMM_Unit Matrix'!B56</f>
        <v>3</v>
      </c>
      <c r="C56" s="275">
        <f>'[1]OMM_Unit Matrix'!C56</f>
        <v>18</v>
      </c>
      <c r="D56" s="89">
        <f>'[1]OMM_Unit Matrix'!D56</f>
        <v>3018</v>
      </c>
      <c r="E56" s="89">
        <f>'[1]OMM_Unit Matrix'!E56</f>
        <v>0</v>
      </c>
      <c r="F56" s="89">
        <f>'[1]OMM_Unit Matrix'!F56</f>
        <v>0</v>
      </c>
      <c r="G56" s="89" t="str">
        <f>'[1]OMM_Unit Matrix'!G56</f>
        <v>NOT IN SCOPE</v>
      </c>
      <c r="H56" s="89">
        <f>'[1]OMM_Unit Matrix'!H56</f>
        <v>0</v>
      </c>
      <c r="I56" s="89">
        <f>'[1]OMM_Unit Matrix'!I56</f>
        <v>0</v>
      </c>
      <c r="J56" s="89">
        <f>'[1]OMM_Unit Matrix'!J56</f>
        <v>0</v>
      </c>
      <c r="K56" s="89">
        <f>'[1]OMM_Unit Matrix'!K56</f>
        <v>0</v>
      </c>
      <c r="L56" s="89">
        <f>'[1]OMM_Unit Matrix'!L56</f>
        <v>0</v>
      </c>
      <c r="M56" s="89">
        <f>'[1]OMM_Unit Matrix'!M56</f>
        <v>0</v>
      </c>
      <c r="N56" s="89">
        <f>'[1]OMM_Unit Matrix'!N56</f>
        <v>0</v>
      </c>
      <c r="O56" s="89">
        <f>'[1]OMM_Unit Matrix'!O56</f>
        <v>0</v>
      </c>
      <c r="P56" s="89">
        <f>'[1]OMM_Unit Matrix'!P56</f>
        <v>0</v>
      </c>
      <c r="Q56" s="89">
        <f>'[1]OMM_Unit Matrix'!Q56</f>
        <v>0</v>
      </c>
      <c r="R56" s="89">
        <f>'[1]OMM_Unit Matrix'!R56</f>
        <v>0</v>
      </c>
      <c r="S56" s="89">
        <f>'[1]OMM_Unit Matrix'!S56</f>
        <v>0</v>
      </c>
      <c r="T56" s="89">
        <f>'[1]OMM_Unit Matrix'!T56</f>
        <v>0</v>
      </c>
      <c r="U56" s="89">
        <f>'[1]OMM_Unit Matrix'!U56</f>
        <v>0</v>
      </c>
      <c r="V56" s="89">
        <f>'[1]OMM_Unit Matrix'!V56</f>
        <v>0</v>
      </c>
      <c r="W56" s="89">
        <f>'[1]OMM_Unit Matrix'!W56</f>
        <v>0</v>
      </c>
      <c r="X56" s="89">
        <f>'[1]OMM_Unit Matrix'!X56</f>
        <v>0</v>
      </c>
      <c r="Y56" s="89">
        <f>'[1]OMM_Unit Matrix'!Y56</f>
        <v>0</v>
      </c>
      <c r="Z56" s="89">
        <f>'[1]OMM_Unit Matrix'!Z56</f>
        <v>0</v>
      </c>
      <c r="AA56" s="89">
        <f>'[1]OMM_Unit Matrix'!AA56</f>
        <v>0</v>
      </c>
      <c r="AB56" s="89">
        <f>'[1]OMM_Unit Matrix'!AB56</f>
        <v>0</v>
      </c>
      <c r="AC56" s="89">
        <f>'[1]OMM_Unit Matrix'!AC56</f>
        <v>0</v>
      </c>
      <c r="AD56" s="89">
        <f>'[1]OMM_Unit Matrix'!AD56</f>
        <v>0</v>
      </c>
      <c r="AE56" s="89">
        <f>'[1]OMM_Unit Matrix'!AE56</f>
        <v>0</v>
      </c>
      <c r="AF56" s="89">
        <f>'[1]OMM_Unit Matrix'!AF56</f>
        <v>0</v>
      </c>
      <c r="AG56" s="89">
        <f>'[1]OMM_Unit Matrix'!AG56</f>
        <v>0</v>
      </c>
      <c r="AH56" s="89">
        <f>'[1]OMM_Unit Matrix'!AH56</f>
        <v>0</v>
      </c>
      <c r="AI56" s="89">
        <f>'[1]OMM_Unit Matrix'!AI56</f>
        <v>0</v>
      </c>
      <c r="AJ56" s="89">
        <f>'[1]OMM_Unit Matrix'!AJ56</f>
        <v>0</v>
      </c>
      <c r="AK56" s="89">
        <f>'[1]OMM_Unit Matrix'!AK56</f>
        <v>0</v>
      </c>
      <c r="AL56" s="89">
        <f>'[1]OMM_Unit Matrix'!AL56</f>
        <v>0</v>
      </c>
      <c r="AM56" s="89">
        <f>'[1]OMM_Unit Matrix'!AM56</f>
        <v>0</v>
      </c>
      <c r="AN56" s="89">
        <f>'[1]OMM_Unit Matrix'!AN56</f>
        <v>0</v>
      </c>
      <c r="AO56" s="89">
        <f>'[1]OMM_Unit Matrix'!AO56</f>
        <v>0</v>
      </c>
      <c r="AP56" s="89">
        <f>'[1]OMM_Unit Matrix'!AP56</f>
        <v>0</v>
      </c>
      <c r="AQ56" s="270">
        <f>'[1]OMM_Unit Matrix'!AQ56</f>
        <v>0</v>
      </c>
    </row>
    <row r="57" spans="2:47" hidden="1">
      <c r="B57" s="89">
        <f>'[1]OMM_Unit Matrix'!B57</f>
        <v>3</v>
      </c>
      <c r="C57" s="275">
        <f>'[1]OMM_Unit Matrix'!C57</f>
        <v>19</v>
      </c>
      <c r="D57" s="89">
        <f>'[1]OMM_Unit Matrix'!D57</f>
        <v>3019</v>
      </c>
      <c r="E57" s="89">
        <f>'[1]OMM_Unit Matrix'!E57</f>
        <v>0</v>
      </c>
      <c r="F57" s="89">
        <f>'[1]OMM_Unit Matrix'!F57</f>
        <v>0</v>
      </c>
      <c r="G57" s="89" t="str">
        <f>'[1]OMM_Unit Matrix'!G57</f>
        <v>NOT IN SCOPE</v>
      </c>
      <c r="H57" s="89">
        <f>'[1]OMM_Unit Matrix'!H57</f>
        <v>0</v>
      </c>
      <c r="I57" s="89">
        <f>'[1]OMM_Unit Matrix'!I57</f>
        <v>0</v>
      </c>
      <c r="J57" s="89">
        <f>'[1]OMM_Unit Matrix'!J57</f>
        <v>0</v>
      </c>
      <c r="K57" s="89">
        <f>'[1]OMM_Unit Matrix'!K57</f>
        <v>0</v>
      </c>
      <c r="L57" s="89">
        <f>'[1]OMM_Unit Matrix'!L57</f>
        <v>0</v>
      </c>
      <c r="M57" s="89">
        <f>'[1]OMM_Unit Matrix'!M57</f>
        <v>0</v>
      </c>
      <c r="N57" s="89">
        <f>'[1]OMM_Unit Matrix'!N57</f>
        <v>0</v>
      </c>
      <c r="O57" s="89">
        <f>'[1]OMM_Unit Matrix'!O57</f>
        <v>0</v>
      </c>
      <c r="P57" s="89">
        <f>'[1]OMM_Unit Matrix'!P57</f>
        <v>0</v>
      </c>
      <c r="Q57" s="89">
        <f>'[1]OMM_Unit Matrix'!Q57</f>
        <v>0</v>
      </c>
      <c r="R57" s="89">
        <f>'[1]OMM_Unit Matrix'!R57</f>
        <v>0</v>
      </c>
      <c r="S57" s="89">
        <f>'[1]OMM_Unit Matrix'!S57</f>
        <v>0</v>
      </c>
      <c r="T57" s="89">
        <f>'[1]OMM_Unit Matrix'!T57</f>
        <v>0</v>
      </c>
      <c r="U57" s="89">
        <f>'[1]OMM_Unit Matrix'!U57</f>
        <v>0</v>
      </c>
      <c r="V57" s="89">
        <f>'[1]OMM_Unit Matrix'!V57</f>
        <v>0</v>
      </c>
      <c r="W57" s="89">
        <f>'[1]OMM_Unit Matrix'!W57</f>
        <v>0</v>
      </c>
      <c r="X57" s="89">
        <f>'[1]OMM_Unit Matrix'!X57</f>
        <v>0</v>
      </c>
      <c r="Y57" s="89">
        <f>'[1]OMM_Unit Matrix'!Y57</f>
        <v>0</v>
      </c>
      <c r="Z57" s="89">
        <f>'[1]OMM_Unit Matrix'!Z57</f>
        <v>0</v>
      </c>
      <c r="AA57" s="89">
        <f>'[1]OMM_Unit Matrix'!AA57</f>
        <v>0</v>
      </c>
      <c r="AB57" s="89">
        <f>'[1]OMM_Unit Matrix'!AB57</f>
        <v>0</v>
      </c>
      <c r="AC57" s="89">
        <f>'[1]OMM_Unit Matrix'!AC57</f>
        <v>0</v>
      </c>
      <c r="AD57" s="89">
        <f>'[1]OMM_Unit Matrix'!AD57</f>
        <v>0</v>
      </c>
      <c r="AE57" s="89">
        <f>'[1]OMM_Unit Matrix'!AE57</f>
        <v>0</v>
      </c>
      <c r="AF57" s="89">
        <f>'[1]OMM_Unit Matrix'!AF57</f>
        <v>0</v>
      </c>
      <c r="AG57" s="89">
        <f>'[1]OMM_Unit Matrix'!AG57</f>
        <v>0</v>
      </c>
      <c r="AH57" s="89">
        <f>'[1]OMM_Unit Matrix'!AH57</f>
        <v>0</v>
      </c>
      <c r="AI57" s="89">
        <f>'[1]OMM_Unit Matrix'!AI57</f>
        <v>0</v>
      </c>
      <c r="AJ57" s="89">
        <f>'[1]OMM_Unit Matrix'!AJ57</f>
        <v>0</v>
      </c>
      <c r="AK57" s="89">
        <f>'[1]OMM_Unit Matrix'!AK57</f>
        <v>0</v>
      </c>
      <c r="AL57" s="89">
        <f>'[1]OMM_Unit Matrix'!AL57</f>
        <v>0</v>
      </c>
      <c r="AM57" s="89">
        <f>'[1]OMM_Unit Matrix'!AM57</f>
        <v>0</v>
      </c>
      <c r="AN57" s="89">
        <f>'[1]OMM_Unit Matrix'!AN57</f>
        <v>0</v>
      </c>
      <c r="AO57" s="89">
        <f>'[1]OMM_Unit Matrix'!AO57</f>
        <v>0</v>
      </c>
      <c r="AP57" s="89">
        <f>'[1]OMM_Unit Matrix'!AP57</f>
        <v>0</v>
      </c>
      <c r="AQ57" s="270">
        <f>'[1]OMM_Unit Matrix'!AQ57</f>
        <v>0</v>
      </c>
    </row>
    <row r="58" spans="2:47">
      <c r="B58" s="89">
        <f>'[1]OMM_Unit Matrix'!B58</f>
        <v>3</v>
      </c>
      <c r="C58" s="275">
        <f>'[1]OMM_Unit Matrix'!C58</f>
        <v>20</v>
      </c>
      <c r="D58" s="89">
        <f>'[1]OMM_Unit Matrix'!D58</f>
        <v>3020</v>
      </c>
      <c r="E58" s="89" t="str">
        <f>'[1]OMM_Unit Matrix'!E58</f>
        <v>NO</v>
      </c>
      <c r="F58" s="132" t="str">
        <f>'[1]OMM_Unit Matrix'!F58</f>
        <v>1B-06</v>
      </c>
      <c r="G58" s="89" t="str">
        <f>'[1]OMM_Unit Matrix'!G58</f>
        <v>ORDERED</v>
      </c>
      <c r="H58" s="89" t="str">
        <f>'[1]OMM_Unit Matrix'!H58</f>
        <v>YES</v>
      </c>
      <c r="I58" s="201">
        <f>'[1]OMM_Unit Matrix'!I58</f>
        <v>2</v>
      </c>
      <c r="J58" s="89" t="str">
        <f>'[1]OMM_Unit Matrix'!J58</f>
        <v>NO</v>
      </c>
      <c r="K58" s="89">
        <f>'[1]OMM_Unit Matrix'!K58</f>
        <v>0</v>
      </c>
      <c r="L58" s="89" t="str">
        <f>'[1]OMM_Unit Matrix'!L58</f>
        <v>NO</v>
      </c>
      <c r="M58" s="89">
        <f>'[1]OMM_Unit Matrix'!M58</f>
        <v>0</v>
      </c>
      <c r="N58" s="89" t="str">
        <f>'[1]OMM_Unit Matrix'!N58</f>
        <v>YES</v>
      </c>
      <c r="O58" s="201">
        <f>'[1]OMM_Unit Matrix'!O58</f>
        <v>2</v>
      </c>
      <c r="P58" s="89" t="str">
        <f>'[1]OMM_Unit Matrix'!P58</f>
        <v>NO</v>
      </c>
      <c r="Q58" s="89">
        <f>'[1]OMM_Unit Matrix'!Q58</f>
        <v>0</v>
      </c>
      <c r="R58" s="89" t="str">
        <f>'[1]OMM_Unit Matrix'!R58</f>
        <v>NO</v>
      </c>
      <c r="S58" s="89">
        <f>'[1]OMM_Unit Matrix'!S58</f>
        <v>0</v>
      </c>
      <c r="T58" s="89" t="str">
        <f>'[1]OMM_Unit Matrix'!T58</f>
        <v>NO</v>
      </c>
      <c r="U58" s="89">
        <f>'[1]OMM_Unit Matrix'!U58</f>
        <v>0</v>
      </c>
      <c r="V58" s="89" t="str">
        <f>'[1]OMM_Unit Matrix'!V58</f>
        <v>YES</v>
      </c>
      <c r="W58" s="201">
        <f>'[1]OMM_Unit Matrix'!W58</f>
        <v>2</v>
      </c>
      <c r="X58" s="89" t="str">
        <f>'[1]OMM_Unit Matrix'!X58</f>
        <v>NO</v>
      </c>
      <c r="Y58" s="89">
        <f>'[1]OMM_Unit Matrix'!Y58</f>
        <v>0</v>
      </c>
      <c r="Z58" s="89" t="str">
        <f>'[1]OMM_Unit Matrix'!Z58</f>
        <v>NO</v>
      </c>
      <c r="AA58" s="89">
        <f>'[1]OMM_Unit Matrix'!AA58</f>
        <v>0</v>
      </c>
      <c r="AB58" s="89" t="str">
        <f>'[1]OMM_Unit Matrix'!AB58</f>
        <v>YES</v>
      </c>
      <c r="AC58" s="201">
        <f>'[1]OMM_Unit Matrix'!AC58</f>
        <v>2</v>
      </c>
      <c r="AD58" s="89" t="str">
        <f>'[1]OMM_Unit Matrix'!AD58</f>
        <v>NO</v>
      </c>
      <c r="AE58" s="89">
        <f>'[1]OMM_Unit Matrix'!AE58</f>
        <v>0</v>
      </c>
      <c r="AF58" s="89" t="str">
        <f>'[1]OMM_Unit Matrix'!AF58</f>
        <v>NO</v>
      </c>
      <c r="AG58" s="89">
        <f>'[1]OMM_Unit Matrix'!AG58</f>
        <v>0</v>
      </c>
      <c r="AH58" s="89" t="str">
        <f>'[1]OMM_Unit Matrix'!AH58</f>
        <v>NO</v>
      </c>
      <c r="AI58" s="89">
        <f>'[1]OMM_Unit Matrix'!AI58</f>
        <v>0</v>
      </c>
      <c r="AJ58" s="89" t="str">
        <f>'[1]OMM_Unit Matrix'!AJ58</f>
        <v>NO</v>
      </c>
      <c r="AK58" s="89">
        <f>'[1]OMM_Unit Matrix'!AK58</f>
        <v>0</v>
      </c>
      <c r="AL58" s="89" t="str">
        <f>'[1]OMM_Unit Matrix'!AL58</f>
        <v>NO</v>
      </c>
      <c r="AM58" s="89">
        <f>'[1]OMM_Unit Matrix'!AM58</f>
        <v>0</v>
      </c>
      <c r="AN58" s="89" t="str">
        <f>'[1]OMM_Unit Matrix'!AN58</f>
        <v>NO</v>
      </c>
      <c r="AO58" s="89">
        <f>'[1]OMM_Unit Matrix'!AO58</f>
        <v>0</v>
      </c>
      <c r="AP58" s="89" t="str">
        <f>'[1]OMM_Unit Matrix'!AP58</f>
        <v>NO</v>
      </c>
      <c r="AQ58" s="270">
        <f>'[1]OMM_Unit Matrix'!AQ58</f>
        <v>0</v>
      </c>
    </row>
    <row r="59" spans="2:47" hidden="1">
      <c r="B59" s="89">
        <f>'[1]OMM_Unit Matrix'!B59</f>
        <v>3</v>
      </c>
      <c r="C59" s="275">
        <f>'[1]OMM_Unit Matrix'!C59</f>
        <v>21</v>
      </c>
      <c r="D59" s="89">
        <f>'[1]OMM_Unit Matrix'!D59</f>
        <v>3021</v>
      </c>
      <c r="E59" s="89">
        <f>'[1]OMM_Unit Matrix'!E59</f>
        <v>0</v>
      </c>
      <c r="F59" s="89">
        <f>'[1]OMM_Unit Matrix'!F59</f>
        <v>0</v>
      </c>
      <c r="G59" s="89" t="str">
        <f>'[1]OMM_Unit Matrix'!G59</f>
        <v>NOT IN SCOPE</v>
      </c>
      <c r="H59" s="89">
        <f>'[1]OMM_Unit Matrix'!H59</f>
        <v>0</v>
      </c>
      <c r="I59" s="89">
        <f>'[1]OMM_Unit Matrix'!I59</f>
        <v>0</v>
      </c>
      <c r="J59" s="89">
        <f>'[1]OMM_Unit Matrix'!J59</f>
        <v>0</v>
      </c>
      <c r="K59" s="89">
        <f>'[1]OMM_Unit Matrix'!K59</f>
        <v>0</v>
      </c>
      <c r="L59" s="89">
        <f>'[1]OMM_Unit Matrix'!L59</f>
        <v>0</v>
      </c>
      <c r="M59" s="89">
        <f>'[1]OMM_Unit Matrix'!M59</f>
        <v>0</v>
      </c>
      <c r="N59" s="89">
        <f>'[1]OMM_Unit Matrix'!N59</f>
        <v>0</v>
      </c>
      <c r="O59" s="89">
        <f>'[1]OMM_Unit Matrix'!O59</f>
        <v>0</v>
      </c>
      <c r="P59" s="89">
        <f>'[1]OMM_Unit Matrix'!P59</f>
        <v>0</v>
      </c>
      <c r="Q59" s="89">
        <f>'[1]OMM_Unit Matrix'!Q59</f>
        <v>0</v>
      </c>
      <c r="R59" s="89">
        <f>'[1]OMM_Unit Matrix'!R59</f>
        <v>0</v>
      </c>
      <c r="S59" s="89">
        <f>'[1]OMM_Unit Matrix'!S59</f>
        <v>0</v>
      </c>
      <c r="T59" s="89">
        <f>'[1]OMM_Unit Matrix'!T59</f>
        <v>0</v>
      </c>
      <c r="U59" s="89">
        <f>'[1]OMM_Unit Matrix'!U59</f>
        <v>0</v>
      </c>
      <c r="V59" s="89">
        <f>'[1]OMM_Unit Matrix'!V59</f>
        <v>0</v>
      </c>
      <c r="W59" s="89">
        <f>'[1]OMM_Unit Matrix'!W59</f>
        <v>0</v>
      </c>
      <c r="X59" s="89">
        <f>'[1]OMM_Unit Matrix'!X59</f>
        <v>0</v>
      </c>
      <c r="Y59" s="89">
        <f>'[1]OMM_Unit Matrix'!Y59</f>
        <v>0</v>
      </c>
      <c r="Z59" s="89">
        <f>'[1]OMM_Unit Matrix'!Z59</f>
        <v>0</v>
      </c>
      <c r="AA59" s="89">
        <f>'[1]OMM_Unit Matrix'!AA59</f>
        <v>0</v>
      </c>
      <c r="AB59" s="89">
        <f>'[1]OMM_Unit Matrix'!AB59</f>
        <v>0</v>
      </c>
      <c r="AC59" s="89">
        <f>'[1]OMM_Unit Matrix'!AC59</f>
        <v>0</v>
      </c>
      <c r="AD59" s="89">
        <f>'[1]OMM_Unit Matrix'!AD59</f>
        <v>0</v>
      </c>
      <c r="AE59" s="89">
        <f>'[1]OMM_Unit Matrix'!AE59</f>
        <v>0</v>
      </c>
      <c r="AF59" s="89">
        <f>'[1]OMM_Unit Matrix'!AF59</f>
        <v>0</v>
      </c>
      <c r="AG59" s="89">
        <f>'[1]OMM_Unit Matrix'!AG59</f>
        <v>0</v>
      </c>
      <c r="AH59" s="89">
        <f>'[1]OMM_Unit Matrix'!AH59</f>
        <v>0</v>
      </c>
      <c r="AI59" s="89">
        <f>'[1]OMM_Unit Matrix'!AI59</f>
        <v>0</v>
      </c>
      <c r="AJ59" s="89">
        <f>'[1]OMM_Unit Matrix'!AJ59</f>
        <v>0</v>
      </c>
      <c r="AK59" s="89">
        <f>'[1]OMM_Unit Matrix'!AK59</f>
        <v>0</v>
      </c>
      <c r="AL59" s="89">
        <f>'[1]OMM_Unit Matrix'!AL59</f>
        <v>0</v>
      </c>
      <c r="AM59" s="89">
        <f>'[1]OMM_Unit Matrix'!AM59</f>
        <v>0</v>
      </c>
      <c r="AN59" s="89">
        <f>'[1]OMM_Unit Matrix'!AN59</f>
        <v>0</v>
      </c>
      <c r="AO59" s="89">
        <f>'[1]OMM_Unit Matrix'!AO59</f>
        <v>0</v>
      </c>
      <c r="AP59" s="89">
        <f>'[1]OMM_Unit Matrix'!AP59</f>
        <v>0</v>
      </c>
      <c r="AQ59" s="270">
        <f>'[1]OMM_Unit Matrix'!AQ59</f>
        <v>0</v>
      </c>
    </row>
    <row r="60" spans="2:47" hidden="1">
      <c r="B60" s="89">
        <f>'[1]OMM_Unit Matrix'!B60</f>
        <v>3</v>
      </c>
      <c r="C60" s="275">
        <f>'[1]OMM_Unit Matrix'!C60</f>
        <v>22</v>
      </c>
      <c r="D60" s="89">
        <f>'[1]OMM_Unit Matrix'!D60</f>
        <v>3022</v>
      </c>
      <c r="E60" s="89">
        <f>'[1]OMM_Unit Matrix'!E60</f>
        <v>0</v>
      </c>
      <c r="F60" s="89">
        <f>'[1]OMM_Unit Matrix'!F60</f>
        <v>0</v>
      </c>
      <c r="G60" s="89" t="str">
        <f>'[1]OMM_Unit Matrix'!G60</f>
        <v>NOT IN SCOPE</v>
      </c>
      <c r="H60" s="89">
        <f>'[1]OMM_Unit Matrix'!H60</f>
        <v>0</v>
      </c>
      <c r="I60" s="89">
        <f>'[1]OMM_Unit Matrix'!I60</f>
        <v>0</v>
      </c>
      <c r="J60" s="89">
        <f>'[1]OMM_Unit Matrix'!J60</f>
        <v>0</v>
      </c>
      <c r="K60" s="89">
        <f>'[1]OMM_Unit Matrix'!K60</f>
        <v>0</v>
      </c>
      <c r="L60" s="89">
        <f>'[1]OMM_Unit Matrix'!L60</f>
        <v>0</v>
      </c>
      <c r="M60" s="89">
        <f>'[1]OMM_Unit Matrix'!M60</f>
        <v>0</v>
      </c>
      <c r="N60" s="89">
        <f>'[1]OMM_Unit Matrix'!N60</f>
        <v>0</v>
      </c>
      <c r="O60" s="89">
        <f>'[1]OMM_Unit Matrix'!O60</f>
        <v>0</v>
      </c>
      <c r="P60" s="89">
        <f>'[1]OMM_Unit Matrix'!P60</f>
        <v>0</v>
      </c>
      <c r="Q60" s="89">
        <f>'[1]OMM_Unit Matrix'!Q60</f>
        <v>0</v>
      </c>
      <c r="R60" s="89">
        <f>'[1]OMM_Unit Matrix'!R60</f>
        <v>0</v>
      </c>
      <c r="S60" s="89">
        <f>'[1]OMM_Unit Matrix'!S60</f>
        <v>0</v>
      </c>
      <c r="T60" s="89">
        <f>'[1]OMM_Unit Matrix'!T60</f>
        <v>0</v>
      </c>
      <c r="U60" s="89">
        <f>'[1]OMM_Unit Matrix'!U60</f>
        <v>0</v>
      </c>
      <c r="V60" s="89">
        <f>'[1]OMM_Unit Matrix'!V60</f>
        <v>0</v>
      </c>
      <c r="W60" s="89">
        <f>'[1]OMM_Unit Matrix'!W60</f>
        <v>0</v>
      </c>
      <c r="X60" s="89">
        <f>'[1]OMM_Unit Matrix'!X60</f>
        <v>0</v>
      </c>
      <c r="Y60" s="89">
        <f>'[1]OMM_Unit Matrix'!Y60</f>
        <v>0</v>
      </c>
      <c r="Z60" s="89">
        <f>'[1]OMM_Unit Matrix'!Z60</f>
        <v>0</v>
      </c>
      <c r="AA60" s="89">
        <f>'[1]OMM_Unit Matrix'!AA60</f>
        <v>0</v>
      </c>
      <c r="AB60" s="89">
        <f>'[1]OMM_Unit Matrix'!AB60</f>
        <v>0</v>
      </c>
      <c r="AC60" s="89">
        <f>'[1]OMM_Unit Matrix'!AC60</f>
        <v>0</v>
      </c>
      <c r="AD60" s="89">
        <f>'[1]OMM_Unit Matrix'!AD60</f>
        <v>0</v>
      </c>
      <c r="AE60" s="89">
        <f>'[1]OMM_Unit Matrix'!AE60</f>
        <v>0</v>
      </c>
      <c r="AF60" s="89">
        <f>'[1]OMM_Unit Matrix'!AF60</f>
        <v>0</v>
      </c>
      <c r="AG60" s="89">
        <f>'[1]OMM_Unit Matrix'!AG60</f>
        <v>0</v>
      </c>
      <c r="AH60" s="89">
        <f>'[1]OMM_Unit Matrix'!AH60</f>
        <v>0</v>
      </c>
      <c r="AI60" s="89">
        <f>'[1]OMM_Unit Matrix'!AI60</f>
        <v>0</v>
      </c>
      <c r="AJ60" s="89">
        <f>'[1]OMM_Unit Matrix'!AJ60</f>
        <v>0</v>
      </c>
      <c r="AK60" s="89">
        <f>'[1]OMM_Unit Matrix'!AK60</f>
        <v>0</v>
      </c>
      <c r="AL60" s="89">
        <f>'[1]OMM_Unit Matrix'!AL60</f>
        <v>0</v>
      </c>
      <c r="AM60" s="89">
        <f>'[1]OMM_Unit Matrix'!AM60</f>
        <v>0</v>
      </c>
      <c r="AN60" s="89">
        <f>'[1]OMM_Unit Matrix'!AN60</f>
        <v>0</v>
      </c>
      <c r="AO60" s="89">
        <f>'[1]OMM_Unit Matrix'!AO60</f>
        <v>0</v>
      </c>
      <c r="AP60" s="89">
        <f>'[1]OMM_Unit Matrix'!AP60</f>
        <v>0</v>
      </c>
      <c r="AQ60" s="270">
        <f>'[1]OMM_Unit Matrix'!AQ60</f>
        <v>0</v>
      </c>
    </row>
    <row r="61" spans="2:47" hidden="1">
      <c r="B61" s="89">
        <f>'[1]OMM_Unit Matrix'!B61</f>
        <v>3</v>
      </c>
      <c r="C61" s="275">
        <f>'[1]OMM_Unit Matrix'!C61</f>
        <v>23</v>
      </c>
      <c r="D61" s="89">
        <f>'[1]OMM_Unit Matrix'!D61</f>
        <v>3023</v>
      </c>
      <c r="E61" s="89">
        <f>'[1]OMM_Unit Matrix'!E61</f>
        <v>0</v>
      </c>
      <c r="F61" s="89">
        <f>'[1]OMM_Unit Matrix'!F61</f>
        <v>0</v>
      </c>
      <c r="G61" s="89" t="str">
        <f>'[1]OMM_Unit Matrix'!G61</f>
        <v>NOT IN SCOPE</v>
      </c>
      <c r="H61" s="89">
        <f>'[1]OMM_Unit Matrix'!H61</f>
        <v>0</v>
      </c>
      <c r="I61" s="89">
        <f>'[1]OMM_Unit Matrix'!I61</f>
        <v>0</v>
      </c>
      <c r="J61" s="89">
        <f>'[1]OMM_Unit Matrix'!J61</f>
        <v>0</v>
      </c>
      <c r="K61" s="89">
        <f>'[1]OMM_Unit Matrix'!K61</f>
        <v>0</v>
      </c>
      <c r="L61" s="89">
        <f>'[1]OMM_Unit Matrix'!L61</f>
        <v>0</v>
      </c>
      <c r="M61" s="89">
        <f>'[1]OMM_Unit Matrix'!M61</f>
        <v>0</v>
      </c>
      <c r="N61" s="89">
        <f>'[1]OMM_Unit Matrix'!N61</f>
        <v>0</v>
      </c>
      <c r="O61" s="89">
        <f>'[1]OMM_Unit Matrix'!O61</f>
        <v>0</v>
      </c>
      <c r="P61" s="89">
        <f>'[1]OMM_Unit Matrix'!P61</f>
        <v>0</v>
      </c>
      <c r="Q61" s="89">
        <f>'[1]OMM_Unit Matrix'!Q61</f>
        <v>0</v>
      </c>
      <c r="R61" s="89">
        <f>'[1]OMM_Unit Matrix'!R61</f>
        <v>0</v>
      </c>
      <c r="S61" s="89">
        <f>'[1]OMM_Unit Matrix'!S61</f>
        <v>0</v>
      </c>
      <c r="T61" s="89">
        <f>'[1]OMM_Unit Matrix'!T61</f>
        <v>0</v>
      </c>
      <c r="U61" s="89">
        <f>'[1]OMM_Unit Matrix'!U61</f>
        <v>0</v>
      </c>
      <c r="V61" s="89">
        <f>'[1]OMM_Unit Matrix'!V61</f>
        <v>0</v>
      </c>
      <c r="W61" s="89">
        <f>'[1]OMM_Unit Matrix'!W61</f>
        <v>0</v>
      </c>
      <c r="X61" s="89">
        <f>'[1]OMM_Unit Matrix'!X61</f>
        <v>0</v>
      </c>
      <c r="Y61" s="89">
        <f>'[1]OMM_Unit Matrix'!Y61</f>
        <v>0</v>
      </c>
      <c r="Z61" s="89">
        <f>'[1]OMM_Unit Matrix'!Z61</f>
        <v>0</v>
      </c>
      <c r="AA61" s="89">
        <f>'[1]OMM_Unit Matrix'!AA61</f>
        <v>0</v>
      </c>
      <c r="AB61" s="89">
        <f>'[1]OMM_Unit Matrix'!AB61</f>
        <v>0</v>
      </c>
      <c r="AC61" s="89">
        <f>'[1]OMM_Unit Matrix'!AC61</f>
        <v>0</v>
      </c>
      <c r="AD61" s="89">
        <f>'[1]OMM_Unit Matrix'!AD61</f>
        <v>0</v>
      </c>
      <c r="AE61" s="89">
        <f>'[1]OMM_Unit Matrix'!AE61</f>
        <v>0</v>
      </c>
      <c r="AF61" s="89">
        <f>'[1]OMM_Unit Matrix'!AF61</f>
        <v>0</v>
      </c>
      <c r="AG61" s="89">
        <f>'[1]OMM_Unit Matrix'!AG61</f>
        <v>0</v>
      </c>
      <c r="AH61" s="89">
        <f>'[1]OMM_Unit Matrix'!AH61</f>
        <v>0</v>
      </c>
      <c r="AI61" s="89">
        <f>'[1]OMM_Unit Matrix'!AI61</f>
        <v>0</v>
      </c>
      <c r="AJ61" s="89">
        <f>'[1]OMM_Unit Matrix'!AJ61</f>
        <v>0</v>
      </c>
      <c r="AK61" s="89">
        <f>'[1]OMM_Unit Matrix'!AK61</f>
        <v>0</v>
      </c>
      <c r="AL61" s="89">
        <f>'[1]OMM_Unit Matrix'!AL61</f>
        <v>0</v>
      </c>
      <c r="AM61" s="89">
        <f>'[1]OMM_Unit Matrix'!AM61</f>
        <v>0</v>
      </c>
      <c r="AN61" s="89">
        <f>'[1]OMM_Unit Matrix'!AN61</f>
        <v>0</v>
      </c>
      <c r="AO61" s="89">
        <f>'[1]OMM_Unit Matrix'!AO61</f>
        <v>0</v>
      </c>
      <c r="AP61" s="89">
        <f>'[1]OMM_Unit Matrix'!AP61</f>
        <v>0</v>
      </c>
      <c r="AQ61" s="270">
        <f>'[1]OMM_Unit Matrix'!AQ61</f>
        <v>0</v>
      </c>
    </row>
    <row r="62" spans="2:47" hidden="1">
      <c r="B62" s="89">
        <f>'[1]OMM_Unit Matrix'!B62</f>
        <v>3</v>
      </c>
      <c r="C62" s="275">
        <f>'[1]OMM_Unit Matrix'!C62</f>
        <v>24</v>
      </c>
      <c r="D62" s="89">
        <f>'[1]OMM_Unit Matrix'!D62</f>
        <v>3024</v>
      </c>
      <c r="E62" s="89">
        <f>'[1]OMM_Unit Matrix'!E62</f>
        <v>0</v>
      </c>
      <c r="F62" s="89">
        <f>'[1]OMM_Unit Matrix'!F62</f>
        <v>0</v>
      </c>
      <c r="G62" s="89" t="str">
        <f>'[1]OMM_Unit Matrix'!G62</f>
        <v>NOT IN SCOPE</v>
      </c>
      <c r="H62" s="89">
        <f>'[1]OMM_Unit Matrix'!H62</f>
        <v>0</v>
      </c>
      <c r="I62" s="89">
        <f>'[1]OMM_Unit Matrix'!I62</f>
        <v>0</v>
      </c>
      <c r="J62" s="89">
        <f>'[1]OMM_Unit Matrix'!J62</f>
        <v>0</v>
      </c>
      <c r="K62" s="89">
        <f>'[1]OMM_Unit Matrix'!K62</f>
        <v>0</v>
      </c>
      <c r="L62" s="89">
        <f>'[1]OMM_Unit Matrix'!L62</f>
        <v>0</v>
      </c>
      <c r="M62" s="89">
        <f>'[1]OMM_Unit Matrix'!M62</f>
        <v>0</v>
      </c>
      <c r="N62" s="89">
        <f>'[1]OMM_Unit Matrix'!N62</f>
        <v>0</v>
      </c>
      <c r="O62" s="89">
        <f>'[1]OMM_Unit Matrix'!O62</f>
        <v>0</v>
      </c>
      <c r="P62" s="89">
        <f>'[1]OMM_Unit Matrix'!P62</f>
        <v>0</v>
      </c>
      <c r="Q62" s="89">
        <f>'[1]OMM_Unit Matrix'!Q62</f>
        <v>0</v>
      </c>
      <c r="R62" s="89">
        <f>'[1]OMM_Unit Matrix'!R62</f>
        <v>0</v>
      </c>
      <c r="S62" s="89">
        <f>'[1]OMM_Unit Matrix'!S62</f>
        <v>0</v>
      </c>
      <c r="T62" s="89">
        <f>'[1]OMM_Unit Matrix'!T62</f>
        <v>0</v>
      </c>
      <c r="U62" s="89">
        <f>'[1]OMM_Unit Matrix'!U62</f>
        <v>0</v>
      </c>
      <c r="V62" s="89">
        <f>'[1]OMM_Unit Matrix'!V62</f>
        <v>0</v>
      </c>
      <c r="W62" s="89">
        <f>'[1]OMM_Unit Matrix'!W62</f>
        <v>0</v>
      </c>
      <c r="X62" s="89">
        <f>'[1]OMM_Unit Matrix'!X62</f>
        <v>0</v>
      </c>
      <c r="Y62" s="89">
        <f>'[1]OMM_Unit Matrix'!Y62</f>
        <v>0</v>
      </c>
      <c r="Z62" s="89">
        <f>'[1]OMM_Unit Matrix'!Z62</f>
        <v>0</v>
      </c>
      <c r="AA62" s="89">
        <f>'[1]OMM_Unit Matrix'!AA62</f>
        <v>0</v>
      </c>
      <c r="AB62" s="89">
        <f>'[1]OMM_Unit Matrix'!AB62</f>
        <v>0</v>
      </c>
      <c r="AC62" s="89">
        <f>'[1]OMM_Unit Matrix'!AC62</f>
        <v>0</v>
      </c>
      <c r="AD62" s="89">
        <f>'[1]OMM_Unit Matrix'!AD62</f>
        <v>0</v>
      </c>
      <c r="AE62" s="89">
        <f>'[1]OMM_Unit Matrix'!AE62</f>
        <v>0</v>
      </c>
      <c r="AF62" s="89">
        <f>'[1]OMM_Unit Matrix'!AF62</f>
        <v>0</v>
      </c>
      <c r="AG62" s="89">
        <f>'[1]OMM_Unit Matrix'!AG62</f>
        <v>0</v>
      </c>
      <c r="AH62" s="89">
        <f>'[1]OMM_Unit Matrix'!AH62</f>
        <v>0</v>
      </c>
      <c r="AI62" s="89">
        <f>'[1]OMM_Unit Matrix'!AI62</f>
        <v>0</v>
      </c>
      <c r="AJ62" s="89">
        <f>'[1]OMM_Unit Matrix'!AJ62</f>
        <v>0</v>
      </c>
      <c r="AK62" s="89">
        <f>'[1]OMM_Unit Matrix'!AK62</f>
        <v>0</v>
      </c>
      <c r="AL62" s="89">
        <f>'[1]OMM_Unit Matrix'!AL62</f>
        <v>0</v>
      </c>
      <c r="AM62" s="89">
        <f>'[1]OMM_Unit Matrix'!AM62</f>
        <v>0</v>
      </c>
      <c r="AN62" s="89">
        <f>'[1]OMM_Unit Matrix'!AN62</f>
        <v>0</v>
      </c>
      <c r="AO62" s="89">
        <f>'[1]OMM_Unit Matrix'!AO62</f>
        <v>0</v>
      </c>
      <c r="AP62" s="89">
        <f>'[1]OMM_Unit Matrix'!AP62</f>
        <v>0</v>
      </c>
      <c r="AQ62" s="270">
        <f>'[1]OMM_Unit Matrix'!AQ62</f>
        <v>0</v>
      </c>
    </row>
    <row r="63" spans="2:47">
      <c r="B63" s="89">
        <f>'[1]OMM_Unit Matrix'!B63</f>
        <v>3</v>
      </c>
      <c r="C63" s="275">
        <f>'[1]OMM_Unit Matrix'!C63</f>
        <v>25</v>
      </c>
      <c r="D63" s="89">
        <f>'[1]OMM_Unit Matrix'!D63</f>
        <v>3025</v>
      </c>
      <c r="E63" s="89" t="str">
        <f>'[1]OMM_Unit Matrix'!E63</f>
        <v>NO</v>
      </c>
      <c r="F63" s="132" t="str">
        <f>'[1]OMM_Unit Matrix'!F63</f>
        <v>2B-09</v>
      </c>
      <c r="G63" s="89" t="str">
        <f>'[1]OMM_Unit Matrix'!G63</f>
        <v>ORDERED</v>
      </c>
      <c r="H63" s="89" t="str">
        <f>'[1]OMM_Unit Matrix'!H63</f>
        <v>NO</v>
      </c>
      <c r="I63" s="89">
        <f>'[1]OMM_Unit Matrix'!I63</f>
        <v>0</v>
      </c>
      <c r="J63" s="89" t="str">
        <f>'[1]OMM_Unit Matrix'!J63</f>
        <v>NO</v>
      </c>
      <c r="K63" s="89">
        <f>'[1]OMM_Unit Matrix'!K63</f>
        <v>0</v>
      </c>
      <c r="L63" s="89" t="str">
        <f>'[1]OMM_Unit Matrix'!L63</f>
        <v>NO</v>
      </c>
      <c r="M63" s="89">
        <f>'[1]OMM_Unit Matrix'!M63</f>
        <v>0</v>
      </c>
      <c r="N63" s="89" t="str">
        <f>'[1]OMM_Unit Matrix'!N63</f>
        <v>NO</v>
      </c>
      <c r="O63" s="89">
        <f>'[1]OMM_Unit Matrix'!O63</f>
        <v>0</v>
      </c>
      <c r="P63" s="89" t="str">
        <f>'[1]OMM_Unit Matrix'!P63</f>
        <v>NO</v>
      </c>
      <c r="Q63" s="89">
        <f>'[1]OMM_Unit Matrix'!Q63</f>
        <v>0</v>
      </c>
      <c r="R63" s="89" t="str">
        <f>'[1]OMM_Unit Matrix'!R63</f>
        <v>YES</v>
      </c>
      <c r="S63" s="201">
        <f>'[1]OMM_Unit Matrix'!S63</f>
        <v>2</v>
      </c>
      <c r="T63" s="89" t="str">
        <f>'[1]OMM_Unit Matrix'!T63</f>
        <v>NO</v>
      </c>
      <c r="U63" s="89">
        <f>'[1]OMM_Unit Matrix'!U63</f>
        <v>0</v>
      </c>
      <c r="V63" s="89" t="str">
        <f>'[1]OMM_Unit Matrix'!V63</f>
        <v>YES</v>
      </c>
      <c r="W63" s="201">
        <f>'[1]OMM_Unit Matrix'!W63</f>
        <v>2</v>
      </c>
      <c r="X63" s="89" t="str">
        <f>'[1]OMM_Unit Matrix'!X63</f>
        <v>NO</v>
      </c>
      <c r="Y63" s="89">
        <f>'[1]OMM_Unit Matrix'!Y63</f>
        <v>0</v>
      </c>
      <c r="Z63" s="89" t="str">
        <f>'[1]OMM_Unit Matrix'!Z63</f>
        <v>NO</v>
      </c>
      <c r="AA63" s="89">
        <f>'[1]OMM_Unit Matrix'!AA63</f>
        <v>0</v>
      </c>
      <c r="AB63" s="89" t="str">
        <f>'[1]OMM_Unit Matrix'!AB63</f>
        <v>NO</v>
      </c>
      <c r="AC63" s="89">
        <f>'[1]OMM_Unit Matrix'!AC63</f>
        <v>0</v>
      </c>
      <c r="AD63" s="89" t="str">
        <f>'[1]OMM_Unit Matrix'!AD63</f>
        <v>NO</v>
      </c>
      <c r="AE63" s="89">
        <f>'[1]OMM_Unit Matrix'!AE63</f>
        <v>0</v>
      </c>
      <c r="AF63" s="89" t="str">
        <f>'[1]OMM_Unit Matrix'!AF63</f>
        <v>NO</v>
      </c>
      <c r="AG63" s="89">
        <f>'[1]OMM_Unit Matrix'!AG63</f>
        <v>0</v>
      </c>
      <c r="AH63" s="89" t="str">
        <f>'[1]OMM_Unit Matrix'!AH63</f>
        <v>NO</v>
      </c>
      <c r="AI63" s="89">
        <f>'[1]OMM_Unit Matrix'!AI63</f>
        <v>0</v>
      </c>
      <c r="AJ63" s="89" t="str">
        <f>'[1]OMM_Unit Matrix'!AJ63</f>
        <v>NO</v>
      </c>
      <c r="AK63" s="89">
        <f>'[1]OMM_Unit Matrix'!AK63</f>
        <v>0</v>
      </c>
      <c r="AL63" s="89" t="str">
        <f>'[1]OMM_Unit Matrix'!AL63</f>
        <v>NO</v>
      </c>
      <c r="AM63" s="89">
        <f>'[1]OMM_Unit Matrix'!AM63</f>
        <v>0</v>
      </c>
      <c r="AN63" s="89" t="str">
        <f>'[1]OMM_Unit Matrix'!AN63</f>
        <v>NO</v>
      </c>
      <c r="AO63" s="89">
        <f>'[1]OMM_Unit Matrix'!AO63</f>
        <v>0</v>
      </c>
      <c r="AP63" s="89" t="str">
        <f>'[1]OMM_Unit Matrix'!AP63</f>
        <v>NO</v>
      </c>
      <c r="AQ63" s="89">
        <f>'[1]OMM_Unit Matrix'!AQ63</f>
        <v>0</v>
      </c>
    </row>
    <row r="64" spans="2:47" hidden="1">
      <c r="B64" s="89">
        <f>'[1]OMM_Unit Matrix'!B64</f>
        <v>3</v>
      </c>
      <c r="C64" s="275">
        <f>'[1]OMM_Unit Matrix'!C64</f>
        <v>26</v>
      </c>
      <c r="D64" s="89">
        <f>'[1]OMM_Unit Matrix'!D64</f>
        <v>3026</v>
      </c>
      <c r="E64" s="89">
        <f>'[1]OMM_Unit Matrix'!E64</f>
        <v>0</v>
      </c>
      <c r="F64" s="89">
        <f>'[1]OMM_Unit Matrix'!F64</f>
        <v>0</v>
      </c>
      <c r="G64" s="89" t="str">
        <f>'[1]OMM_Unit Matrix'!G64</f>
        <v>NOT IN SCOPE</v>
      </c>
      <c r="H64" s="89">
        <f>'[1]OMM_Unit Matrix'!H64</f>
        <v>0</v>
      </c>
      <c r="I64" s="89">
        <f>'[1]OMM_Unit Matrix'!I64</f>
        <v>0</v>
      </c>
      <c r="J64" s="89">
        <f>'[1]OMM_Unit Matrix'!J64</f>
        <v>0</v>
      </c>
      <c r="K64" s="89">
        <f>'[1]OMM_Unit Matrix'!K64</f>
        <v>0</v>
      </c>
      <c r="L64" s="89">
        <f>'[1]OMM_Unit Matrix'!L64</f>
        <v>0</v>
      </c>
      <c r="M64" s="89">
        <f>'[1]OMM_Unit Matrix'!M64</f>
        <v>0</v>
      </c>
      <c r="N64" s="89">
        <f>'[1]OMM_Unit Matrix'!N64</f>
        <v>0</v>
      </c>
      <c r="O64" s="89">
        <f>'[1]OMM_Unit Matrix'!O64</f>
        <v>0</v>
      </c>
      <c r="P64" s="89">
        <f>'[1]OMM_Unit Matrix'!P64</f>
        <v>0</v>
      </c>
      <c r="Q64" s="89">
        <f>'[1]OMM_Unit Matrix'!Q64</f>
        <v>0</v>
      </c>
      <c r="R64" s="89">
        <f>'[1]OMM_Unit Matrix'!R64</f>
        <v>0</v>
      </c>
      <c r="S64" s="89">
        <f>'[1]OMM_Unit Matrix'!S64</f>
        <v>0</v>
      </c>
      <c r="T64" s="89">
        <f>'[1]OMM_Unit Matrix'!T64</f>
        <v>0</v>
      </c>
      <c r="U64" s="89">
        <f>'[1]OMM_Unit Matrix'!U64</f>
        <v>0</v>
      </c>
      <c r="V64" s="89">
        <f>'[1]OMM_Unit Matrix'!V64</f>
        <v>0</v>
      </c>
      <c r="W64" s="89">
        <f>'[1]OMM_Unit Matrix'!W64</f>
        <v>0</v>
      </c>
      <c r="X64" s="89">
        <f>'[1]OMM_Unit Matrix'!X64</f>
        <v>0</v>
      </c>
      <c r="Y64" s="89">
        <f>'[1]OMM_Unit Matrix'!Y64</f>
        <v>0</v>
      </c>
      <c r="Z64" s="89">
        <f>'[1]OMM_Unit Matrix'!Z64</f>
        <v>0</v>
      </c>
      <c r="AA64" s="89">
        <f>'[1]OMM_Unit Matrix'!AA64</f>
        <v>0</v>
      </c>
      <c r="AB64" s="89">
        <f>'[1]OMM_Unit Matrix'!AB64</f>
        <v>0</v>
      </c>
      <c r="AC64" s="89">
        <f>'[1]OMM_Unit Matrix'!AC64</f>
        <v>0</v>
      </c>
      <c r="AD64" s="89">
        <f>'[1]OMM_Unit Matrix'!AD64</f>
        <v>0</v>
      </c>
      <c r="AE64" s="89">
        <f>'[1]OMM_Unit Matrix'!AE64</f>
        <v>0</v>
      </c>
      <c r="AF64" s="89">
        <f>'[1]OMM_Unit Matrix'!AF64</f>
        <v>0</v>
      </c>
      <c r="AG64" s="89">
        <f>'[1]OMM_Unit Matrix'!AG64</f>
        <v>0</v>
      </c>
      <c r="AH64" s="89">
        <f>'[1]OMM_Unit Matrix'!AH64</f>
        <v>0</v>
      </c>
      <c r="AI64" s="89">
        <f>'[1]OMM_Unit Matrix'!AI64</f>
        <v>0</v>
      </c>
      <c r="AJ64" s="89">
        <f>'[1]OMM_Unit Matrix'!AJ64</f>
        <v>0</v>
      </c>
      <c r="AK64" s="89">
        <f>'[1]OMM_Unit Matrix'!AK64</f>
        <v>0</v>
      </c>
      <c r="AL64" s="89">
        <f>'[1]OMM_Unit Matrix'!AL64</f>
        <v>0</v>
      </c>
      <c r="AM64" s="89">
        <f>'[1]OMM_Unit Matrix'!AM64</f>
        <v>0</v>
      </c>
      <c r="AN64" s="89">
        <f>'[1]OMM_Unit Matrix'!AN64</f>
        <v>0</v>
      </c>
      <c r="AO64" s="89">
        <f>'[1]OMM_Unit Matrix'!AO64</f>
        <v>0</v>
      </c>
      <c r="AP64" s="89">
        <f>'[1]OMM_Unit Matrix'!AP64</f>
        <v>0</v>
      </c>
      <c r="AQ64" s="270">
        <f>'[1]OMM_Unit Matrix'!AQ64</f>
        <v>0</v>
      </c>
    </row>
    <row r="65" spans="2:43">
      <c r="B65" s="89">
        <f>'[1]OMM_Unit Matrix'!B65</f>
        <v>3</v>
      </c>
      <c r="C65" s="275">
        <f>'[1]OMM_Unit Matrix'!C65</f>
        <v>27</v>
      </c>
      <c r="D65" s="89">
        <f>'[1]OMM_Unit Matrix'!D65</f>
        <v>3027</v>
      </c>
      <c r="E65" s="89" t="str">
        <f>'[1]OMM_Unit Matrix'!E65</f>
        <v>NO</v>
      </c>
      <c r="F65" s="132" t="str">
        <f>'[1]OMM_Unit Matrix'!F65</f>
        <v>2B-11</v>
      </c>
      <c r="G65" s="89" t="str">
        <f>'[1]OMM_Unit Matrix'!G65</f>
        <v>ORDERED</v>
      </c>
      <c r="H65" s="89" t="str">
        <f>'[1]OMM_Unit Matrix'!H65</f>
        <v>YES</v>
      </c>
      <c r="I65" s="201">
        <f>'[1]OMM_Unit Matrix'!I65</f>
        <v>2</v>
      </c>
      <c r="J65" s="89" t="str">
        <f>'[1]OMM_Unit Matrix'!J65</f>
        <v>NO</v>
      </c>
      <c r="K65" s="89">
        <f>'[1]OMM_Unit Matrix'!K65</f>
        <v>0</v>
      </c>
      <c r="L65" s="89" t="str">
        <f>'[1]OMM_Unit Matrix'!L65</f>
        <v>NO</v>
      </c>
      <c r="M65" s="89">
        <f>'[1]OMM_Unit Matrix'!M65</f>
        <v>0</v>
      </c>
      <c r="N65" s="89" t="str">
        <f>'[1]OMM_Unit Matrix'!N65</f>
        <v>YES</v>
      </c>
      <c r="O65" s="201">
        <f>'[1]OMM_Unit Matrix'!O65</f>
        <v>2</v>
      </c>
      <c r="P65" s="89" t="str">
        <f>'[1]OMM_Unit Matrix'!P65</f>
        <v>NO</v>
      </c>
      <c r="Q65" s="89">
        <f>'[1]OMM_Unit Matrix'!Q65</f>
        <v>0</v>
      </c>
      <c r="R65" s="89" t="str">
        <f>'[1]OMM_Unit Matrix'!R65</f>
        <v>NO</v>
      </c>
      <c r="S65" s="89">
        <f>'[1]OMM_Unit Matrix'!S65</f>
        <v>0</v>
      </c>
      <c r="T65" s="89" t="str">
        <f>'[1]OMM_Unit Matrix'!T65</f>
        <v>NO</v>
      </c>
      <c r="U65" s="89">
        <f>'[1]OMM_Unit Matrix'!U65</f>
        <v>0</v>
      </c>
      <c r="V65" s="89" t="str">
        <f>'[1]OMM_Unit Matrix'!V65</f>
        <v>YES</v>
      </c>
      <c r="W65" s="201">
        <f>'[1]OMM_Unit Matrix'!W65</f>
        <v>2</v>
      </c>
      <c r="X65" s="89" t="str">
        <f>'[1]OMM_Unit Matrix'!X65</f>
        <v>NO</v>
      </c>
      <c r="Y65" s="89">
        <f>'[1]OMM_Unit Matrix'!Y65</f>
        <v>0</v>
      </c>
      <c r="Z65" s="89" t="str">
        <f>'[1]OMM_Unit Matrix'!Z65</f>
        <v>NO</v>
      </c>
      <c r="AA65" s="89">
        <f>'[1]OMM_Unit Matrix'!AA65</f>
        <v>0</v>
      </c>
      <c r="AB65" s="89" t="str">
        <f>'[1]OMM_Unit Matrix'!AB65</f>
        <v>YES</v>
      </c>
      <c r="AC65" s="201">
        <f>'[1]OMM_Unit Matrix'!AC65</f>
        <v>2</v>
      </c>
      <c r="AD65" s="89" t="str">
        <f>'[1]OMM_Unit Matrix'!AD65</f>
        <v>YES</v>
      </c>
      <c r="AE65" s="201">
        <f>'[1]OMM_Unit Matrix'!AE65</f>
        <v>2</v>
      </c>
      <c r="AF65" s="89" t="str">
        <f>'[1]OMM_Unit Matrix'!AF65</f>
        <v>NO</v>
      </c>
      <c r="AG65" s="89">
        <f>'[1]OMM_Unit Matrix'!AG65</f>
        <v>0</v>
      </c>
      <c r="AH65" s="89" t="str">
        <f>'[1]OMM_Unit Matrix'!AH65</f>
        <v>NO</v>
      </c>
      <c r="AI65" s="89">
        <f>'[1]OMM_Unit Matrix'!AI65</f>
        <v>0</v>
      </c>
      <c r="AJ65" s="89" t="str">
        <f>'[1]OMM_Unit Matrix'!AJ65</f>
        <v>NO</v>
      </c>
      <c r="AK65" s="89">
        <f>'[1]OMM_Unit Matrix'!AK65</f>
        <v>0</v>
      </c>
      <c r="AL65" s="89" t="str">
        <f>'[1]OMM_Unit Matrix'!AL65</f>
        <v>NO</v>
      </c>
      <c r="AM65" s="89">
        <f>'[1]OMM_Unit Matrix'!AM65</f>
        <v>0</v>
      </c>
      <c r="AN65" s="89" t="str">
        <f>'[1]OMM_Unit Matrix'!AN65</f>
        <v>NO</v>
      </c>
      <c r="AO65" s="89">
        <f>'[1]OMM_Unit Matrix'!AO65</f>
        <v>0</v>
      </c>
      <c r="AP65" s="89" t="str">
        <f>'[1]OMM_Unit Matrix'!AP65</f>
        <v>NO</v>
      </c>
      <c r="AQ65" s="89">
        <f>'[1]OMM_Unit Matrix'!AQ65</f>
        <v>0</v>
      </c>
    </row>
    <row r="66" spans="2:43" hidden="1">
      <c r="B66" s="89">
        <f>'[1]OMM_Unit Matrix'!B66</f>
        <v>3</v>
      </c>
      <c r="C66" s="275">
        <f>'[1]OMM_Unit Matrix'!C66</f>
        <v>28</v>
      </c>
      <c r="D66" s="89">
        <f>'[1]OMM_Unit Matrix'!D66</f>
        <v>3028</v>
      </c>
      <c r="E66" s="89">
        <f>'[1]OMM_Unit Matrix'!E66</f>
        <v>0</v>
      </c>
      <c r="F66" s="89">
        <f>'[1]OMM_Unit Matrix'!F66</f>
        <v>0</v>
      </c>
      <c r="G66" s="89" t="str">
        <f>'[1]OMM_Unit Matrix'!G66</f>
        <v>NOT IN SCOPE</v>
      </c>
      <c r="H66" s="89">
        <f>'[1]OMM_Unit Matrix'!H66</f>
        <v>0</v>
      </c>
      <c r="I66" s="89">
        <f>'[1]OMM_Unit Matrix'!I66</f>
        <v>0</v>
      </c>
      <c r="J66" s="89">
        <f>'[1]OMM_Unit Matrix'!J66</f>
        <v>0</v>
      </c>
      <c r="K66" s="89">
        <f>'[1]OMM_Unit Matrix'!K66</f>
        <v>0</v>
      </c>
      <c r="L66" s="89">
        <f>'[1]OMM_Unit Matrix'!L66</f>
        <v>0</v>
      </c>
      <c r="M66" s="89">
        <f>'[1]OMM_Unit Matrix'!M66</f>
        <v>0</v>
      </c>
      <c r="N66" s="89">
        <f>'[1]OMM_Unit Matrix'!N66</f>
        <v>0</v>
      </c>
      <c r="O66" s="89">
        <f>'[1]OMM_Unit Matrix'!O66</f>
        <v>0</v>
      </c>
      <c r="P66" s="89">
        <f>'[1]OMM_Unit Matrix'!P66</f>
        <v>0</v>
      </c>
      <c r="Q66" s="89">
        <f>'[1]OMM_Unit Matrix'!Q66</f>
        <v>0</v>
      </c>
      <c r="R66" s="89">
        <f>'[1]OMM_Unit Matrix'!R66</f>
        <v>0</v>
      </c>
      <c r="S66" s="89">
        <f>'[1]OMM_Unit Matrix'!S66</f>
        <v>0</v>
      </c>
      <c r="T66" s="89">
        <f>'[1]OMM_Unit Matrix'!T66</f>
        <v>0</v>
      </c>
      <c r="U66" s="89">
        <f>'[1]OMM_Unit Matrix'!U66</f>
        <v>0</v>
      </c>
      <c r="V66" s="89">
        <f>'[1]OMM_Unit Matrix'!V66</f>
        <v>0</v>
      </c>
      <c r="W66" s="89">
        <f>'[1]OMM_Unit Matrix'!W66</f>
        <v>0</v>
      </c>
      <c r="X66" s="89">
        <f>'[1]OMM_Unit Matrix'!X66</f>
        <v>0</v>
      </c>
      <c r="Y66" s="89">
        <f>'[1]OMM_Unit Matrix'!Y66</f>
        <v>0</v>
      </c>
      <c r="Z66" s="89">
        <f>'[1]OMM_Unit Matrix'!Z66</f>
        <v>0</v>
      </c>
      <c r="AA66" s="89">
        <f>'[1]OMM_Unit Matrix'!AA66</f>
        <v>0</v>
      </c>
      <c r="AB66" s="89">
        <f>'[1]OMM_Unit Matrix'!AB66</f>
        <v>0</v>
      </c>
      <c r="AC66" s="89">
        <f>'[1]OMM_Unit Matrix'!AC66</f>
        <v>0</v>
      </c>
      <c r="AD66" s="89">
        <f>'[1]OMM_Unit Matrix'!AD66</f>
        <v>0</v>
      </c>
      <c r="AE66" s="89">
        <f>'[1]OMM_Unit Matrix'!AE66</f>
        <v>0</v>
      </c>
      <c r="AF66" s="89">
        <f>'[1]OMM_Unit Matrix'!AF66</f>
        <v>0</v>
      </c>
      <c r="AG66" s="89">
        <f>'[1]OMM_Unit Matrix'!AG66</f>
        <v>0</v>
      </c>
      <c r="AH66" s="89">
        <f>'[1]OMM_Unit Matrix'!AH66</f>
        <v>0</v>
      </c>
      <c r="AI66" s="89">
        <f>'[1]OMM_Unit Matrix'!AI66</f>
        <v>0</v>
      </c>
      <c r="AJ66" s="89">
        <f>'[1]OMM_Unit Matrix'!AJ66</f>
        <v>0</v>
      </c>
      <c r="AK66" s="89">
        <f>'[1]OMM_Unit Matrix'!AK66</f>
        <v>0</v>
      </c>
      <c r="AL66" s="89">
        <f>'[1]OMM_Unit Matrix'!AL66</f>
        <v>0</v>
      </c>
      <c r="AM66" s="89">
        <f>'[1]OMM_Unit Matrix'!AM66</f>
        <v>0</v>
      </c>
      <c r="AN66" s="89">
        <f>'[1]OMM_Unit Matrix'!AN66</f>
        <v>0</v>
      </c>
      <c r="AO66" s="89">
        <f>'[1]OMM_Unit Matrix'!AO66</f>
        <v>0</v>
      </c>
      <c r="AP66" s="89">
        <f>'[1]OMM_Unit Matrix'!AP66</f>
        <v>0</v>
      </c>
      <c r="AQ66" s="270">
        <f>'[1]OMM_Unit Matrix'!AQ66</f>
        <v>0</v>
      </c>
    </row>
    <row r="67" spans="2:43" hidden="1">
      <c r="B67" s="89">
        <f>'[1]OMM_Unit Matrix'!B67</f>
        <v>4</v>
      </c>
      <c r="C67" s="275">
        <f>'[1]OMM_Unit Matrix'!C67</f>
        <v>1</v>
      </c>
      <c r="D67" s="89">
        <f>'[1]OMM_Unit Matrix'!D67</f>
        <v>4001</v>
      </c>
      <c r="E67" s="89">
        <f>'[1]OMM_Unit Matrix'!E67</f>
        <v>0</v>
      </c>
      <c r="F67" s="89">
        <f>'[1]OMM_Unit Matrix'!F67</f>
        <v>0</v>
      </c>
      <c r="G67" s="89" t="str">
        <f>'[1]OMM_Unit Matrix'!G67</f>
        <v>NOT IN SCOPE</v>
      </c>
      <c r="H67" s="89">
        <f>'[1]OMM_Unit Matrix'!H67</f>
        <v>0</v>
      </c>
      <c r="I67" s="89">
        <f>'[1]OMM_Unit Matrix'!I67</f>
        <v>0</v>
      </c>
      <c r="J67" s="89">
        <f>'[1]OMM_Unit Matrix'!J67</f>
        <v>0</v>
      </c>
      <c r="K67" s="89">
        <f>'[1]OMM_Unit Matrix'!K67</f>
        <v>0</v>
      </c>
      <c r="L67" s="89">
        <f>'[1]OMM_Unit Matrix'!L67</f>
        <v>0</v>
      </c>
      <c r="M67" s="89">
        <f>'[1]OMM_Unit Matrix'!M67</f>
        <v>0</v>
      </c>
      <c r="N67" s="89">
        <f>'[1]OMM_Unit Matrix'!N67</f>
        <v>0</v>
      </c>
      <c r="O67" s="89">
        <f>'[1]OMM_Unit Matrix'!O67</f>
        <v>0</v>
      </c>
      <c r="P67" s="89">
        <f>'[1]OMM_Unit Matrix'!P67</f>
        <v>0</v>
      </c>
      <c r="Q67" s="89">
        <f>'[1]OMM_Unit Matrix'!Q67</f>
        <v>0</v>
      </c>
      <c r="R67" s="89">
        <f>'[1]OMM_Unit Matrix'!R67</f>
        <v>0</v>
      </c>
      <c r="S67" s="89">
        <f>'[1]OMM_Unit Matrix'!S67</f>
        <v>0</v>
      </c>
      <c r="T67" s="89">
        <f>'[1]OMM_Unit Matrix'!T67</f>
        <v>0</v>
      </c>
      <c r="U67" s="89">
        <f>'[1]OMM_Unit Matrix'!U67</f>
        <v>0</v>
      </c>
      <c r="V67" s="89">
        <f>'[1]OMM_Unit Matrix'!V67</f>
        <v>0</v>
      </c>
      <c r="W67" s="89">
        <f>'[1]OMM_Unit Matrix'!W67</f>
        <v>0</v>
      </c>
      <c r="X67" s="89">
        <f>'[1]OMM_Unit Matrix'!X67</f>
        <v>0</v>
      </c>
      <c r="Y67" s="89">
        <f>'[1]OMM_Unit Matrix'!Y67</f>
        <v>0</v>
      </c>
      <c r="Z67" s="89">
        <f>'[1]OMM_Unit Matrix'!Z67</f>
        <v>0</v>
      </c>
      <c r="AA67" s="89">
        <f>'[1]OMM_Unit Matrix'!AA67</f>
        <v>0</v>
      </c>
      <c r="AB67" s="89">
        <f>'[1]OMM_Unit Matrix'!AB67</f>
        <v>0</v>
      </c>
      <c r="AC67" s="89">
        <f>'[1]OMM_Unit Matrix'!AC67</f>
        <v>0</v>
      </c>
      <c r="AD67" s="89">
        <f>'[1]OMM_Unit Matrix'!AD67</f>
        <v>0</v>
      </c>
      <c r="AE67" s="89">
        <f>'[1]OMM_Unit Matrix'!AE67</f>
        <v>0</v>
      </c>
      <c r="AF67" s="89">
        <f>'[1]OMM_Unit Matrix'!AF67</f>
        <v>0</v>
      </c>
      <c r="AG67" s="89">
        <f>'[1]OMM_Unit Matrix'!AG67</f>
        <v>0</v>
      </c>
      <c r="AH67" s="89">
        <f>'[1]OMM_Unit Matrix'!AH67</f>
        <v>0</v>
      </c>
      <c r="AI67" s="89">
        <f>'[1]OMM_Unit Matrix'!AI67</f>
        <v>0</v>
      </c>
      <c r="AJ67" s="89">
        <f>'[1]OMM_Unit Matrix'!AJ67</f>
        <v>0</v>
      </c>
      <c r="AK67" s="89">
        <f>'[1]OMM_Unit Matrix'!AK67</f>
        <v>0</v>
      </c>
      <c r="AL67" s="89">
        <f>'[1]OMM_Unit Matrix'!AL67</f>
        <v>0</v>
      </c>
      <c r="AM67" s="89">
        <f>'[1]OMM_Unit Matrix'!AM67</f>
        <v>0</v>
      </c>
      <c r="AN67" s="89">
        <f>'[1]OMM_Unit Matrix'!AN67</f>
        <v>0</v>
      </c>
      <c r="AO67" s="89">
        <f>'[1]OMM_Unit Matrix'!AO67</f>
        <v>0</v>
      </c>
      <c r="AP67" s="89">
        <f>'[1]OMM_Unit Matrix'!AP67</f>
        <v>0</v>
      </c>
      <c r="AQ67" s="270">
        <f>'[1]OMM_Unit Matrix'!AQ67</f>
        <v>0</v>
      </c>
    </row>
    <row r="68" spans="2:43" hidden="1">
      <c r="B68" s="89">
        <f>'[1]OMM_Unit Matrix'!B68</f>
        <v>4</v>
      </c>
      <c r="C68" s="275">
        <f>'[1]OMM_Unit Matrix'!C68</f>
        <v>2</v>
      </c>
      <c r="D68" s="89">
        <f>'[1]OMM_Unit Matrix'!D68</f>
        <v>4002</v>
      </c>
      <c r="E68" s="89">
        <f>'[1]OMM_Unit Matrix'!E68</f>
        <v>0</v>
      </c>
      <c r="F68" s="89">
        <f>'[1]OMM_Unit Matrix'!F68</f>
        <v>0</v>
      </c>
      <c r="G68" s="89" t="str">
        <f>'[1]OMM_Unit Matrix'!G68</f>
        <v>NOT IN SCOPE</v>
      </c>
      <c r="H68" s="89">
        <f>'[1]OMM_Unit Matrix'!H68</f>
        <v>0</v>
      </c>
      <c r="I68" s="89">
        <f>'[1]OMM_Unit Matrix'!I68</f>
        <v>0</v>
      </c>
      <c r="J68" s="89">
        <f>'[1]OMM_Unit Matrix'!J68</f>
        <v>0</v>
      </c>
      <c r="K68" s="89">
        <f>'[1]OMM_Unit Matrix'!K68</f>
        <v>0</v>
      </c>
      <c r="L68" s="89">
        <f>'[1]OMM_Unit Matrix'!L68</f>
        <v>0</v>
      </c>
      <c r="M68" s="89">
        <f>'[1]OMM_Unit Matrix'!M68</f>
        <v>0</v>
      </c>
      <c r="N68" s="89">
        <f>'[1]OMM_Unit Matrix'!N68</f>
        <v>0</v>
      </c>
      <c r="O68" s="89">
        <f>'[1]OMM_Unit Matrix'!O68</f>
        <v>0</v>
      </c>
      <c r="P68" s="89">
        <f>'[1]OMM_Unit Matrix'!P68</f>
        <v>0</v>
      </c>
      <c r="Q68" s="89">
        <f>'[1]OMM_Unit Matrix'!Q68</f>
        <v>0</v>
      </c>
      <c r="R68" s="89">
        <f>'[1]OMM_Unit Matrix'!R68</f>
        <v>0</v>
      </c>
      <c r="S68" s="89">
        <f>'[1]OMM_Unit Matrix'!S68</f>
        <v>0</v>
      </c>
      <c r="T68" s="89">
        <f>'[1]OMM_Unit Matrix'!T68</f>
        <v>0</v>
      </c>
      <c r="U68" s="89">
        <f>'[1]OMM_Unit Matrix'!U68</f>
        <v>0</v>
      </c>
      <c r="V68" s="89">
        <f>'[1]OMM_Unit Matrix'!V68</f>
        <v>0</v>
      </c>
      <c r="W68" s="89">
        <f>'[1]OMM_Unit Matrix'!W68</f>
        <v>0</v>
      </c>
      <c r="X68" s="89">
        <f>'[1]OMM_Unit Matrix'!X68</f>
        <v>0</v>
      </c>
      <c r="Y68" s="89">
        <f>'[1]OMM_Unit Matrix'!Y68</f>
        <v>0</v>
      </c>
      <c r="Z68" s="89">
        <f>'[1]OMM_Unit Matrix'!Z68</f>
        <v>0</v>
      </c>
      <c r="AA68" s="89">
        <f>'[1]OMM_Unit Matrix'!AA68</f>
        <v>0</v>
      </c>
      <c r="AB68" s="89">
        <f>'[1]OMM_Unit Matrix'!AB68</f>
        <v>0</v>
      </c>
      <c r="AC68" s="89">
        <f>'[1]OMM_Unit Matrix'!AC68</f>
        <v>0</v>
      </c>
      <c r="AD68" s="89">
        <f>'[1]OMM_Unit Matrix'!AD68</f>
        <v>0</v>
      </c>
      <c r="AE68" s="89">
        <f>'[1]OMM_Unit Matrix'!AE68</f>
        <v>0</v>
      </c>
      <c r="AF68" s="89">
        <f>'[1]OMM_Unit Matrix'!AF68</f>
        <v>0</v>
      </c>
      <c r="AG68" s="89">
        <f>'[1]OMM_Unit Matrix'!AG68</f>
        <v>0</v>
      </c>
      <c r="AH68" s="89">
        <f>'[1]OMM_Unit Matrix'!AH68</f>
        <v>0</v>
      </c>
      <c r="AI68" s="89">
        <f>'[1]OMM_Unit Matrix'!AI68</f>
        <v>0</v>
      </c>
      <c r="AJ68" s="89">
        <f>'[1]OMM_Unit Matrix'!AJ68</f>
        <v>0</v>
      </c>
      <c r="AK68" s="89">
        <f>'[1]OMM_Unit Matrix'!AK68</f>
        <v>0</v>
      </c>
      <c r="AL68" s="89">
        <f>'[1]OMM_Unit Matrix'!AL68</f>
        <v>0</v>
      </c>
      <c r="AM68" s="89">
        <f>'[1]OMM_Unit Matrix'!AM68</f>
        <v>0</v>
      </c>
      <c r="AN68" s="89">
        <f>'[1]OMM_Unit Matrix'!AN68</f>
        <v>0</v>
      </c>
      <c r="AO68" s="89">
        <f>'[1]OMM_Unit Matrix'!AO68</f>
        <v>0</v>
      </c>
      <c r="AP68" s="89">
        <f>'[1]OMM_Unit Matrix'!AP68</f>
        <v>0</v>
      </c>
      <c r="AQ68" s="270">
        <f>'[1]OMM_Unit Matrix'!AQ68</f>
        <v>0</v>
      </c>
    </row>
    <row r="69" spans="2:43" hidden="1">
      <c r="B69" s="89">
        <f>'[1]OMM_Unit Matrix'!B69</f>
        <v>4</v>
      </c>
      <c r="C69" s="275">
        <f>'[1]OMM_Unit Matrix'!C69</f>
        <v>3</v>
      </c>
      <c r="D69" s="89">
        <f>'[1]OMM_Unit Matrix'!D69</f>
        <v>4003</v>
      </c>
      <c r="E69" s="89">
        <f>'[1]OMM_Unit Matrix'!E69</f>
        <v>0</v>
      </c>
      <c r="F69" s="89">
        <f>'[1]OMM_Unit Matrix'!F69</f>
        <v>0</v>
      </c>
      <c r="G69" s="89" t="str">
        <f>'[1]OMM_Unit Matrix'!G69</f>
        <v>NOT IN SCOPE</v>
      </c>
      <c r="H69" s="89">
        <f>'[1]OMM_Unit Matrix'!H69</f>
        <v>0</v>
      </c>
      <c r="I69" s="89">
        <f>'[1]OMM_Unit Matrix'!I69</f>
        <v>0</v>
      </c>
      <c r="J69" s="89">
        <f>'[1]OMM_Unit Matrix'!J69</f>
        <v>0</v>
      </c>
      <c r="K69" s="89">
        <f>'[1]OMM_Unit Matrix'!K69</f>
        <v>0</v>
      </c>
      <c r="L69" s="89">
        <f>'[1]OMM_Unit Matrix'!L69</f>
        <v>0</v>
      </c>
      <c r="M69" s="89">
        <f>'[1]OMM_Unit Matrix'!M69</f>
        <v>0</v>
      </c>
      <c r="N69" s="89">
        <f>'[1]OMM_Unit Matrix'!N69</f>
        <v>0</v>
      </c>
      <c r="O69" s="89">
        <f>'[1]OMM_Unit Matrix'!O69</f>
        <v>0</v>
      </c>
      <c r="P69" s="89">
        <f>'[1]OMM_Unit Matrix'!P69</f>
        <v>0</v>
      </c>
      <c r="Q69" s="89">
        <f>'[1]OMM_Unit Matrix'!Q69</f>
        <v>0</v>
      </c>
      <c r="R69" s="89">
        <f>'[1]OMM_Unit Matrix'!R69</f>
        <v>0</v>
      </c>
      <c r="S69" s="89">
        <f>'[1]OMM_Unit Matrix'!S69</f>
        <v>0</v>
      </c>
      <c r="T69" s="89">
        <f>'[1]OMM_Unit Matrix'!T69</f>
        <v>0</v>
      </c>
      <c r="U69" s="89">
        <f>'[1]OMM_Unit Matrix'!U69</f>
        <v>0</v>
      </c>
      <c r="V69" s="89">
        <f>'[1]OMM_Unit Matrix'!V69</f>
        <v>0</v>
      </c>
      <c r="W69" s="89">
        <f>'[1]OMM_Unit Matrix'!W69</f>
        <v>0</v>
      </c>
      <c r="X69" s="89">
        <f>'[1]OMM_Unit Matrix'!X69</f>
        <v>0</v>
      </c>
      <c r="Y69" s="89">
        <f>'[1]OMM_Unit Matrix'!Y69</f>
        <v>0</v>
      </c>
      <c r="Z69" s="89">
        <f>'[1]OMM_Unit Matrix'!Z69</f>
        <v>0</v>
      </c>
      <c r="AA69" s="89">
        <f>'[1]OMM_Unit Matrix'!AA69</f>
        <v>0</v>
      </c>
      <c r="AB69" s="89">
        <f>'[1]OMM_Unit Matrix'!AB69</f>
        <v>0</v>
      </c>
      <c r="AC69" s="89">
        <f>'[1]OMM_Unit Matrix'!AC69</f>
        <v>0</v>
      </c>
      <c r="AD69" s="89">
        <f>'[1]OMM_Unit Matrix'!AD69</f>
        <v>0</v>
      </c>
      <c r="AE69" s="89">
        <f>'[1]OMM_Unit Matrix'!AE69</f>
        <v>0</v>
      </c>
      <c r="AF69" s="89">
        <f>'[1]OMM_Unit Matrix'!AF69</f>
        <v>0</v>
      </c>
      <c r="AG69" s="89">
        <f>'[1]OMM_Unit Matrix'!AG69</f>
        <v>0</v>
      </c>
      <c r="AH69" s="89">
        <f>'[1]OMM_Unit Matrix'!AH69</f>
        <v>0</v>
      </c>
      <c r="AI69" s="89">
        <f>'[1]OMM_Unit Matrix'!AI69</f>
        <v>0</v>
      </c>
      <c r="AJ69" s="89">
        <f>'[1]OMM_Unit Matrix'!AJ69</f>
        <v>0</v>
      </c>
      <c r="AK69" s="89">
        <f>'[1]OMM_Unit Matrix'!AK69</f>
        <v>0</v>
      </c>
      <c r="AL69" s="89">
        <f>'[1]OMM_Unit Matrix'!AL69</f>
        <v>0</v>
      </c>
      <c r="AM69" s="89">
        <f>'[1]OMM_Unit Matrix'!AM69</f>
        <v>0</v>
      </c>
      <c r="AN69" s="89">
        <f>'[1]OMM_Unit Matrix'!AN69</f>
        <v>0</v>
      </c>
      <c r="AO69" s="89">
        <f>'[1]OMM_Unit Matrix'!AO69</f>
        <v>0</v>
      </c>
      <c r="AP69" s="89">
        <f>'[1]OMM_Unit Matrix'!AP69</f>
        <v>0</v>
      </c>
      <c r="AQ69" s="270">
        <f>'[1]OMM_Unit Matrix'!AQ69</f>
        <v>0</v>
      </c>
    </row>
    <row r="70" spans="2:43" hidden="1">
      <c r="B70" s="89">
        <f>'[1]OMM_Unit Matrix'!B70</f>
        <v>4</v>
      </c>
      <c r="C70" s="275">
        <f>'[1]OMM_Unit Matrix'!C70</f>
        <v>4</v>
      </c>
      <c r="D70" s="89">
        <f>'[1]OMM_Unit Matrix'!D70</f>
        <v>4004</v>
      </c>
      <c r="E70" s="89">
        <f>'[1]OMM_Unit Matrix'!E70</f>
        <v>0</v>
      </c>
      <c r="F70" s="89">
        <f>'[1]OMM_Unit Matrix'!F70</f>
        <v>0</v>
      </c>
      <c r="G70" s="89" t="str">
        <f>'[1]OMM_Unit Matrix'!G70</f>
        <v>NOT IN SCOPE</v>
      </c>
      <c r="H70" s="89">
        <f>'[1]OMM_Unit Matrix'!H70</f>
        <v>0</v>
      </c>
      <c r="I70" s="89">
        <f>'[1]OMM_Unit Matrix'!I70</f>
        <v>0</v>
      </c>
      <c r="J70" s="89">
        <f>'[1]OMM_Unit Matrix'!J70</f>
        <v>0</v>
      </c>
      <c r="K70" s="89">
        <f>'[1]OMM_Unit Matrix'!K70</f>
        <v>0</v>
      </c>
      <c r="L70" s="89">
        <f>'[1]OMM_Unit Matrix'!L70</f>
        <v>0</v>
      </c>
      <c r="M70" s="89">
        <f>'[1]OMM_Unit Matrix'!M70</f>
        <v>0</v>
      </c>
      <c r="N70" s="89">
        <f>'[1]OMM_Unit Matrix'!N70</f>
        <v>0</v>
      </c>
      <c r="O70" s="89">
        <f>'[1]OMM_Unit Matrix'!O70</f>
        <v>0</v>
      </c>
      <c r="P70" s="89">
        <f>'[1]OMM_Unit Matrix'!P70</f>
        <v>0</v>
      </c>
      <c r="Q70" s="89">
        <f>'[1]OMM_Unit Matrix'!Q70</f>
        <v>0</v>
      </c>
      <c r="R70" s="89">
        <f>'[1]OMM_Unit Matrix'!R70</f>
        <v>0</v>
      </c>
      <c r="S70" s="89">
        <f>'[1]OMM_Unit Matrix'!S70</f>
        <v>0</v>
      </c>
      <c r="T70" s="89">
        <f>'[1]OMM_Unit Matrix'!T70</f>
        <v>0</v>
      </c>
      <c r="U70" s="89">
        <f>'[1]OMM_Unit Matrix'!U70</f>
        <v>0</v>
      </c>
      <c r="V70" s="89">
        <f>'[1]OMM_Unit Matrix'!V70</f>
        <v>0</v>
      </c>
      <c r="W70" s="89">
        <f>'[1]OMM_Unit Matrix'!W70</f>
        <v>0</v>
      </c>
      <c r="X70" s="89">
        <f>'[1]OMM_Unit Matrix'!X70</f>
        <v>0</v>
      </c>
      <c r="Y70" s="89">
        <f>'[1]OMM_Unit Matrix'!Y70</f>
        <v>0</v>
      </c>
      <c r="Z70" s="89">
        <f>'[1]OMM_Unit Matrix'!Z70</f>
        <v>0</v>
      </c>
      <c r="AA70" s="89">
        <f>'[1]OMM_Unit Matrix'!AA70</f>
        <v>0</v>
      </c>
      <c r="AB70" s="89">
        <f>'[1]OMM_Unit Matrix'!AB70</f>
        <v>0</v>
      </c>
      <c r="AC70" s="89">
        <f>'[1]OMM_Unit Matrix'!AC70</f>
        <v>0</v>
      </c>
      <c r="AD70" s="89">
        <f>'[1]OMM_Unit Matrix'!AD70</f>
        <v>0</v>
      </c>
      <c r="AE70" s="89">
        <f>'[1]OMM_Unit Matrix'!AE70</f>
        <v>0</v>
      </c>
      <c r="AF70" s="89">
        <f>'[1]OMM_Unit Matrix'!AF70</f>
        <v>0</v>
      </c>
      <c r="AG70" s="89">
        <f>'[1]OMM_Unit Matrix'!AG70</f>
        <v>0</v>
      </c>
      <c r="AH70" s="89">
        <f>'[1]OMM_Unit Matrix'!AH70</f>
        <v>0</v>
      </c>
      <c r="AI70" s="89">
        <f>'[1]OMM_Unit Matrix'!AI70</f>
        <v>0</v>
      </c>
      <c r="AJ70" s="89">
        <f>'[1]OMM_Unit Matrix'!AJ70</f>
        <v>0</v>
      </c>
      <c r="AK70" s="89">
        <f>'[1]OMM_Unit Matrix'!AK70</f>
        <v>0</v>
      </c>
      <c r="AL70" s="89">
        <f>'[1]OMM_Unit Matrix'!AL70</f>
        <v>0</v>
      </c>
      <c r="AM70" s="89">
        <f>'[1]OMM_Unit Matrix'!AM70</f>
        <v>0</v>
      </c>
      <c r="AN70" s="89">
        <f>'[1]OMM_Unit Matrix'!AN70</f>
        <v>0</v>
      </c>
      <c r="AO70" s="89">
        <f>'[1]OMM_Unit Matrix'!AO70</f>
        <v>0</v>
      </c>
      <c r="AP70" s="89">
        <f>'[1]OMM_Unit Matrix'!AP70</f>
        <v>0</v>
      </c>
      <c r="AQ70" s="270">
        <f>'[1]OMM_Unit Matrix'!AQ70</f>
        <v>0</v>
      </c>
    </row>
    <row r="71" spans="2:43" hidden="1">
      <c r="B71" s="89">
        <f>'[1]OMM_Unit Matrix'!B71</f>
        <v>4</v>
      </c>
      <c r="C71" s="275">
        <f>'[1]OMM_Unit Matrix'!C71</f>
        <v>5</v>
      </c>
      <c r="D71" s="89">
        <f>'[1]OMM_Unit Matrix'!D71</f>
        <v>4005</v>
      </c>
      <c r="E71" s="89">
        <f>'[1]OMM_Unit Matrix'!E71</f>
        <v>0</v>
      </c>
      <c r="F71" s="89">
        <f>'[1]OMM_Unit Matrix'!F71</f>
        <v>0</v>
      </c>
      <c r="G71" s="89" t="str">
        <f>'[1]OMM_Unit Matrix'!G71</f>
        <v>NOT IN SCOPE</v>
      </c>
      <c r="H71" s="89">
        <f>'[1]OMM_Unit Matrix'!H71</f>
        <v>0</v>
      </c>
      <c r="I71" s="89">
        <f>'[1]OMM_Unit Matrix'!I71</f>
        <v>0</v>
      </c>
      <c r="J71" s="89">
        <f>'[1]OMM_Unit Matrix'!J71</f>
        <v>0</v>
      </c>
      <c r="K71" s="89">
        <f>'[1]OMM_Unit Matrix'!K71</f>
        <v>0</v>
      </c>
      <c r="L71" s="89">
        <f>'[1]OMM_Unit Matrix'!L71</f>
        <v>0</v>
      </c>
      <c r="M71" s="89">
        <f>'[1]OMM_Unit Matrix'!M71</f>
        <v>0</v>
      </c>
      <c r="N71" s="89">
        <f>'[1]OMM_Unit Matrix'!N71</f>
        <v>0</v>
      </c>
      <c r="O71" s="89">
        <f>'[1]OMM_Unit Matrix'!O71</f>
        <v>0</v>
      </c>
      <c r="P71" s="89">
        <f>'[1]OMM_Unit Matrix'!P71</f>
        <v>0</v>
      </c>
      <c r="Q71" s="89">
        <f>'[1]OMM_Unit Matrix'!Q71</f>
        <v>0</v>
      </c>
      <c r="R71" s="89">
        <f>'[1]OMM_Unit Matrix'!R71</f>
        <v>0</v>
      </c>
      <c r="S71" s="89">
        <f>'[1]OMM_Unit Matrix'!S71</f>
        <v>0</v>
      </c>
      <c r="T71" s="89">
        <f>'[1]OMM_Unit Matrix'!T71</f>
        <v>0</v>
      </c>
      <c r="U71" s="89">
        <f>'[1]OMM_Unit Matrix'!U71</f>
        <v>0</v>
      </c>
      <c r="V71" s="89">
        <f>'[1]OMM_Unit Matrix'!V71</f>
        <v>0</v>
      </c>
      <c r="W71" s="89">
        <f>'[1]OMM_Unit Matrix'!W71</f>
        <v>0</v>
      </c>
      <c r="X71" s="89">
        <f>'[1]OMM_Unit Matrix'!X71</f>
        <v>0</v>
      </c>
      <c r="Y71" s="89">
        <f>'[1]OMM_Unit Matrix'!Y71</f>
        <v>0</v>
      </c>
      <c r="Z71" s="89">
        <f>'[1]OMM_Unit Matrix'!Z71</f>
        <v>0</v>
      </c>
      <c r="AA71" s="89">
        <f>'[1]OMM_Unit Matrix'!AA71</f>
        <v>0</v>
      </c>
      <c r="AB71" s="89">
        <f>'[1]OMM_Unit Matrix'!AB71</f>
        <v>0</v>
      </c>
      <c r="AC71" s="89">
        <f>'[1]OMM_Unit Matrix'!AC71</f>
        <v>0</v>
      </c>
      <c r="AD71" s="89">
        <f>'[1]OMM_Unit Matrix'!AD71</f>
        <v>0</v>
      </c>
      <c r="AE71" s="89">
        <f>'[1]OMM_Unit Matrix'!AE71</f>
        <v>0</v>
      </c>
      <c r="AF71" s="89">
        <f>'[1]OMM_Unit Matrix'!AF71</f>
        <v>0</v>
      </c>
      <c r="AG71" s="89">
        <f>'[1]OMM_Unit Matrix'!AG71</f>
        <v>0</v>
      </c>
      <c r="AH71" s="89">
        <f>'[1]OMM_Unit Matrix'!AH71</f>
        <v>0</v>
      </c>
      <c r="AI71" s="89">
        <f>'[1]OMM_Unit Matrix'!AI71</f>
        <v>0</v>
      </c>
      <c r="AJ71" s="89">
        <f>'[1]OMM_Unit Matrix'!AJ71</f>
        <v>0</v>
      </c>
      <c r="AK71" s="89">
        <f>'[1]OMM_Unit Matrix'!AK71</f>
        <v>0</v>
      </c>
      <c r="AL71" s="89">
        <f>'[1]OMM_Unit Matrix'!AL71</f>
        <v>0</v>
      </c>
      <c r="AM71" s="89">
        <f>'[1]OMM_Unit Matrix'!AM71</f>
        <v>0</v>
      </c>
      <c r="AN71" s="89">
        <f>'[1]OMM_Unit Matrix'!AN71</f>
        <v>0</v>
      </c>
      <c r="AO71" s="89">
        <f>'[1]OMM_Unit Matrix'!AO71</f>
        <v>0</v>
      </c>
      <c r="AP71" s="89">
        <f>'[1]OMM_Unit Matrix'!AP71</f>
        <v>0</v>
      </c>
      <c r="AQ71" s="270">
        <f>'[1]OMM_Unit Matrix'!AQ71</f>
        <v>0</v>
      </c>
    </row>
    <row r="72" spans="2:43" hidden="1">
      <c r="B72" s="89">
        <f>'[1]OMM_Unit Matrix'!B72</f>
        <v>4</v>
      </c>
      <c r="C72" s="275">
        <f>'[1]OMM_Unit Matrix'!C72</f>
        <v>6</v>
      </c>
      <c r="D72" s="89">
        <f>'[1]OMM_Unit Matrix'!D72</f>
        <v>4006</v>
      </c>
      <c r="E72" s="89">
        <f>'[1]OMM_Unit Matrix'!E72</f>
        <v>0</v>
      </c>
      <c r="F72" s="89">
        <f>'[1]OMM_Unit Matrix'!F72</f>
        <v>0</v>
      </c>
      <c r="G72" s="89" t="str">
        <f>'[1]OMM_Unit Matrix'!G72</f>
        <v>NOT IN SCOPE</v>
      </c>
      <c r="H72" s="89">
        <f>'[1]OMM_Unit Matrix'!H72</f>
        <v>0</v>
      </c>
      <c r="I72" s="89">
        <f>'[1]OMM_Unit Matrix'!I72</f>
        <v>0</v>
      </c>
      <c r="J72" s="89">
        <f>'[1]OMM_Unit Matrix'!J72</f>
        <v>0</v>
      </c>
      <c r="K72" s="89">
        <f>'[1]OMM_Unit Matrix'!K72</f>
        <v>0</v>
      </c>
      <c r="L72" s="89">
        <f>'[1]OMM_Unit Matrix'!L72</f>
        <v>0</v>
      </c>
      <c r="M72" s="89">
        <f>'[1]OMM_Unit Matrix'!M72</f>
        <v>0</v>
      </c>
      <c r="N72" s="89">
        <f>'[1]OMM_Unit Matrix'!N72</f>
        <v>0</v>
      </c>
      <c r="O72" s="89">
        <f>'[1]OMM_Unit Matrix'!O72</f>
        <v>0</v>
      </c>
      <c r="P72" s="89">
        <f>'[1]OMM_Unit Matrix'!P72</f>
        <v>0</v>
      </c>
      <c r="Q72" s="89">
        <f>'[1]OMM_Unit Matrix'!Q72</f>
        <v>0</v>
      </c>
      <c r="R72" s="89">
        <f>'[1]OMM_Unit Matrix'!R72</f>
        <v>0</v>
      </c>
      <c r="S72" s="89">
        <f>'[1]OMM_Unit Matrix'!S72</f>
        <v>0</v>
      </c>
      <c r="T72" s="89">
        <f>'[1]OMM_Unit Matrix'!T72</f>
        <v>0</v>
      </c>
      <c r="U72" s="89">
        <f>'[1]OMM_Unit Matrix'!U72</f>
        <v>0</v>
      </c>
      <c r="V72" s="89">
        <f>'[1]OMM_Unit Matrix'!V72</f>
        <v>0</v>
      </c>
      <c r="W72" s="89">
        <f>'[1]OMM_Unit Matrix'!W72</f>
        <v>0</v>
      </c>
      <c r="X72" s="89">
        <f>'[1]OMM_Unit Matrix'!X72</f>
        <v>0</v>
      </c>
      <c r="Y72" s="89">
        <f>'[1]OMM_Unit Matrix'!Y72</f>
        <v>0</v>
      </c>
      <c r="Z72" s="89">
        <f>'[1]OMM_Unit Matrix'!Z72</f>
        <v>0</v>
      </c>
      <c r="AA72" s="89">
        <f>'[1]OMM_Unit Matrix'!AA72</f>
        <v>0</v>
      </c>
      <c r="AB72" s="89">
        <f>'[1]OMM_Unit Matrix'!AB72</f>
        <v>0</v>
      </c>
      <c r="AC72" s="89">
        <f>'[1]OMM_Unit Matrix'!AC72</f>
        <v>0</v>
      </c>
      <c r="AD72" s="89">
        <f>'[1]OMM_Unit Matrix'!AD72</f>
        <v>0</v>
      </c>
      <c r="AE72" s="89">
        <f>'[1]OMM_Unit Matrix'!AE72</f>
        <v>0</v>
      </c>
      <c r="AF72" s="89">
        <f>'[1]OMM_Unit Matrix'!AF72</f>
        <v>0</v>
      </c>
      <c r="AG72" s="89">
        <f>'[1]OMM_Unit Matrix'!AG72</f>
        <v>0</v>
      </c>
      <c r="AH72" s="89">
        <f>'[1]OMM_Unit Matrix'!AH72</f>
        <v>0</v>
      </c>
      <c r="AI72" s="89">
        <f>'[1]OMM_Unit Matrix'!AI72</f>
        <v>0</v>
      </c>
      <c r="AJ72" s="89">
        <f>'[1]OMM_Unit Matrix'!AJ72</f>
        <v>0</v>
      </c>
      <c r="AK72" s="89">
        <f>'[1]OMM_Unit Matrix'!AK72</f>
        <v>0</v>
      </c>
      <c r="AL72" s="89">
        <f>'[1]OMM_Unit Matrix'!AL72</f>
        <v>0</v>
      </c>
      <c r="AM72" s="89">
        <f>'[1]OMM_Unit Matrix'!AM72</f>
        <v>0</v>
      </c>
      <c r="AN72" s="89">
        <f>'[1]OMM_Unit Matrix'!AN72</f>
        <v>0</v>
      </c>
      <c r="AO72" s="89">
        <f>'[1]OMM_Unit Matrix'!AO72</f>
        <v>0</v>
      </c>
      <c r="AP72" s="89">
        <f>'[1]OMM_Unit Matrix'!AP72</f>
        <v>0</v>
      </c>
      <c r="AQ72" s="270">
        <f>'[1]OMM_Unit Matrix'!AQ72</f>
        <v>0</v>
      </c>
    </row>
    <row r="73" spans="2:43" hidden="1">
      <c r="B73" s="89">
        <f>'[1]OMM_Unit Matrix'!B73</f>
        <v>4</v>
      </c>
      <c r="C73" s="275">
        <f>'[1]OMM_Unit Matrix'!C73</f>
        <v>7</v>
      </c>
      <c r="D73" s="89">
        <f>'[1]OMM_Unit Matrix'!D73</f>
        <v>4007</v>
      </c>
      <c r="E73" s="89">
        <f>'[1]OMM_Unit Matrix'!E73</f>
        <v>0</v>
      </c>
      <c r="F73" s="89">
        <f>'[1]OMM_Unit Matrix'!F73</f>
        <v>0</v>
      </c>
      <c r="G73" s="89" t="str">
        <f>'[1]OMM_Unit Matrix'!G73</f>
        <v>NOT IN SCOPE</v>
      </c>
      <c r="H73" s="89">
        <f>'[1]OMM_Unit Matrix'!H73</f>
        <v>0</v>
      </c>
      <c r="I73" s="89">
        <f>'[1]OMM_Unit Matrix'!I73</f>
        <v>0</v>
      </c>
      <c r="J73" s="89">
        <f>'[1]OMM_Unit Matrix'!J73</f>
        <v>0</v>
      </c>
      <c r="K73" s="89">
        <f>'[1]OMM_Unit Matrix'!K73</f>
        <v>0</v>
      </c>
      <c r="L73" s="89">
        <f>'[1]OMM_Unit Matrix'!L73</f>
        <v>0</v>
      </c>
      <c r="M73" s="89">
        <f>'[1]OMM_Unit Matrix'!M73</f>
        <v>0</v>
      </c>
      <c r="N73" s="89">
        <f>'[1]OMM_Unit Matrix'!N73</f>
        <v>0</v>
      </c>
      <c r="O73" s="89">
        <f>'[1]OMM_Unit Matrix'!O73</f>
        <v>0</v>
      </c>
      <c r="P73" s="89">
        <f>'[1]OMM_Unit Matrix'!P73</f>
        <v>0</v>
      </c>
      <c r="Q73" s="89">
        <f>'[1]OMM_Unit Matrix'!Q73</f>
        <v>0</v>
      </c>
      <c r="R73" s="89">
        <f>'[1]OMM_Unit Matrix'!R73</f>
        <v>0</v>
      </c>
      <c r="S73" s="89">
        <f>'[1]OMM_Unit Matrix'!S73</f>
        <v>0</v>
      </c>
      <c r="T73" s="89">
        <f>'[1]OMM_Unit Matrix'!T73</f>
        <v>0</v>
      </c>
      <c r="U73" s="89">
        <f>'[1]OMM_Unit Matrix'!U73</f>
        <v>0</v>
      </c>
      <c r="V73" s="89">
        <f>'[1]OMM_Unit Matrix'!V73</f>
        <v>0</v>
      </c>
      <c r="W73" s="89">
        <f>'[1]OMM_Unit Matrix'!W73</f>
        <v>0</v>
      </c>
      <c r="X73" s="89">
        <f>'[1]OMM_Unit Matrix'!X73</f>
        <v>0</v>
      </c>
      <c r="Y73" s="89">
        <f>'[1]OMM_Unit Matrix'!Y73</f>
        <v>0</v>
      </c>
      <c r="Z73" s="89">
        <f>'[1]OMM_Unit Matrix'!Z73</f>
        <v>0</v>
      </c>
      <c r="AA73" s="89">
        <f>'[1]OMM_Unit Matrix'!AA73</f>
        <v>0</v>
      </c>
      <c r="AB73" s="89">
        <f>'[1]OMM_Unit Matrix'!AB73</f>
        <v>0</v>
      </c>
      <c r="AC73" s="89">
        <f>'[1]OMM_Unit Matrix'!AC73</f>
        <v>0</v>
      </c>
      <c r="AD73" s="89">
        <f>'[1]OMM_Unit Matrix'!AD73</f>
        <v>0</v>
      </c>
      <c r="AE73" s="89">
        <f>'[1]OMM_Unit Matrix'!AE73</f>
        <v>0</v>
      </c>
      <c r="AF73" s="89">
        <f>'[1]OMM_Unit Matrix'!AF73</f>
        <v>0</v>
      </c>
      <c r="AG73" s="89">
        <f>'[1]OMM_Unit Matrix'!AG73</f>
        <v>0</v>
      </c>
      <c r="AH73" s="89">
        <f>'[1]OMM_Unit Matrix'!AH73</f>
        <v>0</v>
      </c>
      <c r="AI73" s="89">
        <f>'[1]OMM_Unit Matrix'!AI73</f>
        <v>0</v>
      </c>
      <c r="AJ73" s="89">
        <f>'[1]OMM_Unit Matrix'!AJ73</f>
        <v>0</v>
      </c>
      <c r="AK73" s="89">
        <f>'[1]OMM_Unit Matrix'!AK73</f>
        <v>0</v>
      </c>
      <c r="AL73" s="89">
        <f>'[1]OMM_Unit Matrix'!AL73</f>
        <v>0</v>
      </c>
      <c r="AM73" s="89">
        <f>'[1]OMM_Unit Matrix'!AM73</f>
        <v>0</v>
      </c>
      <c r="AN73" s="89">
        <f>'[1]OMM_Unit Matrix'!AN73</f>
        <v>0</v>
      </c>
      <c r="AO73" s="89">
        <f>'[1]OMM_Unit Matrix'!AO73</f>
        <v>0</v>
      </c>
      <c r="AP73" s="89">
        <f>'[1]OMM_Unit Matrix'!AP73</f>
        <v>0</v>
      </c>
      <c r="AQ73" s="270">
        <f>'[1]OMM_Unit Matrix'!AQ73</f>
        <v>0</v>
      </c>
    </row>
    <row r="74" spans="2:43">
      <c r="B74" s="89">
        <f>'[1]OMM_Unit Matrix'!B74</f>
        <v>4</v>
      </c>
      <c r="C74" s="275">
        <f>'[1]OMM_Unit Matrix'!C74</f>
        <v>8</v>
      </c>
      <c r="D74" s="89">
        <f>'[1]OMM_Unit Matrix'!D74</f>
        <v>4008</v>
      </c>
      <c r="E74" s="89" t="str">
        <f>'[1]OMM_Unit Matrix'!E74</f>
        <v>NO</v>
      </c>
      <c r="F74" s="132" t="str">
        <f>'[1]OMM_Unit Matrix'!F74</f>
        <v>2B-02</v>
      </c>
      <c r="G74" s="89" t="str">
        <f>'[1]OMM_Unit Matrix'!G74</f>
        <v>ORDERED</v>
      </c>
      <c r="H74" s="89" t="str">
        <f>'[1]OMM_Unit Matrix'!H74</f>
        <v>NO</v>
      </c>
      <c r="I74" s="89">
        <f>'[1]OMM_Unit Matrix'!I74</f>
        <v>0</v>
      </c>
      <c r="J74" s="89" t="str">
        <f>'[1]OMM_Unit Matrix'!J74</f>
        <v>NO</v>
      </c>
      <c r="K74" s="89">
        <f>'[1]OMM_Unit Matrix'!K74</f>
        <v>0</v>
      </c>
      <c r="L74" s="89" t="str">
        <f>'[1]OMM_Unit Matrix'!L74</f>
        <v>NO</v>
      </c>
      <c r="M74" s="89">
        <f>'[1]OMM_Unit Matrix'!M74</f>
        <v>0</v>
      </c>
      <c r="N74" s="89" t="str">
        <f>'[1]OMM_Unit Matrix'!N74</f>
        <v>YES</v>
      </c>
      <c r="O74" s="201">
        <f>'[1]OMM_Unit Matrix'!O74</f>
        <v>3</v>
      </c>
      <c r="P74" s="89" t="str">
        <f>'[1]OMM_Unit Matrix'!P74</f>
        <v>NO</v>
      </c>
      <c r="Q74" s="89">
        <f>'[1]OMM_Unit Matrix'!Q74</f>
        <v>0</v>
      </c>
      <c r="R74" s="89" t="str">
        <f>'[1]OMM_Unit Matrix'!R74</f>
        <v>NO</v>
      </c>
      <c r="S74" s="89">
        <f>'[1]OMM_Unit Matrix'!S74</f>
        <v>0</v>
      </c>
      <c r="T74" s="89" t="str">
        <f>'[1]OMM_Unit Matrix'!T74</f>
        <v>NO</v>
      </c>
      <c r="U74" s="89">
        <f>'[1]OMM_Unit Matrix'!U74</f>
        <v>0</v>
      </c>
      <c r="V74" s="89" t="str">
        <f>'[1]OMM_Unit Matrix'!V74</f>
        <v>YES</v>
      </c>
      <c r="W74" s="201">
        <f>'[1]OMM_Unit Matrix'!W74</f>
        <v>3</v>
      </c>
      <c r="X74" s="89" t="str">
        <f>'[1]OMM_Unit Matrix'!X74</f>
        <v>NO</v>
      </c>
      <c r="Y74" s="89">
        <f>'[1]OMM_Unit Matrix'!Y74</f>
        <v>0</v>
      </c>
      <c r="Z74" s="89" t="str">
        <f>'[1]OMM_Unit Matrix'!Z74</f>
        <v>NO</v>
      </c>
      <c r="AA74" s="89">
        <f>'[1]OMM_Unit Matrix'!AA74</f>
        <v>0</v>
      </c>
      <c r="AB74" s="89" t="str">
        <f>'[1]OMM_Unit Matrix'!AB74</f>
        <v>YES</v>
      </c>
      <c r="AC74" s="201">
        <f>'[1]OMM_Unit Matrix'!AC74</f>
        <v>3</v>
      </c>
      <c r="AD74" s="89" t="str">
        <f>'[1]OMM_Unit Matrix'!AD74</f>
        <v>YES</v>
      </c>
      <c r="AE74" s="201">
        <f>'[1]OMM_Unit Matrix'!AE74</f>
        <v>3</v>
      </c>
      <c r="AF74" s="89" t="str">
        <f>'[1]OMM_Unit Matrix'!AF74</f>
        <v>NO</v>
      </c>
      <c r="AG74" s="89">
        <f>'[1]OMM_Unit Matrix'!AG74</f>
        <v>0</v>
      </c>
      <c r="AH74" s="89" t="str">
        <f>'[1]OMM_Unit Matrix'!AH74</f>
        <v>NO</v>
      </c>
      <c r="AI74" s="89">
        <f>'[1]OMM_Unit Matrix'!AI74</f>
        <v>0</v>
      </c>
      <c r="AJ74" s="89" t="str">
        <f>'[1]OMM_Unit Matrix'!AJ74</f>
        <v>NO</v>
      </c>
      <c r="AK74" s="89">
        <f>'[1]OMM_Unit Matrix'!AK74</f>
        <v>0</v>
      </c>
      <c r="AL74" s="89" t="str">
        <f>'[1]OMM_Unit Matrix'!AL74</f>
        <v>YES</v>
      </c>
      <c r="AM74" s="201">
        <f>'[1]OMM_Unit Matrix'!AM74</f>
        <v>3</v>
      </c>
      <c r="AN74" s="89" t="str">
        <f>'[1]OMM_Unit Matrix'!AN74</f>
        <v>NO</v>
      </c>
      <c r="AO74" s="89">
        <f>'[1]OMM_Unit Matrix'!AO74</f>
        <v>0</v>
      </c>
      <c r="AP74" s="89" t="str">
        <f>'[1]OMM_Unit Matrix'!AP74</f>
        <v>NO</v>
      </c>
      <c r="AQ74" s="89">
        <f>'[1]OMM_Unit Matrix'!AQ74</f>
        <v>0</v>
      </c>
    </row>
    <row r="75" spans="2:43" hidden="1">
      <c r="B75" s="89">
        <f>'[1]OMM_Unit Matrix'!B75</f>
        <v>4</v>
      </c>
      <c r="C75" s="275">
        <f>'[1]OMM_Unit Matrix'!C75</f>
        <v>9</v>
      </c>
      <c r="D75" s="89">
        <f>'[1]OMM_Unit Matrix'!D75</f>
        <v>4009</v>
      </c>
      <c r="E75" s="89">
        <f>'[1]OMM_Unit Matrix'!E75</f>
        <v>0</v>
      </c>
      <c r="F75" s="89">
        <f>'[1]OMM_Unit Matrix'!F75</f>
        <v>0</v>
      </c>
      <c r="G75" s="89" t="str">
        <f>'[1]OMM_Unit Matrix'!G75</f>
        <v>NOT IN SCOPE</v>
      </c>
      <c r="H75" s="89">
        <f>'[1]OMM_Unit Matrix'!H75</f>
        <v>0</v>
      </c>
      <c r="I75" s="89">
        <f>'[1]OMM_Unit Matrix'!I75</f>
        <v>0</v>
      </c>
      <c r="J75" s="89">
        <f>'[1]OMM_Unit Matrix'!J75</f>
        <v>0</v>
      </c>
      <c r="K75" s="89">
        <f>'[1]OMM_Unit Matrix'!K75</f>
        <v>0</v>
      </c>
      <c r="L75" s="89">
        <f>'[1]OMM_Unit Matrix'!L75</f>
        <v>0</v>
      </c>
      <c r="M75" s="89">
        <f>'[1]OMM_Unit Matrix'!M75</f>
        <v>0</v>
      </c>
      <c r="N75" s="89">
        <f>'[1]OMM_Unit Matrix'!N75</f>
        <v>0</v>
      </c>
      <c r="O75" s="89">
        <f>'[1]OMM_Unit Matrix'!O75</f>
        <v>0</v>
      </c>
      <c r="P75" s="89">
        <f>'[1]OMM_Unit Matrix'!P75</f>
        <v>0</v>
      </c>
      <c r="Q75" s="89">
        <f>'[1]OMM_Unit Matrix'!Q75</f>
        <v>0</v>
      </c>
      <c r="R75" s="89">
        <f>'[1]OMM_Unit Matrix'!R75</f>
        <v>0</v>
      </c>
      <c r="S75" s="89">
        <f>'[1]OMM_Unit Matrix'!S75</f>
        <v>0</v>
      </c>
      <c r="T75" s="89">
        <f>'[1]OMM_Unit Matrix'!T75</f>
        <v>0</v>
      </c>
      <c r="U75" s="89">
        <f>'[1]OMM_Unit Matrix'!U75</f>
        <v>0</v>
      </c>
      <c r="V75" s="89">
        <f>'[1]OMM_Unit Matrix'!V75</f>
        <v>0</v>
      </c>
      <c r="W75" s="89">
        <f>'[1]OMM_Unit Matrix'!W75</f>
        <v>0</v>
      </c>
      <c r="X75" s="89">
        <f>'[1]OMM_Unit Matrix'!X75</f>
        <v>0</v>
      </c>
      <c r="Y75" s="89">
        <f>'[1]OMM_Unit Matrix'!Y75</f>
        <v>0</v>
      </c>
      <c r="Z75" s="89">
        <f>'[1]OMM_Unit Matrix'!Z75</f>
        <v>0</v>
      </c>
      <c r="AA75" s="89">
        <f>'[1]OMM_Unit Matrix'!AA75</f>
        <v>0</v>
      </c>
      <c r="AB75" s="89">
        <f>'[1]OMM_Unit Matrix'!AB75</f>
        <v>0</v>
      </c>
      <c r="AC75" s="89">
        <f>'[1]OMM_Unit Matrix'!AC75</f>
        <v>0</v>
      </c>
      <c r="AD75" s="89">
        <f>'[1]OMM_Unit Matrix'!AD75</f>
        <v>0</v>
      </c>
      <c r="AE75" s="89">
        <f>'[1]OMM_Unit Matrix'!AE75</f>
        <v>0</v>
      </c>
      <c r="AF75" s="89">
        <f>'[1]OMM_Unit Matrix'!AF75</f>
        <v>0</v>
      </c>
      <c r="AG75" s="89">
        <f>'[1]OMM_Unit Matrix'!AG75</f>
        <v>0</v>
      </c>
      <c r="AH75" s="89">
        <f>'[1]OMM_Unit Matrix'!AH75</f>
        <v>0</v>
      </c>
      <c r="AI75" s="89">
        <f>'[1]OMM_Unit Matrix'!AI75</f>
        <v>0</v>
      </c>
      <c r="AJ75" s="89">
        <f>'[1]OMM_Unit Matrix'!AJ75</f>
        <v>0</v>
      </c>
      <c r="AK75" s="89">
        <f>'[1]OMM_Unit Matrix'!AK75</f>
        <v>0</v>
      </c>
      <c r="AL75" s="89">
        <f>'[1]OMM_Unit Matrix'!AL75</f>
        <v>0</v>
      </c>
      <c r="AM75" s="89">
        <f>'[1]OMM_Unit Matrix'!AM75</f>
        <v>0</v>
      </c>
      <c r="AN75" s="89">
        <f>'[1]OMM_Unit Matrix'!AN75</f>
        <v>0</v>
      </c>
      <c r="AO75" s="89">
        <f>'[1]OMM_Unit Matrix'!AO75</f>
        <v>0</v>
      </c>
      <c r="AP75" s="89">
        <f>'[1]OMM_Unit Matrix'!AP75</f>
        <v>0</v>
      </c>
      <c r="AQ75" s="270">
        <f>'[1]OMM_Unit Matrix'!AQ75</f>
        <v>0</v>
      </c>
    </row>
    <row r="76" spans="2:43" hidden="1">
      <c r="B76" s="89">
        <f>'[1]OMM_Unit Matrix'!B76</f>
        <v>4</v>
      </c>
      <c r="C76" s="275">
        <f>'[1]OMM_Unit Matrix'!C76</f>
        <v>10</v>
      </c>
      <c r="D76" s="89">
        <f>'[1]OMM_Unit Matrix'!D76</f>
        <v>4010</v>
      </c>
      <c r="E76" s="89">
        <f>'[1]OMM_Unit Matrix'!E76</f>
        <v>0</v>
      </c>
      <c r="F76" s="89">
        <f>'[1]OMM_Unit Matrix'!F76</f>
        <v>0</v>
      </c>
      <c r="G76" s="89" t="str">
        <f>'[1]OMM_Unit Matrix'!G76</f>
        <v>NOT IN SCOPE</v>
      </c>
      <c r="H76" s="89">
        <f>'[1]OMM_Unit Matrix'!H76</f>
        <v>0</v>
      </c>
      <c r="I76" s="89">
        <f>'[1]OMM_Unit Matrix'!I76</f>
        <v>0</v>
      </c>
      <c r="J76" s="89">
        <f>'[1]OMM_Unit Matrix'!J76</f>
        <v>0</v>
      </c>
      <c r="K76" s="89">
        <f>'[1]OMM_Unit Matrix'!K76</f>
        <v>0</v>
      </c>
      <c r="L76" s="89">
        <f>'[1]OMM_Unit Matrix'!L76</f>
        <v>0</v>
      </c>
      <c r="M76" s="89">
        <f>'[1]OMM_Unit Matrix'!M76</f>
        <v>0</v>
      </c>
      <c r="N76" s="89">
        <f>'[1]OMM_Unit Matrix'!N76</f>
        <v>0</v>
      </c>
      <c r="O76" s="89">
        <f>'[1]OMM_Unit Matrix'!O76</f>
        <v>0</v>
      </c>
      <c r="P76" s="89">
        <f>'[1]OMM_Unit Matrix'!P76</f>
        <v>0</v>
      </c>
      <c r="Q76" s="89">
        <f>'[1]OMM_Unit Matrix'!Q76</f>
        <v>0</v>
      </c>
      <c r="R76" s="89">
        <f>'[1]OMM_Unit Matrix'!R76</f>
        <v>0</v>
      </c>
      <c r="S76" s="89">
        <f>'[1]OMM_Unit Matrix'!S76</f>
        <v>0</v>
      </c>
      <c r="T76" s="89">
        <f>'[1]OMM_Unit Matrix'!T76</f>
        <v>0</v>
      </c>
      <c r="U76" s="89">
        <f>'[1]OMM_Unit Matrix'!U76</f>
        <v>0</v>
      </c>
      <c r="V76" s="89">
        <f>'[1]OMM_Unit Matrix'!V76</f>
        <v>0</v>
      </c>
      <c r="W76" s="89">
        <f>'[1]OMM_Unit Matrix'!W76</f>
        <v>0</v>
      </c>
      <c r="X76" s="89">
        <f>'[1]OMM_Unit Matrix'!X76</f>
        <v>0</v>
      </c>
      <c r="Y76" s="89">
        <f>'[1]OMM_Unit Matrix'!Y76</f>
        <v>0</v>
      </c>
      <c r="Z76" s="89">
        <f>'[1]OMM_Unit Matrix'!Z76</f>
        <v>0</v>
      </c>
      <c r="AA76" s="89">
        <f>'[1]OMM_Unit Matrix'!AA76</f>
        <v>0</v>
      </c>
      <c r="AB76" s="89">
        <f>'[1]OMM_Unit Matrix'!AB76</f>
        <v>0</v>
      </c>
      <c r="AC76" s="89">
        <f>'[1]OMM_Unit Matrix'!AC76</f>
        <v>0</v>
      </c>
      <c r="AD76" s="89">
        <f>'[1]OMM_Unit Matrix'!AD76</f>
        <v>0</v>
      </c>
      <c r="AE76" s="89">
        <f>'[1]OMM_Unit Matrix'!AE76</f>
        <v>0</v>
      </c>
      <c r="AF76" s="89">
        <f>'[1]OMM_Unit Matrix'!AF76</f>
        <v>0</v>
      </c>
      <c r="AG76" s="89">
        <f>'[1]OMM_Unit Matrix'!AG76</f>
        <v>0</v>
      </c>
      <c r="AH76" s="89">
        <f>'[1]OMM_Unit Matrix'!AH76</f>
        <v>0</v>
      </c>
      <c r="AI76" s="89">
        <f>'[1]OMM_Unit Matrix'!AI76</f>
        <v>0</v>
      </c>
      <c r="AJ76" s="89">
        <f>'[1]OMM_Unit Matrix'!AJ76</f>
        <v>0</v>
      </c>
      <c r="AK76" s="89">
        <f>'[1]OMM_Unit Matrix'!AK76</f>
        <v>0</v>
      </c>
      <c r="AL76" s="89">
        <f>'[1]OMM_Unit Matrix'!AL76</f>
        <v>0</v>
      </c>
      <c r="AM76" s="89">
        <f>'[1]OMM_Unit Matrix'!AM76</f>
        <v>0</v>
      </c>
      <c r="AN76" s="89">
        <f>'[1]OMM_Unit Matrix'!AN76</f>
        <v>0</v>
      </c>
      <c r="AO76" s="89">
        <f>'[1]OMM_Unit Matrix'!AO76</f>
        <v>0</v>
      </c>
      <c r="AP76" s="89">
        <f>'[1]OMM_Unit Matrix'!AP76</f>
        <v>0</v>
      </c>
      <c r="AQ76" s="270">
        <f>'[1]OMM_Unit Matrix'!AQ76</f>
        <v>0</v>
      </c>
    </row>
    <row r="77" spans="2:43" hidden="1">
      <c r="B77" s="89">
        <f>'[1]OMM_Unit Matrix'!B77</f>
        <v>4</v>
      </c>
      <c r="C77" s="275">
        <f>'[1]OMM_Unit Matrix'!C77</f>
        <v>11</v>
      </c>
      <c r="D77" s="89">
        <f>'[1]OMM_Unit Matrix'!D77</f>
        <v>4011</v>
      </c>
      <c r="E77" s="89">
        <f>'[1]OMM_Unit Matrix'!E77</f>
        <v>0</v>
      </c>
      <c r="F77" s="89">
        <f>'[1]OMM_Unit Matrix'!F77</f>
        <v>0</v>
      </c>
      <c r="G77" s="89" t="str">
        <f>'[1]OMM_Unit Matrix'!G77</f>
        <v>NOT IN SCOPE</v>
      </c>
      <c r="H77" s="89">
        <f>'[1]OMM_Unit Matrix'!H77</f>
        <v>0</v>
      </c>
      <c r="I77" s="89">
        <f>'[1]OMM_Unit Matrix'!I77</f>
        <v>0</v>
      </c>
      <c r="J77" s="89">
        <f>'[1]OMM_Unit Matrix'!J77</f>
        <v>0</v>
      </c>
      <c r="K77" s="89">
        <f>'[1]OMM_Unit Matrix'!K77</f>
        <v>0</v>
      </c>
      <c r="L77" s="89">
        <f>'[1]OMM_Unit Matrix'!L77</f>
        <v>0</v>
      </c>
      <c r="M77" s="89">
        <f>'[1]OMM_Unit Matrix'!M77</f>
        <v>0</v>
      </c>
      <c r="N77" s="89">
        <f>'[1]OMM_Unit Matrix'!N77</f>
        <v>0</v>
      </c>
      <c r="O77" s="89">
        <f>'[1]OMM_Unit Matrix'!O77</f>
        <v>0</v>
      </c>
      <c r="P77" s="89">
        <f>'[1]OMM_Unit Matrix'!P77</f>
        <v>0</v>
      </c>
      <c r="Q77" s="89">
        <f>'[1]OMM_Unit Matrix'!Q77</f>
        <v>0</v>
      </c>
      <c r="R77" s="89">
        <f>'[1]OMM_Unit Matrix'!R77</f>
        <v>0</v>
      </c>
      <c r="S77" s="89">
        <f>'[1]OMM_Unit Matrix'!S77</f>
        <v>0</v>
      </c>
      <c r="T77" s="89">
        <f>'[1]OMM_Unit Matrix'!T77</f>
        <v>0</v>
      </c>
      <c r="U77" s="89">
        <f>'[1]OMM_Unit Matrix'!U77</f>
        <v>0</v>
      </c>
      <c r="V77" s="89">
        <f>'[1]OMM_Unit Matrix'!V77</f>
        <v>0</v>
      </c>
      <c r="W77" s="89">
        <f>'[1]OMM_Unit Matrix'!W77</f>
        <v>0</v>
      </c>
      <c r="X77" s="89">
        <f>'[1]OMM_Unit Matrix'!X77</f>
        <v>0</v>
      </c>
      <c r="Y77" s="89">
        <f>'[1]OMM_Unit Matrix'!Y77</f>
        <v>0</v>
      </c>
      <c r="Z77" s="89">
        <f>'[1]OMM_Unit Matrix'!Z77</f>
        <v>0</v>
      </c>
      <c r="AA77" s="89">
        <f>'[1]OMM_Unit Matrix'!AA77</f>
        <v>0</v>
      </c>
      <c r="AB77" s="89">
        <f>'[1]OMM_Unit Matrix'!AB77</f>
        <v>0</v>
      </c>
      <c r="AC77" s="89">
        <f>'[1]OMM_Unit Matrix'!AC77</f>
        <v>0</v>
      </c>
      <c r="AD77" s="89">
        <f>'[1]OMM_Unit Matrix'!AD77</f>
        <v>0</v>
      </c>
      <c r="AE77" s="89">
        <f>'[1]OMM_Unit Matrix'!AE77</f>
        <v>0</v>
      </c>
      <c r="AF77" s="89">
        <f>'[1]OMM_Unit Matrix'!AF77</f>
        <v>0</v>
      </c>
      <c r="AG77" s="89">
        <f>'[1]OMM_Unit Matrix'!AG77</f>
        <v>0</v>
      </c>
      <c r="AH77" s="89">
        <f>'[1]OMM_Unit Matrix'!AH77</f>
        <v>0</v>
      </c>
      <c r="AI77" s="89">
        <f>'[1]OMM_Unit Matrix'!AI77</f>
        <v>0</v>
      </c>
      <c r="AJ77" s="89">
        <f>'[1]OMM_Unit Matrix'!AJ77</f>
        <v>0</v>
      </c>
      <c r="AK77" s="89">
        <f>'[1]OMM_Unit Matrix'!AK77</f>
        <v>0</v>
      </c>
      <c r="AL77" s="89">
        <f>'[1]OMM_Unit Matrix'!AL77</f>
        <v>0</v>
      </c>
      <c r="AM77" s="89">
        <f>'[1]OMM_Unit Matrix'!AM77</f>
        <v>0</v>
      </c>
      <c r="AN77" s="89">
        <f>'[1]OMM_Unit Matrix'!AN77</f>
        <v>0</v>
      </c>
      <c r="AO77" s="89">
        <f>'[1]OMM_Unit Matrix'!AO77</f>
        <v>0</v>
      </c>
      <c r="AP77" s="89">
        <f>'[1]OMM_Unit Matrix'!AP77</f>
        <v>0</v>
      </c>
      <c r="AQ77" s="270">
        <f>'[1]OMM_Unit Matrix'!AQ77</f>
        <v>0</v>
      </c>
    </row>
    <row r="78" spans="2:43" hidden="1">
      <c r="B78" s="89">
        <f>'[1]OMM_Unit Matrix'!B78</f>
        <v>4</v>
      </c>
      <c r="C78" s="275">
        <f>'[1]OMM_Unit Matrix'!C78</f>
        <v>12</v>
      </c>
      <c r="D78" s="89">
        <f>'[1]OMM_Unit Matrix'!D78</f>
        <v>4012</v>
      </c>
      <c r="E78" s="89">
        <f>'[1]OMM_Unit Matrix'!E78</f>
        <v>0</v>
      </c>
      <c r="F78" s="89">
        <f>'[1]OMM_Unit Matrix'!F78</f>
        <v>0</v>
      </c>
      <c r="G78" s="89" t="str">
        <f>'[1]OMM_Unit Matrix'!G78</f>
        <v>NOT IN SCOPE</v>
      </c>
      <c r="H78" s="89">
        <f>'[1]OMM_Unit Matrix'!H78</f>
        <v>0</v>
      </c>
      <c r="I78" s="89">
        <f>'[1]OMM_Unit Matrix'!I78</f>
        <v>0</v>
      </c>
      <c r="J78" s="89">
        <f>'[1]OMM_Unit Matrix'!J78</f>
        <v>0</v>
      </c>
      <c r="K78" s="89">
        <f>'[1]OMM_Unit Matrix'!K78</f>
        <v>0</v>
      </c>
      <c r="L78" s="89">
        <f>'[1]OMM_Unit Matrix'!L78</f>
        <v>0</v>
      </c>
      <c r="M78" s="89">
        <f>'[1]OMM_Unit Matrix'!M78</f>
        <v>0</v>
      </c>
      <c r="N78" s="89">
        <f>'[1]OMM_Unit Matrix'!N78</f>
        <v>0</v>
      </c>
      <c r="O78" s="89">
        <f>'[1]OMM_Unit Matrix'!O78</f>
        <v>0</v>
      </c>
      <c r="P78" s="89">
        <f>'[1]OMM_Unit Matrix'!P78</f>
        <v>0</v>
      </c>
      <c r="Q78" s="89">
        <f>'[1]OMM_Unit Matrix'!Q78</f>
        <v>0</v>
      </c>
      <c r="R78" s="89">
        <f>'[1]OMM_Unit Matrix'!R78</f>
        <v>0</v>
      </c>
      <c r="S78" s="89">
        <f>'[1]OMM_Unit Matrix'!S78</f>
        <v>0</v>
      </c>
      <c r="T78" s="89">
        <f>'[1]OMM_Unit Matrix'!T78</f>
        <v>0</v>
      </c>
      <c r="U78" s="89">
        <f>'[1]OMM_Unit Matrix'!U78</f>
        <v>0</v>
      </c>
      <c r="V78" s="89">
        <f>'[1]OMM_Unit Matrix'!V78</f>
        <v>0</v>
      </c>
      <c r="W78" s="89">
        <f>'[1]OMM_Unit Matrix'!W78</f>
        <v>0</v>
      </c>
      <c r="X78" s="89">
        <f>'[1]OMM_Unit Matrix'!X78</f>
        <v>0</v>
      </c>
      <c r="Y78" s="89">
        <f>'[1]OMM_Unit Matrix'!Y78</f>
        <v>0</v>
      </c>
      <c r="Z78" s="89">
        <f>'[1]OMM_Unit Matrix'!Z78</f>
        <v>0</v>
      </c>
      <c r="AA78" s="89">
        <f>'[1]OMM_Unit Matrix'!AA78</f>
        <v>0</v>
      </c>
      <c r="AB78" s="89">
        <f>'[1]OMM_Unit Matrix'!AB78</f>
        <v>0</v>
      </c>
      <c r="AC78" s="89">
        <f>'[1]OMM_Unit Matrix'!AC78</f>
        <v>0</v>
      </c>
      <c r="AD78" s="89">
        <f>'[1]OMM_Unit Matrix'!AD78</f>
        <v>0</v>
      </c>
      <c r="AE78" s="89">
        <f>'[1]OMM_Unit Matrix'!AE78</f>
        <v>0</v>
      </c>
      <c r="AF78" s="89">
        <f>'[1]OMM_Unit Matrix'!AF78</f>
        <v>0</v>
      </c>
      <c r="AG78" s="89">
        <f>'[1]OMM_Unit Matrix'!AG78</f>
        <v>0</v>
      </c>
      <c r="AH78" s="89">
        <f>'[1]OMM_Unit Matrix'!AH78</f>
        <v>0</v>
      </c>
      <c r="AI78" s="89">
        <f>'[1]OMM_Unit Matrix'!AI78</f>
        <v>0</v>
      </c>
      <c r="AJ78" s="89">
        <f>'[1]OMM_Unit Matrix'!AJ78</f>
        <v>0</v>
      </c>
      <c r="AK78" s="89">
        <f>'[1]OMM_Unit Matrix'!AK78</f>
        <v>0</v>
      </c>
      <c r="AL78" s="89">
        <f>'[1]OMM_Unit Matrix'!AL78</f>
        <v>0</v>
      </c>
      <c r="AM78" s="89">
        <f>'[1]OMM_Unit Matrix'!AM78</f>
        <v>0</v>
      </c>
      <c r="AN78" s="89">
        <f>'[1]OMM_Unit Matrix'!AN78</f>
        <v>0</v>
      </c>
      <c r="AO78" s="89">
        <f>'[1]OMM_Unit Matrix'!AO78</f>
        <v>0</v>
      </c>
      <c r="AP78" s="89">
        <f>'[1]OMM_Unit Matrix'!AP78</f>
        <v>0</v>
      </c>
      <c r="AQ78" s="270">
        <f>'[1]OMM_Unit Matrix'!AQ78</f>
        <v>0</v>
      </c>
    </row>
    <row r="79" spans="2:43" hidden="1">
      <c r="B79" s="89">
        <f>'[1]OMM_Unit Matrix'!B79</f>
        <v>4</v>
      </c>
      <c r="C79" s="275">
        <f>'[1]OMM_Unit Matrix'!C79</f>
        <v>13</v>
      </c>
      <c r="D79" s="89">
        <f>'[1]OMM_Unit Matrix'!D79</f>
        <v>4013</v>
      </c>
      <c r="E79" s="89">
        <f>'[1]OMM_Unit Matrix'!E79</f>
        <v>0</v>
      </c>
      <c r="F79" s="89">
        <f>'[1]OMM_Unit Matrix'!F79</f>
        <v>0</v>
      </c>
      <c r="G79" s="89" t="str">
        <f>'[1]OMM_Unit Matrix'!G79</f>
        <v>NOT IN SCOPE</v>
      </c>
      <c r="H79" s="89">
        <f>'[1]OMM_Unit Matrix'!H79</f>
        <v>0</v>
      </c>
      <c r="I79" s="89">
        <f>'[1]OMM_Unit Matrix'!I79</f>
        <v>0</v>
      </c>
      <c r="J79" s="89">
        <f>'[1]OMM_Unit Matrix'!J79</f>
        <v>0</v>
      </c>
      <c r="K79" s="89">
        <f>'[1]OMM_Unit Matrix'!K79</f>
        <v>0</v>
      </c>
      <c r="L79" s="89">
        <f>'[1]OMM_Unit Matrix'!L79</f>
        <v>0</v>
      </c>
      <c r="M79" s="89">
        <f>'[1]OMM_Unit Matrix'!M79</f>
        <v>0</v>
      </c>
      <c r="N79" s="89">
        <f>'[1]OMM_Unit Matrix'!N79</f>
        <v>0</v>
      </c>
      <c r="O79" s="89">
        <f>'[1]OMM_Unit Matrix'!O79</f>
        <v>0</v>
      </c>
      <c r="P79" s="89">
        <f>'[1]OMM_Unit Matrix'!P79</f>
        <v>0</v>
      </c>
      <c r="Q79" s="89">
        <f>'[1]OMM_Unit Matrix'!Q79</f>
        <v>0</v>
      </c>
      <c r="R79" s="89">
        <f>'[1]OMM_Unit Matrix'!R79</f>
        <v>0</v>
      </c>
      <c r="S79" s="89">
        <f>'[1]OMM_Unit Matrix'!S79</f>
        <v>0</v>
      </c>
      <c r="T79" s="89">
        <f>'[1]OMM_Unit Matrix'!T79</f>
        <v>0</v>
      </c>
      <c r="U79" s="89">
        <f>'[1]OMM_Unit Matrix'!U79</f>
        <v>0</v>
      </c>
      <c r="V79" s="89">
        <f>'[1]OMM_Unit Matrix'!V79</f>
        <v>0</v>
      </c>
      <c r="W79" s="89">
        <f>'[1]OMM_Unit Matrix'!W79</f>
        <v>0</v>
      </c>
      <c r="X79" s="89">
        <f>'[1]OMM_Unit Matrix'!X79</f>
        <v>0</v>
      </c>
      <c r="Y79" s="89">
        <f>'[1]OMM_Unit Matrix'!Y79</f>
        <v>0</v>
      </c>
      <c r="Z79" s="89">
        <f>'[1]OMM_Unit Matrix'!Z79</f>
        <v>0</v>
      </c>
      <c r="AA79" s="89">
        <f>'[1]OMM_Unit Matrix'!AA79</f>
        <v>0</v>
      </c>
      <c r="AB79" s="89">
        <f>'[1]OMM_Unit Matrix'!AB79</f>
        <v>0</v>
      </c>
      <c r="AC79" s="89">
        <f>'[1]OMM_Unit Matrix'!AC79</f>
        <v>0</v>
      </c>
      <c r="AD79" s="89">
        <f>'[1]OMM_Unit Matrix'!AD79</f>
        <v>0</v>
      </c>
      <c r="AE79" s="89">
        <f>'[1]OMM_Unit Matrix'!AE79</f>
        <v>0</v>
      </c>
      <c r="AF79" s="89">
        <f>'[1]OMM_Unit Matrix'!AF79</f>
        <v>0</v>
      </c>
      <c r="AG79" s="89">
        <f>'[1]OMM_Unit Matrix'!AG79</f>
        <v>0</v>
      </c>
      <c r="AH79" s="89">
        <f>'[1]OMM_Unit Matrix'!AH79</f>
        <v>0</v>
      </c>
      <c r="AI79" s="89">
        <f>'[1]OMM_Unit Matrix'!AI79</f>
        <v>0</v>
      </c>
      <c r="AJ79" s="89">
        <f>'[1]OMM_Unit Matrix'!AJ79</f>
        <v>0</v>
      </c>
      <c r="AK79" s="89">
        <f>'[1]OMM_Unit Matrix'!AK79</f>
        <v>0</v>
      </c>
      <c r="AL79" s="89">
        <f>'[1]OMM_Unit Matrix'!AL79</f>
        <v>0</v>
      </c>
      <c r="AM79" s="89">
        <f>'[1]OMM_Unit Matrix'!AM79</f>
        <v>0</v>
      </c>
      <c r="AN79" s="89">
        <f>'[1]OMM_Unit Matrix'!AN79</f>
        <v>0</v>
      </c>
      <c r="AO79" s="89">
        <f>'[1]OMM_Unit Matrix'!AO79</f>
        <v>0</v>
      </c>
      <c r="AP79" s="89">
        <f>'[1]OMM_Unit Matrix'!AP79</f>
        <v>0</v>
      </c>
      <c r="AQ79" s="270">
        <f>'[1]OMM_Unit Matrix'!AQ79</f>
        <v>0</v>
      </c>
    </row>
    <row r="80" spans="2:43" hidden="1">
      <c r="B80" s="89">
        <f>'[1]OMM_Unit Matrix'!B80</f>
        <v>4</v>
      </c>
      <c r="C80" s="275">
        <f>'[1]OMM_Unit Matrix'!C80</f>
        <v>14</v>
      </c>
      <c r="D80" s="89">
        <f>'[1]OMM_Unit Matrix'!D80</f>
        <v>4014</v>
      </c>
      <c r="E80" s="89">
        <f>'[1]OMM_Unit Matrix'!E80</f>
        <v>0</v>
      </c>
      <c r="F80" s="89">
        <f>'[1]OMM_Unit Matrix'!F80</f>
        <v>0</v>
      </c>
      <c r="G80" s="89" t="str">
        <f>'[1]OMM_Unit Matrix'!G80</f>
        <v>NOT IN SCOPE</v>
      </c>
      <c r="H80" s="89">
        <f>'[1]OMM_Unit Matrix'!H80</f>
        <v>0</v>
      </c>
      <c r="I80" s="89">
        <f>'[1]OMM_Unit Matrix'!I80</f>
        <v>0</v>
      </c>
      <c r="J80" s="89">
        <f>'[1]OMM_Unit Matrix'!J80</f>
        <v>0</v>
      </c>
      <c r="K80" s="89">
        <f>'[1]OMM_Unit Matrix'!K80</f>
        <v>0</v>
      </c>
      <c r="L80" s="89">
        <f>'[1]OMM_Unit Matrix'!L80</f>
        <v>0</v>
      </c>
      <c r="M80" s="89">
        <f>'[1]OMM_Unit Matrix'!M80</f>
        <v>0</v>
      </c>
      <c r="N80" s="89">
        <f>'[1]OMM_Unit Matrix'!N80</f>
        <v>0</v>
      </c>
      <c r="O80" s="89">
        <f>'[1]OMM_Unit Matrix'!O80</f>
        <v>0</v>
      </c>
      <c r="P80" s="89">
        <f>'[1]OMM_Unit Matrix'!P80</f>
        <v>0</v>
      </c>
      <c r="Q80" s="89">
        <f>'[1]OMM_Unit Matrix'!Q80</f>
        <v>0</v>
      </c>
      <c r="R80" s="89">
        <f>'[1]OMM_Unit Matrix'!R80</f>
        <v>0</v>
      </c>
      <c r="S80" s="89">
        <f>'[1]OMM_Unit Matrix'!S80</f>
        <v>0</v>
      </c>
      <c r="T80" s="89">
        <f>'[1]OMM_Unit Matrix'!T80</f>
        <v>0</v>
      </c>
      <c r="U80" s="89">
        <f>'[1]OMM_Unit Matrix'!U80</f>
        <v>0</v>
      </c>
      <c r="V80" s="89">
        <f>'[1]OMM_Unit Matrix'!V80</f>
        <v>0</v>
      </c>
      <c r="W80" s="89">
        <f>'[1]OMM_Unit Matrix'!W80</f>
        <v>0</v>
      </c>
      <c r="X80" s="89">
        <f>'[1]OMM_Unit Matrix'!X80</f>
        <v>0</v>
      </c>
      <c r="Y80" s="89">
        <f>'[1]OMM_Unit Matrix'!Y80</f>
        <v>0</v>
      </c>
      <c r="Z80" s="89">
        <f>'[1]OMM_Unit Matrix'!Z80</f>
        <v>0</v>
      </c>
      <c r="AA80" s="89">
        <f>'[1]OMM_Unit Matrix'!AA80</f>
        <v>0</v>
      </c>
      <c r="AB80" s="89">
        <f>'[1]OMM_Unit Matrix'!AB80</f>
        <v>0</v>
      </c>
      <c r="AC80" s="89">
        <f>'[1]OMM_Unit Matrix'!AC80</f>
        <v>0</v>
      </c>
      <c r="AD80" s="89">
        <f>'[1]OMM_Unit Matrix'!AD80</f>
        <v>0</v>
      </c>
      <c r="AE80" s="89">
        <f>'[1]OMM_Unit Matrix'!AE80</f>
        <v>0</v>
      </c>
      <c r="AF80" s="89">
        <f>'[1]OMM_Unit Matrix'!AF80</f>
        <v>0</v>
      </c>
      <c r="AG80" s="89">
        <f>'[1]OMM_Unit Matrix'!AG80</f>
        <v>0</v>
      </c>
      <c r="AH80" s="89">
        <f>'[1]OMM_Unit Matrix'!AH80</f>
        <v>0</v>
      </c>
      <c r="AI80" s="89">
        <f>'[1]OMM_Unit Matrix'!AI80</f>
        <v>0</v>
      </c>
      <c r="AJ80" s="89">
        <f>'[1]OMM_Unit Matrix'!AJ80</f>
        <v>0</v>
      </c>
      <c r="AK80" s="89">
        <f>'[1]OMM_Unit Matrix'!AK80</f>
        <v>0</v>
      </c>
      <c r="AL80" s="89">
        <f>'[1]OMM_Unit Matrix'!AL80</f>
        <v>0</v>
      </c>
      <c r="AM80" s="89">
        <f>'[1]OMM_Unit Matrix'!AM80</f>
        <v>0</v>
      </c>
      <c r="AN80" s="89">
        <f>'[1]OMM_Unit Matrix'!AN80</f>
        <v>0</v>
      </c>
      <c r="AO80" s="89">
        <f>'[1]OMM_Unit Matrix'!AO80</f>
        <v>0</v>
      </c>
      <c r="AP80" s="89">
        <f>'[1]OMM_Unit Matrix'!AP80</f>
        <v>0</v>
      </c>
      <c r="AQ80" s="270">
        <f>'[1]OMM_Unit Matrix'!AQ80</f>
        <v>0</v>
      </c>
    </row>
    <row r="81" spans="2:43" hidden="1">
      <c r="B81" s="89">
        <f>'[1]OMM_Unit Matrix'!B81</f>
        <v>4</v>
      </c>
      <c r="C81" s="275">
        <f>'[1]OMM_Unit Matrix'!C81</f>
        <v>15</v>
      </c>
      <c r="D81" s="89">
        <f>'[1]OMM_Unit Matrix'!D81</f>
        <v>4015</v>
      </c>
      <c r="E81" s="89">
        <f>'[1]OMM_Unit Matrix'!E81</f>
        <v>0</v>
      </c>
      <c r="F81" s="89">
        <f>'[1]OMM_Unit Matrix'!F81</f>
        <v>0</v>
      </c>
      <c r="G81" s="89" t="str">
        <f>'[1]OMM_Unit Matrix'!G81</f>
        <v>NOT IN SCOPE</v>
      </c>
      <c r="H81" s="89">
        <f>'[1]OMM_Unit Matrix'!H81</f>
        <v>0</v>
      </c>
      <c r="I81" s="89">
        <f>'[1]OMM_Unit Matrix'!I81</f>
        <v>0</v>
      </c>
      <c r="J81" s="89">
        <f>'[1]OMM_Unit Matrix'!J81</f>
        <v>0</v>
      </c>
      <c r="K81" s="89">
        <f>'[1]OMM_Unit Matrix'!K81</f>
        <v>0</v>
      </c>
      <c r="L81" s="89">
        <f>'[1]OMM_Unit Matrix'!L81</f>
        <v>0</v>
      </c>
      <c r="M81" s="89">
        <f>'[1]OMM_Unit Matrix'!M81</f>
        <v>0</v>
      </c>
      <c r="N81" s="89">
        <f>'[1]OMM_Unit Matrix'!N81</f>
        <v>0</v>
      </c>
      <c r="O81" s="89">
        <f>'[1]OMM_Unit Matrix'!O81</f>
        <v>0</v>
      </c>
      <c r="P81" s="89">
        <f>'[1]OMM_Unit Matrix'!P81</f>
        <v>0</v>
      </c>
      <c r="Q81" s="89">
        <f>'[1]OMM_Unit Matrix'!Q81</f>
        <v>0</v>
      </c>
      <c r="R81" s="89">
        <f>'[1]OMM_Unit Matrix'!R81</f>
        <v>0</v>
      </c>
      <c r="S81" s="89">
        <f>'[1]OMM_Unit Matrix'!S81</f>
        <v>0</v>
      </c>
      <c r="T81" s="89">
        <f>'[1]OMM_Unit Matrix'!T81</f>
        <v>0</v>
      </c>
      <c r="U81" s="89">
        <f>'[1]OMM_Unit Matrix'!U81</f>
        <v>0</v>
      </c>
      <c r="V81" s="89">
        <f>'[1]OMM_Unit Matrix'!V81</f>
        <v>0</v>
      </c>
      <c r="W81" s="89">
        <f>'[1]OMM_Unit Matrix'!W81</f>
        <v>0</v>
      </c>
      <c r="X81" s="89">
        <f>'[1]OMM_Unit Matrix'!X81</f>
        <v>0</v>
      </c>
      <c r="Y81" s="89">
        <f>'[1]OMM_Unit Matrix'!Y81</f>
        <v>0</v>
      </c>
      <c r="Z81" s="89">
        <f>'[1]OMM_Unit Matrix'!Z81</f>
        <v>0</v>
      </c>
      <c r="AA81" s="89">
        <f>'[1]OMM_Unit Matrix'!AA81</f>
        <v>0</v>
      </c>
      <c r="AB81" s="89">
        <f>'[1]OMM_Unit Matrix'!AB81</f>
        <v>0</v>
      </c>
      <c r="AC81" s="89">
        <f>'[1]OMM_Unit Matrix'!AC81</f>
        <v>0</v>
      </c>
      <c r="AD81" s="89">
        <f>'[1]OMM_Unit Matrix'!AD81</f>
        <v>0</v>
      </c>
      <c r="AE81" s="89">
        <f>'[1]OMM_Unit Matrix'!AE81</f>
        <v>0</v>
      </c>
      <c r="AF81" s="89">
        <f>'[1]OMM_Unit Matrix'!AF81</f>
        <v>0</v>
      </c>
      <c r="AG81" s="89">
        <f>'[1]OMM_Unit Matrix'!AG81</f>
        <v>0</v>
      </c>
      <c r="AH81" s="89">
        <f>'[1]OMM_Unit Matrix'!AH81</f>
        <v>0</v>
      </c>
      <c r="AI81" s="89">
        <f>'[1]OMM_Unit Matrix'!AI81</f>
        <v>0</v>
      </c>
      <c r="AJ81" s="89">
        <f>'[1]OMM_Unit Matrix'!AJ81</f>
        <v>0</v>
      </c>
      <c r="AK81" s="89">
        <f>'[1]OMM_Unit Matrix'!AK81</f>
        <v>0</v>
      </c>
      <c r="AL81" s="89">
        <f>'[1]OMM_Unit Matrix'!AL81</f>
        <v>0</v>
      </c>
      <c r="AM81" s="89">
        <f>'[1]OMM_Unit Matrix'!AM81</f>
        <v>0</v>
      </c>
      <c r="AN81" s="89">
        <f>'[1]OMM_Unit Matrix'!AN81</f>
        <v>0</v>
      </c>
      <c r="AO81" s="89">
        <f>'[1]OMM_Unit Matrix'!AO81</f>
        <v>0</v>
      </c>
      <c r="AP81" s="89">
        <f>'[1]OMM_Unit Matrix'!AP81</f>
        <v>0</v>
      </c>
      <c r="AQ81" s="270">
        <f>'[1]OMM_Unit Matrix'!AQ81</f>
        <v>0</v>
      </c>
    </row>
    <row r="82" spans="2:43" hidden="1">
      <c r="B82" s="89">
        <f>'[1]OMM_Unit Matrix'!B82</f>
        <v>4</v>
      </c>
      <c r="C82" s="275">
        <f>'[1]OMM_Unit Matrix'!C82</f>
        <v>16</v>
      </c>
      <c r="D82" s="89">
        <f>'[1]OMM_Unit Matrix'!D82</f>
        <v>4016</v>
      </c>
      <c r="E82" s="89">
        <f>'[1]OMM_Unit Matrix'!E82</f>
        <v>0</v>
      </c>
      <c r="F82" s="89">
        <f>'[1]OMM_Unit Matrix'!F82</f>
        <v>0</v>
      </c>
      <c r="G82" s="89" t="str">
        <f>'[1]OMM_Unit Matrix'!G82</f>
        <v>NOT IN SCOPE</v>
      </c>
      <c r="H82" s="89">
        <f>'[1]OMM_Unit Matrix'!H82</f>
        <v>0</v>
      </c>
      <c r="I82" s="89">
        <f>'[1]OMM_Unit Matrix'!I82</f>
        <v>0</v>
      </c>
      <c r="J82" s="89">
        <f>'[1]OMM_Unit Matrix'!J82</f>
        <v>0</v>
      </c>
      <c r="K82" s="89">
        <f>'[1]OMM_Unit Matrix'!K82</f>
        <v>0</v>
      </c>
      <c r="L82" s="89">
        <f>'[1]OMM_Unit Matrix'!L82</f>
        <v>0</v>
      </c>
      <c r="M82" s="89">
        <f>'[1]OMM_Unit Matrix'!M82</f>
        <v>0</v>
      </c>
      <c r="N82" s="89">
        <f>'[1]OMM_Unit Matrix'!N82</f>
        <v>0</v>
      </c>
      <c r="O82" s="89">
        <f>'[1]OMM_Unit Matrix'!O82</f>
        <v>0</v>
      </c>
      <c r="P82" s="89">
        <f>'[1]OMM_Unit Matrix'!P82</f>
        <v>0</v>
      </c>
      <c r="Q82" s="89">
        <f>'[1]OMM_Unit Matrix'!Q82</f>
        <v>0</v>
      </c>
      <c r="R82" s="89">
        <f>'[1]OMM_Unit Matrix'!R82</f>
        <v>0</v>
      </c>
      <c r="S82" s="89">
        <f>'[1]OMM_Unit Matrix'!S82</f>
        <v>0</v>
      </c>
      <c r="T82" s="89">
        <f>'[1]OMM_Unit Matrix'!T82</f>
        <v>0</v>
      </c>
      <c r="U82" s="89">
        <f>'[1]OMM_Unit Matrix'!U82</f>
        <v>0</v>
      </c>
      <c r="V82" s="89">
        <f>'[1]OMM_Unit Matrix'!V82</f>
        <v>0</v>
      </c>
      <c r="W82" s="89">
        <f>'[1]OMM_Unit Matrix'!W82</f>
        <v>0</v>
      </c>
      <c r="X82" s="89">
        <f>'[1]OMM_Unit Matrix'!X82</f>
        <v>0</v>
      </c>
      <c r="Y82" s="89">
        <f>'[1]OMM_Unit Matrix'!Y82</f>
        <v>0</v>
      </c>
      <c r="Z82" s="89">
        <f>'[1]OMM_Unit Matrix'!Z82</f>
        <v>0</v>
      </c>
      <c r="AA82" s="89">
        <f>'[1]OMM_Unit Matrix'!AA82</f>
        <v>0</v>
      </c>
      <c r="AB82" s="89">
        <f>'[1]OMM_Unit Matrix'!AB82</f>
        <v>0</v>
      </c>
      <c r="AC82" s="89">
        <f>'[1]OMM_Unit Matrix'!AC82</f>
        <v>0</v>
      </c>
      <c r="AD82" s="89">
        <f>'[1]OMM_Unit Matrix'!AD82</f>
        <v>0</v>
      </c>
      <c r="AE82" s="89">
        <f>'[1]OMM_Unit Matrix'!AE82</f>
        <v>0</v>
      </c>
      <c r="AF82" s="89">
        <f>'[1]OMM_Unit Matrix'!AF82</f>
        <v>0</v>
      </c>
      <c r="AG82" s="89">
        <f>'[1]OMM_Unit Matrix'!AG82</f>
        <v>0</v>
      </c>
      <c r="AH82" s="89">
        <f>'[1]OMM_Unit Matrix'!AH82</f>
        <v>0</v>
      </c>
      <c r="AI82" s="89">
        <f>'[1]OMM_Unit Matrix'!AI82</f>
        <v>0</v>
      </c>
      <c r="AJ82" s="89">
        <f>'[1]OMM_Unit Matrix'!AJ82</f>
        <v>0</v>
      </c>
      <c r="AK82" s="89">
        <f>'[1]OMM_Unit Matrix'!AK82</f>
        <v>0</v>
      </c>
      <c r="AL82" s="89">
        <f>'[1]OMM_Unit Matrix'!AL82</f>
        <v>0</v>
      </c>
      <c r="AM82" s="89">
        <f>'[1]OMM_Unit Matrix'!AM82</f>
        <v>0</v>
      </c>
      <c r="AN82" s="89">
        <f>'[1]OMM_Unit Matrix'!AN82</f>
        <v>0</v>
      </c>
      <c r="AO82" s="89">
        <f>'[1]OMM_Unit Matrix'!AO82</f>
        <v>0</v>
      </c>
      <c r="AP82" s="89">
        <f>'[1]OMM_Unit Matrix'!AP82</f>
        <v>0</v>
      </c>
      <c r="AQ82" s="270">
        <f>'[1]OMM_Unit Matrix'!AQ82</f>
        <v>0</v>
      </c>
    </row>
    <row r="83" spans="2:43" hidden="1">
      <c r="B83" s="89">
        <f>'[1]OMM_Unit Matrix'!B83</f>
        <v>4</v>
      </c>
      <c r="C83" s="275">
        <f>'[1]OMM_Unit Matrix'!C83</f>
        <v>17</v>
      </c>
      <c r="D83" s="89">
        <f>'[1]OMM_Unit Matrix'!D83</f>
        <v>4017</v>
      </c>
      <c r="E83" s="89">
        <f>'[1]OMM_Unit Matrix'!E83</f>
        <v>0</v>
      </c>
      <c r="F83" s="89">
        <f>'[1]OMM_Unit Matrix'!F83</f>
        <v>0</v>
      </c>
      <c r="G83" s="89" t="str">
        <f>'[1]OMM_Unit Matrix'!G83</f>
        <v>NOT IN SCOPE</v>
      </c>
      <c r="H83" s="89">
        <f>'[1]OMM_Unit Matrix'!H83</f>
        <v>0</v>
      </c>
      <c r="I83" s="89">
        <f>'[1]OMM_Unit Matrix'!I83</f>
        <v>0</v>
      </c>
      <c r="J83" s="89">
        <f>'[1]OMM_Unit Matrix'!J83</f>
        <v>0</v>
      </c>
      <c r="K83" s="89">
        <f>'[1]OMM_Unit Matrix'!K83</f>
        <v>0</v>
      </c>
      <c r="L83" s="89">
        <f>'[1]OMM_Unit Matrix'!L83</f>
        <v>0</v>
      </c>
      <c r="M83" s="89">
        <f>'[1]OMM_Unit Matrix'!M83</f>
        <v>0</v>
      </c>
      <c r="N83" s="89">
        <f>'[1]OMM_Unit Matrix'!N83</f>
        <v>0</v>
      </c>
      <c r="O83" s="89">
        <f>'[1]OMM_Unit Matrix'!O83</f>
        <v>0</v>
      </c>
      <c r="P83" s="89">
        <f>'[1]OMM_Unit Matrix'!P83</f>
        <v>0</v>
      </c>
      <c r="Q83" s="89">
        <f>'[1]OMM_Unit Matrix'!Q83</f>
        <v>0</v>
      </c>
      <c r="R83" s="89">
        <f>'[1]OMM_Unit Matrix'!R83</f>
        <v>0</v>
      </c>
      <c r="S83" s="89">
        <f>'[1]OMM_Unit Matrix'!S83</f>
        <v>0</v>
      </c>
      <c r="T83" s="89">
        <f>'[1]OMM_Unit Matrix'!T83</f>
        <v>0</v>
      </c>
      <c r="U83" s="89">
        <f>'[1]OMM_Unit Matrix'!U83</f>
        <v>0</v>
      </c>
      <c r="V83" s="89">
        <f>'[1]OMM_Unit Matrix'!V83</f>
        <v>0</v>
      </c>
      <c r="W83" s="89">
        <f>'[1]OMM_Unit Matrix'!W83</f>
        <v>0</v>
      </c>
      <c r="X83" s="89">
        <f>'[1]OMM_Unit Matrix'!X83</f>
        <v>0</v>
      </c>
      <c r="Y83" s="89">
        <f>'[1]OMM_Unit Matrix'!Y83</f>
        <v>0</v>
      </c>
      <c r="Z83" s="89">
        <f>'[1]OMM_Unit Matrix'!Z83</f>
        <v>0</v>
      </c>
      <c r="AA83" s="89">
        <f>'[1]OMM_Unit Matrix'!AA83</f>
        <v>0</v>
      </c>
      <c r="AB83" s="89">
        <f>'[1]OMM_Unit Matrix'!AB83</f>
        <v>0</v>
      </c>
      <c r="AC83" s="89">
        <f>'[1]OMM_Unit Matrix'!AC83</f>
        <v>0</v>
      </c>
      <c r="AD83" s="89">
        <f>'[1]OMM_Unit Matrix'!AD83</f>
        <v>0</v>
      </c>
      <c r="AE83" s="89">
        <f>'[1]OMM_Unit Matrix'!AE83</f>
        <v>0</v>
      </c>
      <c r="AF83" s="89">
        <f>'[1]OMM_Unit Matrix'!AF83</f>
        <v>0</v>
      </c>
      <c r="AG83" s="89">
        <f>'[1]OMM_Unit Matrix'!AG83</f>
        <v>0</v>
      </c>
      <c r="AH83" s="89">
        <f>'[1]OMM_Unit Matrix'!AH83</f>
        <v>0</v>
      </c>
      <c r="AI83" s="89">
        <f>'[1]OMM_Unit Matrix'!AI83</f>
        <v>0</v>
      </c>
      <c r="AJ83" s="89">
        <f>'[1]OMM_Unit Matrix'!AJ83</f>
        <v>0</v>
      </c>
      <c r="AK83" s="89">
        <f>'[1]OMM_Unit Matrix'!AK83</f>
        <v>0</v>
      </c>
      <c r="AL83" s="89">
        <f>'[1]OMM_Unit Matrix'!AL83</f>
        <v>0</v>
      </c>
      <c r="AM83" s="89">
        <f>'[1]OMM_Unit Matrix'!AM83</f>
        <v>0</v>
      </c>
      <c r="AN83" s="89">
        <f>'[1]OMM_Unit Matrix'!AN83</f>
        <v>0</v>
      </c>
      <c r="AO83" s="89">
        <f>'[1]OMM_Unit Matrix'!AO83</f>
        <v>0</v>
      </c>
      <c r="AP83" s="89">
        <f>'[1]OMM_Unit Matrix'!AP83</f>
        <v>0</v>
      </c>
      <c r="AQ83" s="270">
        <f>'[1]OMM_Unit Matrix'!AQ83</f>
        <v>0</v>
      </c>
    </row>
    <row r="84" spans="2:43" hidden="1">
      <c r="B84" s="89">
        <f>'[1]OMM_Unit Matrix'!B84</f>
        <v>4</v>
      </c>
      <c r="C84" s="275">
        <f>'[1]OMM_Unit Matrix'!C84</f>
        <v>18</v>
      </c>
      <c r="D84" s="89">
        <f>'[1]OMM_Unit Matrix'!D84</f>
        <v>4018</v>
      </c>
      <c r="E84" s="89">
        <f>'[1]OMM_Unit Matrix'!E84</f>
        <v>0</v>
      </c>
      <c r="F84" s="89">
        <f>'[1]OMM_Unit Matrix'!F84</f>
        <v>0</v>
      </c>
      <c r="G84" s="89" t="str">
        <f>'[1]OMM_Unit Matrix'!G84</f>
        <v>NOT IN SCOPE</v>
      </c>
      <c r="H84" s="89">
        <f>'[1]OMM_Unit Matrix'!H84</f>
        <v>0</v>
      </c>
      <c r="I84" s="89">
        <f>'[1]OMM_Unit Matrix'!I84</f>
        <v>0</v>
      </c>
      <c r="J84" s="89">
        <f>'[1]OMM_Unit Matrix'!J84</f>
        <v>0</v>
      </c>
      <c r="K84" s="89">
        <f>'[1]OMM_Unit Matrix'!K84</f>
        <v>0</v>
      </c>
      <c r="L84" s="89">
        <f>'[1]OMM_Unit Matrix'!L84</f>
        <v>0</v>
      </c>
      <c r="M84" s="89">
        <f>'[1]OMM_Unit Matrix'!M84</f>
        <v>0</v>
      </c>
      <c r="N84" s="89">
        <f>'[1]OMM_Unit Matrix'!N84</f>
        <v>0</v>
      </c>
      <c r="O84" s="89">
        <f>'[1]OMM_Unit Matrix'!O84</f>
        <v>0</v>
      </c>
      <c r="P84" s="89">
        <f>'[1]OMM_Unit Matrix'!P84</f>
        <v>0</v>
      </c>
      <c r="Q84" s="89">
        <f>'[1]OMM_Unit Matrix'!Q84</f>
        <v>0</v>
      </c>
      <c r="R84" s="89">
        <f>'[1]OMM_Unit Matrix'!R84</f>
        <v>0</v>
      </c>
      <c r="S84" s="89">
        <f>'[1]OMM_Unit Matrix'!S84</f>
        <v>0</v>
      </c>
      <c r="T84" s="89">
        <f>'[1]OMM_Unit Matrix'!T84</f>
        <v>0</v>
      </c>
      <c r="U84" s="89">
        <f>'[1]OMM_Unit Matrix'!U84</f>
        <v>0</v>
      </c>
      <c r="V84" s="89">
        <f>'[1]OMM_Unit Matrix'!V84</f>
        <v>0</v>
      </c>
      <c r="W84" s="89">
        <f>'[1]OMM_Unit Matrix'!W84</f>
        <v>0</v>
      </c>
      <c r="X84" s="89">
        <f>'[1]OMM_Unit Matrix'!X84</f>
        <v>0</v>
      </c>
      <c r="Y84" s="89">
        <f>'[1]OMM_Unit Matrix'!Y84</f>
        <v>0</v>
      </c>
      <c r="Z84" s="89">
        <f>'[1]OMM_Unit Matrix'!Z84</f>
        <v>0</v>
      </c>
      <c r="AA84" s="89">
        <f>'[1]OMM_Unit Matrix'!AA84</f>
        <v>0</v>
      </c>
      <c r="AB84" s="89">
        <f>'[1]OMM_Unit Matrix'!AB84</f>
        <v>0</v>
      </c>
      <c r="AC84" s="89">
        <f>'[1]OMM_Unit Matrix'!AC84</f>
        <v>0</v>
      </c>
      <c r="AD84" s="89">
        <f>'[1]OMM_Unit Matrix'!AD84</f>
        <v>0</v>
      </c>
      <c r="AE84" s="89">
        <f>'[1]OMM_Unit Matrix'!AE84</f>
        <v>0</v>
      </c>
      <c r="AF84" s="89">
        <f>'[1]OMM_Unit Matrix'!AF84</f>
        <v>0</v>
      </c>
      <c r="AG84" s="89">
        <f>'[1]OMM_Unit Matrix'!AG84</f>
        <v>0</v>
      </c>
      <c r="AH84" s="89">
        <f>'[1]OMM_Unit Matrix'!AH84</f>
        <v>0</v>
      </c>
      <c r="AI84" s="89">
        <f>'[1]OMM_Unit Matrix'!AI84</f>
        <v>0</v>
      </c>
      <c r="AJ84" s="89">
        <f>'[1]OMM_Unit Matrix'!AJ84</f>
        <v>0</v>
      </c>
      <c r="AK84" s="89">
        <f>'[1]OMM_Unit Matrix'!AK84</f>
        <v>0</v>
      </c>
      <c r="AL84" s="89">
        <f>'[1]OMM_Unit Matrix'!AL84</f>
        <v>0</v>
      </c>
      <c r="AM84" s="89">
        <f>'[1]OMM_Unit Matrix'!AM84</f>
        <v>0</v>
      </c>
      <c r="AN84" s="89">
        <f>'[1]OMM_Unit Matrix'!AN84</f>
        <v>0</v>
      </c>
      <c r="AO84" s="89">
        <f>'[1]OMM_Unit Matrix'!AO84</f>
        <v>0</v>
      </c>
      <c r="AP84" s="89">
        <f>'[1]OMM_Unit Matrix'!AP84</f>
        <v>0</v>
      </c>
      <c r="AQ84" s="270">
        <f>'[1]OMM_Unit Matrix'!AQ84</f>
        <v>0</v>
      </c>
    </row>
    <row r="85" spans="2:43" hidden="1">
      <c r="B85" s="89">
        <f>'[1]OMM_Unit Matrix'!B85</f>
        <v>4</v>
      </c>
      <c r="C85" s="275">
        <f>'[1]OMM_Unit Matrix'!C85</f>
        <v>19</v>
      </c>
      <c r="D85" s="89">
        <f>'[1]OMM_Unit Matrix'!D85</f>
        <v>4019</v>
      </c>
      <c r="E85" s="89">
        <f>'[1]OMM_Unit Matrix'!E85</f>
        <v>0</v>
      </c>
      <c r="F85" s="89">
        <f>'[1]OMM_Unit Matrix'!F85</f>
        <v>0</v>
      </c>
      <c r="G85" s="89" t="str">
        <f>'[1]OMM_Unit Matrix'!G85</f>
        <v>NOT IN SCOPE</v>
      </c>
      <c r="H85" s="89">
        <f>'[1]OMM_Unit Matrix'!H85</f>
        <v>0</v>
      </c>
      <c r="I85" s="89">
        <f>'[1]OMM_Unit Matrix'!I85</f>
        <v>0</v>
      </c>
      <c r="J85" s="89">
        <f>'[1]OMM_Unit Matrix'!J85</f>
        <v>0</v>
      </c>
      <c r="K85" s="89">
        <f>'[1]OMM_Unit Matrix'!K85</f>
        <v>0</v>
      </c>
      <c r="L85" s="89">
        <f>'[1]OMM_Unit Matrix'!L85</f>
        <v>0</v>
      </c>
      <c r="M85" s="89">
        <f>'[1]OMM_Unit Matrix'!M85</f>
        <v>0</v>
      </c>
      <c r="N85" s="89">
        <f>'[1]OMM_Unit Matrix'!N85</f>
        <v>0</v>
      </c>
      <c r="O85" s="89">
        <f>'[1]OMM_Unit Matrix'!O85</f>
        <v>0</v>
      </c>
      <c r="P85" s="89">
        <f>'[1]OMM_Unit Matrix'!P85</f>
        <v>0</v>
      </c>
      <c r="Q85" s="89">
        <f>'[1]OMM_Unit Matrix'!Q85</f>
        <v>0</v>
      </c>
      <c r="R85" s="89">
        <f>'[1]OMM_Unit Matrix'!R85</f>
        <v>0</v>
      </c>
      <c r="S85" s="89">
        <f>'[1]OMM_Unit Matrix'!S85</f>
        <v>0</v>
      </c>
      <c r="T85" s="89">
        <f>'[1]OMM_Unit Matrix'!T85</f>
        <v>0</v>
      </c>
      <c r="U85" s="89">
        <f>'[1]OMM_Unit Matrix'!U85</f>
        <v>0</v>
      </c>
      <c r="V85" s="89">
        <f>'[1]OMM_Unit Matrix'!V85</f>
        <v>0</v>
      </c>
      <c r="W85" s="89">
        <f>'[1]OMM_Unit Matrix'!W85</f>
        <v>0</v>
      </c>
      <c r="X85" s="89">
        <f>'[1]OMM_Unit Matrix'!X85</f>
        <v>0</v>
      </c>
      <c r="Y85" s="89">
        <f>'[1]OMM_Unit Matrix'!Y85</f>
        <v>0</v>
      </c>
      <c r="Z85" s="89">
        <f>'[1]OMM_Unit Matrix'!Z85</f>
        <v>0</v>
      </c>
      <c r="AA85" s="89">
        <f>'[1]OMM_Unit Matrix'!AA85</f>
        <v>0</v>
      </c>
      <c r="AB85" s="89">
        <f>'[1]OMM_Unit Matrix'!AB85</f>
        <v>0</v>
      </c>
      <c r="AC85" s="89">
        <f>'[1]OMM_Unit Matrix'!AC85</f>
        <v>0</v>
      </c>
      <c r="AD85" s="89">
        <f>'[1]OMM_Unit Matrix'!AD85</f>
        <v>0</v>
      </c>
      <c r="AE85" s="89">
        <f>'[1]OMM_Unit Matrix'!AE85</f>
        <v>0</v>
      </c>
      <c r="AF85" s="89">
        <f>'[1]OMM_Unit Matrix'!AF85</f>
        <v>0</v>
      </c>
      <c r="AG85" s="89">
        <f>'[1]OMM_Unit Matrix'!AG85</f>
        <v>0</v>
      </c>
      <c r="AH85" s="89">
        <f>'[1]OMM_Unit Matrix'!AH85</f>
        <v>0</v>
      </c>
      <c r="AI85" s="89">
        <f>'[1]OMM_Unit Matrix'!AI85</f>
        <v>0</v>
      </c>
      <c r="AJ85" s="89">
        <f>'[1]OMM_Unit Matrix'!AJ85</f>
        <v>0</v>
      </c>
      <c r="AK85" s="89">
        <f>'[1]OMM_Unit Matrix'!AK85</f>
        <v>0</v>
      </c>
      <c r="AL85" s="89">
        <f>'[1]OMM_Unit Matrix'!AL85</f>
        <v>0</v>
      </c>
      <c r="AM85" s="89">
        <f>'[1]OMM_Unit Matrix'!AM85</f>
        <v>0</v>
      </c>
      <c r="AN85" s="89">
        <f>'[1]OMM_Unit Matrix'!AN85</f>
        <v>0</v>
      </c>
      <c r="AO85" s="89">
        <f>'[1]OMM_Unit Matrix'!AO85</f>
        <v>0</v>
      </c>
      <c r="AP85" s="89">
        <f>'[1]OMM_Unit Matrix'!AP85</f>
        <v>0</v>
      </c>
      <c r="AQ85" s="270">
        <f>'[1]OMM_Unit Matrix'!AQ85</f>
        <v>0</v>
      </c>
    </row>
    <row r="86" spans="2:43" hidden="1">
      <c r="B86" s="89">
        <f>'[1]OMM_Unit Matrix'!B86</f>
        <v>4</v>
      </c>
      <c r="C86" s="275">
        <f>'[1]OMM_Unit Matrix'!C86</f>
        <v>20</v>
      </c>
      <c r="D86" s="89">
        <f>'[1]OMM_Unit Matrix'!D86</f>
        <v>4020</v>
      </c>
      <c r="E86" s="89">
        <f>'[1]OMM_Unit Matrix'!E86</f>
        <v>0</v>
      </c>
      <c r="F86" s="89">
        <f>'[1]OMM_Unit Matrix'!F86</f>
        <v>0</v>
      </c>
      <c r="G86" s="89" t="str">
        <f>'[1]OMM_Unit Matrix'!G86</f>
        <v>NOT IN SCOPE</v>
      </c>
      <c r="H86" s="89">
        <f>'[1]OMM_Unit Matrix'!H86</f>
        <v>0</v>
      </c>
      <c r="I86" s="89">
        <f>'[1]OMM_Unit Matrix'!I86</f>
        <v>0</v>
      </c>
      <c r="J86" s="89">
        <f>'[1]OMM_Unit Matrix'!J86</f>
        <v>0</v>
      </c>
      <c r="K86" s="89">
        <f>'[1]OMM_Unit Matrix'!K86</f>
        <v>0</v>
      </c>
      <c r="L86" s="89">
        <f>'[1]OMM_Unit Matrix'!L86</f>
        <v>0</v>
      </c>
      <c r="M86" s="89">
        <f>'[1]OMM_Unit Matrix'!M86</f>
        <v>0</v>
      </c>
      <c r="N86" s="89">
        <f>'[1]OMM_Unit Matrix'!N86</f>
        <v>0</v>
      </c>
      <c r="O86" s="89">
        <f>'[1]OMM_Unit Matrix'!O86</f>
        <v>0</v>
      </c>
      <c r="P86" s="89">
        <f>'[1]OMM_Unit Matrix'!P86</f>
        <v>0</v>
      </c>
      <c r="Q86" s="89">
        <f>'[1]OMM_Unit Matrix'!Q86</f>
        <v>0</v>
      </c>
      <c r="R86" s="89">
        <f>'[1]OMM_Unit Matrix'!R86</f>
        <v>0</v>
      </c>
      <c r="S86" s="89">
        <f>'[1]OMM_Unit Matrix'!S86</f>
        <v>0</v>
      </c>
      <c r="T86" s="89">
        <f>'[1]OMM_Unit Matrix'!T86</f>
        <v>0</v>
      </c>
      <c r="U86" s="89">
        <f>'[1]OMM_Unit Matrix'!U86</f>
        <v>0</v>
      </c>
      <c r="V86" s="89">
        <f>'[1]OMM_Unit Matrix'!V86</f>
        <v>0</v>
      </c>
      <c r="W86" s="89">
        <f>'[1]OMM_Unit Matrix'!W86</f>
        <v>0</v>
      </c>
      <c r="X86" s="89">
        <f>'[1]OMM_Unit Matrix'!X86</f>
        <v>0</v>
      </c>
      <c r="Y86" s="89">
        <f>'[1]OMM_Unit Matrix'!Y86</f>
        <v>0</v>
      </c>
      <c r="Z86" s="89">
        <f>'[1]OMM_Unit Matrix'!Z86</f>
        <v>0</v>
      </c>
      <c r="AA86" s="89">
        <f>'[1]OMM_Unit Matrix'!AA86</f>
        <v>0</v>
      </c>
      <c r="AB86" s="89">
        <f>'[1]OMM_Unit Matrix'!AB86</f>
        <v>0</v>
      </c>
      <c r="AC86" s="89">
        <f>'[1]OMM_Unit Matrix'!AC86</f>
        <v>0</v>
      </c>
      <c r="AD86" s="89">
        <f>'[1]OMM_Unit Matrix'!AD86</f>
        <v>0</v>
      </c>
      <c r="AE86" s="89">
        <f>'[1]OMM_Unit Matrix'!AE86</f>
        <v>0</v>
      </c>
      <c r="AF86" s="89">
        <f>'[1]OMM_Unit Matrix'!AF86</f>
        <v>0</v>
      </c>
      <c r="AG86" s="89">
        <f>'[1]OMM_Unit Matrix'!AG86</f>
        <v>0</v>
      </c>
      <c r="AH86" s="89">
        <f>'[1]OMM_Unit Matrix'!AH86</f>
        <v>0</v>
      </c>
      <c r="AI86" s="89">
        <f>'[1]OMM_Unit Matrix'!AI86</f>
        <v>0</v>
      </c>
      <c r="AJ86" s="89">
        <f>'[1]OMM_Unit Matrix'!AJ86</f>
        <v>0</v>
      </c>
      <c r="AK86" s="89">
        <f>'[1]OMM_Unit Matrix'!AK86</f>
        <v>0</v>
      </c>
      <c r="AL86" s="89">
        <f>'[1]OMM_Unit Matrix'!AL86</f>
        <v>0</v>
      </c>
      <c r="AM86" s="89">
        <f>'[1]OMM_Unit Matrix'!AM86</f>
        <v>0</v>
      </c>
      <c r="AN86" s="89">
        <f>'[1]OMM_Unit Matrix'!AN86</f>
        <v>0</v>
      </c>
      <c r="AO86" s="89">
        <f>'[1]OMM_Unit Matrix'!AO86</f>
        <v>0</v>
      </c>
      <c r="AP86" s="89">
        <f>'[1]OMM_Unit Matrix'!AP86</f>
        <v>0</v>
      </c>
      <c r="AQ86" s="270">
        <f>'[1]OMM_Unit Matrix'!AQ86</f>
        <v>0</v>
      </c>
    </row>
    <row r="87" spans="2:43" hidden="1">
      <c r="B87" s="89">
        <f>'[1]OMM_Unit Matrix'!B87</f>
        <v>4</v>
      </c>
      <c r="C87" s="275">
        <f>'[1]OMM_Unit Matrix'!C87</f>
        <v>21</v>
      </c>
      <c r="D87" s="89">
        <f>'[1]OMM_Unit Matrix'!D87</f>
        <v>4021</v>
      </c>
      <c r="E87" s="89">
        <f>'[1]OMM_Unit Matrix'!E87</f>
        <v>0</v>
      </c>
      <c r="F87" s="89">
        <f>'[1]OMM_Unit Matrix'!F87</f>
        <v>0</v>
      </c>
      <c r="G87" s="89" t="str">
        <f>'[1]OMM_Unit Matrix'!G87</f>
        <v>NOT IN SCOPE</v>
      </c>
      <c r="H87" s="89">
        <f>'[1]OMM_Unit Matrix'!H87</f>
        <v>0</v>
      </c>
      <c r="I87" s="89">
        <f>'[1]OMM_Unit Matrix'!I87</f>
        <v>0</v>
      </c>
      <c r="J87" s="89">
        <f>'[1]OMM_Unit Matrix'!J87</f>
        <v>0</v>
      </c>
      <c r="K87" s="89">
        <f>'[1]OMM_Unit Matrix'!K87</f>
        <v>0</v>
      </c>
      <c r="L87" s="89">
        <f>'[1]OMM_Unit Matrix'!L87</f>
        <v>0</v>
      </c>
      <c r="M87" s="89">
        <f>'[1]OMM_Unit Matrix'!M87</f>
        <v>0</v>
      </c>
      <c r="N87" s="89">
        <f>'[1]OMM_Unit Matrix'!N87</f>
        <v>0</v>
      </c>
      <c r="O87" s="89">
        <f>'[1]OMM_Unit Matrix'!O87</f>
        <v>0</v>
      </c>
      <c r="P87" s="89">
        <f>'[1]OMM_Unit Matrix'!P87</f>
        <v>0</v>
      </c>
      <c r="Q87" s="89">
        <f>'[1]OMM_Unit Matrix'!Q87</f>
        <v>0</v>
      </c>
      <c r="R87" s="89">
        <f>'[1]OMM_Unit Matrix'!R87</f>
        <v>0</v>
      </c>
      <c r="S87" s="89">
        <f>'[1]OMM_Unit Matrix'!S87</f>
        <v>0</v>
      </c>
      <c r="T87" s="89">
        <f>'[1]OMM_Unit Matrix'!T87</f>
        <v>0</v>
      </c>
      <c r="U87" s="89">
        <f>'[1]OMM_Unit Matrix'!U87</f>
        <v>0</v>
      </c>
      <c r="V87" s="89">
        <f>'[1]OMM_Unit Matrix'!V87</f>
        <v>0</v>
      </c>
      <c r="W87" s="89">
        <f>'[1]OMM_Unit Matrix'!W87</f>
        <v>0</v>
      </c>
      <c r="X87" s="89">
        <f>'[1]OMM_Unit Matrix'!X87</f>
        <v>0</v>
      </c>
      <c r="Y87" s="89">
        <f>'[1]OMM_Unit Matrix'!Y87</f>
        <v>0</v>
      </c>
      <c r="Z87" s="89">
        <f>'[1]OMM_Unit Matrix'!Z87</f>
        <v>0</v>
      </c>
      <c r="AA87" s="89">
        <f>'[1]OMM_Unit Matrix'!AA87</f>
        <v>0</v>
      </c>
      <c r="AB87" s="89">
        <f>'[1]OMM_Unit Matrix'!AB87</f>
        <v>0</v>
      </c>
      <c r="AC87" s="89">
        <f>'[1]OMM_Unit Matrix'!AC87</f>
        <v>0</v>
      </c>
      <c r="AD87" s="89">
        <f>'[1]OMM_Unit Matrix'!AD87</f>
        <v>0</v>
      </c>
      <c r="AE87" s="89">
        <f>'[1]OMM_Unit Matrix'!AE87</f>
        <v>0</v>
      </c>
      <c r="AF87" s="89">
        <f>'[1]OMM_Unit Matrix'!AF87</f>
        <v>0</v>
      </c>
      <c r="AG87" s="89">
        <f>'[1]OMM_Unit Matrix'!AG87</f>
        <v>0</v>
      </c>
      <c r="AH87" s="89">
        <f>'[1]OMM_Unit Matrix'!AH87</f>
        <v>0</v>
      </c>
      <c r="AI87" s="89">
        <f>'[1]OMM_Unit Matrix'!AI87</f>
        <v>0</v>
      </c>
      <c r="AJ87" s="89">
        <f>'[1]OMM_Unit Matrix'!AJ87</f>
        <v>0</v>
      </c>
      <c r="AK87" s="89">
        <f>'[1]OMM_Unit Matrix'!AK87</f>
        <v>0</v>
      </c>
      <c r="AL87" s="89">
        <f>'[1]OMM_Unit Matrix'!AL87</f>
        <v>0</v>
      </c>
      <c r="AM87" s="89">
        <f>'[1]OMM_Unit Matrix'!AM87</f>
        <v>0</v>
      </c>
      <c r="AN87" s="89">
        <f>'[1]OMM_Unit Matrix'!AN87</f>
        <v>0</v>
      </c>
      <c r="AO87" s="89">
        <f>'[1]OMM_Unit Matrix'!AO87</f>
        <v>0</v>
      </c>
      <c r="AP87" s="89">
        <f>'[1]OMM_Unit Matrix'!AP87</f>
        <v>0</v>
      </c>
      <c r="AQ87" s="270">
        <f>'[1]OMM_Unit Matrix'!AQ87</f>
        <v>0</v>
      </c>
    </row>
    <row r="88" spans="2:43" hidden="1">
      <c r="B88" s="89">
        <f>'[1]OMM_Unit Matrix'!B88</f>
        <v>4</v>
      </c>
      <c r="C88" s="275">
        <f>'[1]OMM_Unit Matrix'!C88</f>
        <v>22</v>
      </c>
      <c r="D88" s="89">
        <f>'[1]OMM_Unit Matrix'!D88</f>
        <v>4022</v>
      </c>
      <c r="E88" s="89">
        <f>'[1]OMM_Unit Matrix'!E88</f>
        <v>0</v>
      </c>
      <c r="F88" s="89">
        <f>'[1]OMM_Unit Matrix'!F88</f>
        <v>0</v>
      </c>
      <c r="G88" s="89" t="str">
        <f>'[1]OMM_Unit Matrix'!G88</f>
        <v>NOT IN SCOPE</v>
      </c>
      <c r="H88" s="89">
        <f>'[1]OMM_Unit Matrix'!H88</f>
        <v>0</v>
      </c>
      <c r="I88" s="89">
        <f>'[1]OMM_Unit Matrix'!I88</f>
        <v>0</v>
      </c>
      <c r="J88" s="89">
        <f>'[1]OMM_Unit Matrix'!J88</f>
        <v>0</v>
      </c>
      <c r="K88" s="89">
        <f>'[1]OMM_Unit Matrix'!K88</f>
        <v>0</v>
      </c>
      <c r="L88" s="89">
        <f>'[1]OMM_Unit Matrix'!L88</f>
        <v>0</v>
      </c>
      <c r="M88" s="89">
        <f>'[1]OMM_Unit Matrix'!M88</f>
        <v>0</v>
      </c>
      <c r="N88" s="89">
        <f>'[1]OMM_Unit Matrix'!N88</f>
        <v>0</v>
      </c>
      <c r="O88" s="89">
        <f>'[1]OMM_Unit Matrix'!O88</f>
        <v>0</v>
      </c>
      <c r="P88" s="89">
        <f>'[1]OMM_Unit Matrix'!P88</f>
        <v>0</v>
      </c>
      <c r="Q88" s="89">
        <f>'[1]OMM_Unit Matrix'!Q88</f>
        <v>0</v>
      </c>
      <c r="R88" s="89">
        <f>'[1]OMM_Unit Matrix'!R88</f>
        <v>0</v>
      </c>
      <c r="S88" s="89">
        <f>'[1]OMM_Unit Matrix'!S88</f>
        <v>0</v>
      </c>
      <c r="T88" s="89">
        <f>'[1]OMM_Unit Matrix'!T88</f>
        <v>0</v>
      </c>
      <c r="U88" s="89">
        <f>'[1]OMM_Unit Matrix'!U88</f>
        <v>0</v>
      </c>
      <c r="V88" s="89">
        <f>'[1]OMM_Unit Matrix'!V88</f>
        <v>0</v>
      </c>
      <c r="W88" s="89">
        <f>'[1]OMM_Unit Matrix'!W88</f>
        <v>0</v>
      </c>
      <c r="X88" s="89">
        <f>'[1]OMM_Unit Matrix'!X88</f>
        <v>0</v>
      </c>
      <c r="Y88" s="89">
        <f>'[1]OMM_Unit Matrix'!Y88</f>
        <v>0</v>
      </c>
      <c r="Z88" s="89">
        <f>'[1]OMM_Unit Matrix'!Z88</f>
        <v>0</v>
      </c>
      <c r="AA88" s="89">
        <f>'[1]OMM_Unit Matrix'!AA88</f>
        <v>0</v>
      </c>
      <c r="AB88" s="89">
        <f>'[1]OMM_Unit Matrix'!AB88</f>
        <v>0</v>
      </c>
      <c r="AC88" s="89">
        <f>'[1]OMM_Unit Matrix'!AC88</f>
        <v>0</v>
      </c>
      <c r="AD88" s="89">
        <f>'[1]OMM_Unit Matrix'!AD88</f>
        <v>0</v>
      </c>
      <c r="AE88" s="89">
        <f>'[1]OMM_Unit Matrix'!AE88</f>
        <v>0</v>
      </c>
      <c r="AF88" s="89">
        <f>'[1]OMM_Unit Matrix'!AF88</f>
        <v>0</v>
      </c>
      <c r="AG88" s="89">
        <f>'[1]OMM_Unit Matrix'!AG88</f>
        <v>0</v>
      </c>
      <c r="AH88" s="89">
        <f>'[1]OMM_Unit Matrix'!AH88</f>
        <v>0</v>
      </c>
      <c r="AI88" s="89">
        <f>'[1]OMM_Unit Matrix'!AI88</f>
        <v>0</v>
      </c>
      <c r="AJ88" s="89">
        <f>'[1]OMM_Unit Matrix'!AJ88</f>
        <v>0</v>
      </c>
      <c r="AK88" s="89">
        <f>'[1]OMM_Unit Matrix'!AK88</f>
        <v>0</v>
      </c>
      <c r="AL88" s="89">
        <f>'[1]OMM_Unit Matrix'!AL88</f>
        <v>0</v>
      </c>
      <c r="AM88" s="89">
        <f>'[1]OMM_Unit Matrix'!AM88</f>
        <v>0</v>
      </c>
      <c r="AN88" s="89">
        <f>'[1]OMM_Unit Matrix'!AN88</f>
        <v>0</v>
      </c>
      <c r="AO88" s="89">
        <f>'[1]OMM_Unit Matrix'!AO88</f>
        <v>0</v>
      </c>
      <c r="AP88" s="89">
        <f>'[1]OMM_Unit Matrix'!AP88</f>
        <v>0</v>
      </c>
      <c r="AQ88" s="270">
        <f>'[1]OMM_Unit Matrix'!AQ88</f>
        <v>0</v>
      </c>
    </row>
    <row r="89" spans="2:43" hidden="1">
      <c r="B89" s="89">
        <f>'[1]OMM_Unit Matrix'!B89</f>
        <v>4</v>
      </c>
      <c r="C89" s="275">
        <f>'[1]OMM_Unit Matrix'!C89</f>
        <v>23</v>
      </c>
      <c r="D89" s="89">
        <f>'[1]OMM_Unit Matrix'!D89</f>
        <v>4023</v>
      </c>
      <c r="E89" s="89">
        <f>'[1]OMM_Unit Matrix'!E89</f>
        <v>0</v>
      </c>
      <c r="F89" s="89">
        <f>'[1]OMM_Unit Matrix'!F89</f>
        <v>0</v>
      </c>
      <c r="G89" s="89" t="str">
        <f>'[1]OMM_Unit Matrix'!G89</f>
        <v>NOT IN SCOPE</v>
      </c>
      <c r="H89" s="89">
        <f>'[1]OMM_Unit Matrix'!H89</f>
        <v>0</v>
      </c>
      <c r="I89" s="89">
        <f>'[1]OMM_Unit Matrix'!I89</f>
        <v>0</v>
      </c>
      <c r="J89" s="89">
        <f>'[1]OMM_Unit Matrix'!J89</f>
        <v>0</v>
      </c>
      <c r="K89" s="89">
        <f>'[1]OMM_Unit Matrix'!K89</f>
        <v>0</v>
      </c>
      <c r="L89" s="89">
        <f>'[1]OMM_Unit Matrix'!L89</f>
        <v>0</v>
      </c>
      <c r="M89" s="89">
        <f>'[1]OMM_Unit Matrix'!M89</f>
        <v>0</v>
      </c>
      <c r="N89" s="89">
        <f>'[1]OMM_Unit Matrix'!N89</f>
        <v>0</v>
      </c>
      <c r="O89" s="89">
        <f>'[1]OMM_Unit Matrix'!O89</f>
        <v>0</v>
      </c>
      <c r="P89" s="89">
        <f>'[1]OMM_Unit Matrix'!P89</f>
        <v>0</v>
      </c>
      <c r="Q89" s="89">
        <f>'[1]OMM_Unit Matrix'!Q89</f>
        <v>0</v>
      </c>
      <c r="R89" s="89">
        <f>'[1]OMM_Unit Matrix'!R89</f>
        <v>0</v>
      </c>
      <c r="S89" s="89">
        <f>'[1]OMM_Unit Matrix'!S89</f>
        <v>0</v>
      </c>
      <c r="T89" s="89">
        <f>'[1]OMM_Unit Matrix'!T89</f>
        <v>0</v>
      </c>
      <c r="U89" s="89">
        <f>'[1]OMM_Unit Matrix'!U89</f>
        <v>0</v>
      </c>
      <c r="V89" s="89">
        <f>'[1]OMM_Unit Matrix'!V89</f>
        <v>0</v>
      </c>
      <c r="W89" s="89">
        <f>'[1]OMM_Unit Matrix'!W89</f>
        <v>0</v>
      </c>
      <c r="X89" s="89">
        <f>'[1]OMM_Unit Matrix'!X89</f>
        <v>0</v>
      </c>
      <c r="Y89" s="89">
        <f>'[1]OMM_Unit Matrix'!Y89</f>
        <v>0</v>
      </c>
      <c r="Z89" s="89">
        <f>'[1]OMM_Unit Matrix'!Z89</f>
        <v>0</v>
      </c>
      <c r="AA89" s="89">
        <f>'[1]OMM_Unit Matrix'!AA89</f>
        <v>0</v>
      </c>
      <c r="AB89" s="89">
        <f>'[1]OMM_Unit Matrix'!AB89</f>
        <v>0</v>
      </c>
      <c r="AC89" s="89">
        <f>'[1]OMM_Unit Matrix'!AC89</f>
        <v>0</v>
      </c>
      <c r="AD89" s="89">
        <f>'[1]OMM_Unit Matrix'!AD89</f>
        <v>0</v>
      </c>
      <c r="AE89" s="89">
        <f>'[1]OMM_Unit Matrix'!AE89</f>
        <v>0</v>
      </c>
      <c r="AF89" s="89">
        <f>'[1]OMM_Unit Matrix'!AF89</f>
        <v>0</v>
      </c>
      <c r="AG89" s="89">
        <f>'[1]OMM_Unit Matrix'!AG89</f>
        <v>0</v>
      </c>
      <c r="AH89" s="89">
        <f>'[1]OMM_Unit Matrix'!AH89</f>
        <v>0</v>
      </c>
      <c r="AI89" s="89">
        <f>'[1]OMM_Unit Matrix'!AI89</f>
        <v>0</v>
      </c>
      <c r="AJ89" s="89">
        <f>'[1]OMM_Unit Matrix'!AJ89</f>
        <v>0</v>
      </c>
      <c r="AK89" s="89">
        <f>'[1]OMM_Unit Matrix'!AK89</f>
        <v>0</v>
      </c>
      <c r="AL89" s="89">
        <f>'[1]OMM_Unit Matrix'!AL89</f>
        <v>0</v>
      </c>
      <c r="AM89" s="89">
        <f>'[1]OMM_Unit Matrix'!AM89</f>
        <v>0</v>
      </c>
      <c r="AN89" s="89">
        <f>'[1]OMM_Unit Matrix'!AN89</f>
        <v>0</v>
      </c>
      <c r="AO89" s="89">
        <f>'[1]OMM_Unit Matrix'!AO89</f>
        <v>0</v>
      </c>
      <c r="AP89" s="89">
        <f>'[1]OMM_Unit Matrix'!AP89</f>
        <v>0</v>
      </c>
      <c r="AQ89" s="270">
        <f>'[1]OMM_Unit Matrix'!AQ89</f>
        <v>0</v>
      </c>
    </row>
    <row r="90" spans="2:43" hidden="1">
      <c r="B90" s="89">
        <f>'[1]OMM_Unit Matrix'!B90</f>
        <v>4</v>
      </c>
      <c r="C90" s="275">
        <f>'[1]OMM_Unit Matrix'!C90</f>
        <v>24</v>
      </c>
      <c r="D90" s="89">
        <f>'[1]OMM_Unit Matrix'!D90</f>
        <v>4024</v>
      </c>
      <c r="E90" s="89">
        <f>'[1]OMM_Unit Matrix'!E90</f>
        <v>0</v>
      </c>
      <c r="F90" s="89">
        <f>'[1]OMM_Unit Matrix'!F90</f>
        <v>0</v>
      </c>
      <c r="G90" s="89" t="str">
        <f>'[1]OMM_Unit Matrix'!G90</f>
        <v>NOT IN SCOPE</v>
      </c>
      <c r="H90" s="89">
        <f>'[1]OMM_Unit Matrix'!H90</f>
        <v>0</v>
      </c>
      <c r="I90" s="89">
        <f>'[1]OMM_Unit Matrix'!I90</f>
        <v>0</v>
      </c>
      <c r="J90" s="89">
        <f>'[1]OMM_Unit Matrix'!J90</f>
        <v>0</v>
      </c>
      <c r="K90" s="89">
        <f>'[1]OMM_Unit Matrix'!K90</f>
        <v>0</v>
      </c>
      <c r="L90" s="89">
        <f>'[1]OMM_Unit Matrix'!L90</f>
        <v>0</v>
      </c>
      <c r="M90" s="89">
        <f>'[1]OMM_Unit Matrix'!M90</f>
        <v>0</v>
      </c>
      <c r="N90" s="89">
        <f>'[1]OMM_Unit Matrix'!N90</f>
        <v>0</v>
      </c>
      <c r="O90" s="89">
        <f>'[1]OMM_Unit Matrix'!O90</f>
        <v>0</v>
      </c>
      <c r="P90" s="89">
        <f>'[1]OMM_Unit Matrix'!P90</f>
        <v>0</v>
      </c>
      <c r="Q90" s="89">
        <f>'[1]OMM_Unit Matrix'!Q90</f>
        <v>0</v>
      </c>
      <c r="R90" s="89">
        <f>'[1]OMM_Unit Matrix'!R90</f>
        <v>0</v>
      </c>
      <c r="S90" s="89">
        <f>'[1]OMM_Unit Matrix'!S90</f>
        <v>0</v>
      </c>
      <c r="T90" s="89">
        <f>'[1]OMM_Unit Matrix'!T90</f>
        <v>0</v>
      </c>
      <c r="U90" s="89">
        <f>'[1]OMM_Unit Matrix'!U90</f>
        <v>0</v>
      </c>
      <c r="V90" s="89">
        <f>'[1]OMM_Unit Matrix'!V90</f>
        <v>0</v>
      </c>
      <c r="W90" s="89">
        <f>'[1]OMM_Unit Matrix'!W90</f>
        <v>0</v>
      </c>
      <c r="X90" s="89">
        <f>'[1]OMM_Unit Matrix'!X90</f>
        <v>0</v>
      </c>
      <c r="Y90" s="89">
        <f>'[1]OMM_Unit Matrix'!Y90</f>
        <v>0</v>
      </c>
      <c r="Z90" s="89">
        <f>'[1]OMM_Unit Matrix'!Z90</f>
        <v>0</v>
      </c>
      <c r="AA90" s="89">
        <f>'[1]OMM_Unit Matrix'!AA90</f>
        <v>0</v>
      </c>
      <c r="AB90" s="89">
        <f>'[1]OMM_Unit Matrix'!AB90</f>
        <v>0</v>
      </c>
      <c r="AC90" s="89">
        <f>'[1]OMM_Unit Matrix'!AC90</f>
        <v>0</v>
      </c>
      <c r="AD90" s="89">
        <f>'[1]OMM_Unit Matrix'!AD90</f>
        <v>0</v>
      </c>
      <c r="AE90" s="89">
        <f>'[1]OMM_Unit Matrix'!AE90</f>
        <v>0</v>
      </c>
      <c r="AF90" s="89">
        <f>'[1]OMM_Unit Matrix'!AF90</f>
        <v>0</v>
      </c>
      <c r="AG90" s="89">
        <f>'[1]OMM_Unit Matrix'!AG90</f>
        <v>0</v>
      </c>
      <c r="AH90" s="89">
        <f>'[1]OMM_Unit Matrix'!AH90</f>
        <v>0</v>
      </c>
      <c r="AI90" s="89">
        <f>'[1]OMM_Unit Matrix'!AI90</f>
        <v>0</v>
      </c>
      <c r="AJ90" s="89">
        <f>'[1]OMM_Unit Matrix'!AJ90</f>
        <v>0</v>
      </c>
      <c r="AK90" s="89">
        <f>'[1]OMM_Unit Matrix'!AK90</f>
        <v>0</v>
      </c>
      <c r="AL90" s="89">
        <f>'[1]OMM_Unit Matrix'!AL90</f>
        <v>0</v>
      </c>
      <c r="AM90" s="89">
        <f>'[1]OMM_Unit Matrix'!AM90</f>
        <v>0</v>
      </c>
      <c r="AN90" s="89">
        <f>'[1]OMM_Unit Matrix'!AN90</f>
        <v>0</v>
      </c>
      <c r="AO90" s="89">
        <f>'[1]OMM_Unit Matrix'!AO90</f>
        <v>0</v>
      </c>
      <c r="AP90" s="89">
        <f>'[1]OMM_Unit Matrix'!AP90</f>
        <v>0</v>
      </c>
      <c r="AQ90" s="270">
        <f>'[1]OMM_Unit Matrix'!AQ90</f>
        <v>0</v>
      </c>
    </row>
    <row r="91" spans="2:43" hidden="1">
      <c r="B91" s="89">
        <f>'[1]OMM_Unit Matrix'!B91</f>
        <v>4</v>
      </c>
      <c r="C91" s="275">
        <f>'[1]OMM_Unit Matrix'!C91</f>
        <v>25</v>
      </c>
      <c r="D91" s="89">
        <f>'[1]OMM_Unit Matrix'!D91</f>
        <v>4025</v>
      </c>
      <c r="E91" s="89">
        <f>'[1]OMM_Unit Matrix'!E91</f>
        <v>0</v>
      </c>
      <c r="F91" s="89">
        <f>'[1]OMM_Unit Matrix'!F91</f>
        <v>0</v>
      </c>
      <c r="G91" s="89" t="str">
        <f>'[1]OMM_Unit Matrix'!G91</f>
        <v>NOT IN SCOPE</v>
      </c>
      <c r="H91" s="89">
        <f>'[1]OMM_Unit Matrix'!H91</f>
        <v>0</v>
      </c>
      <c r="I91" s="89">
        <f>'[1]OMM_Unit Matrix'!I91</f>
        <v>0</v>
      </c>
      <c r="J91" s="89">
        <f>'[1]OMM_Unit Matrix'!J91</f>
        <v>0</v>
      </c>
      <c r="K91" s="89">
        <f>'[1]OMM_Unit Matrix'!K91</f>
        <v>0</v>
      </c>
      <c r="L91" s="89">
        <f>'[1]OMM_Unit Matrix'!L91</f>
        <v>0</v>
      </c>
      <c r="M91" s="89">
        <f>'[1]OMM_Unit Matrix'!M91</f>
        <v>0</v>
      </c>
      <c r="N91" s="89">
        <f>'[1]OMM_Unit Matrix'!N91</f>
        <v>0</v>
      </c>
      <c r="O91" s="89">
        <f>'[1]OMM_Unit Matrix'!O91</f>
        <v>0</v>
      </c>
      <c r="P91" s="89">
        <f>'[1]OMM_Unit Matrix'!P91</f>
        <v>0</v>
      </c>
      <c r="Q91" s="89">
        <f>'[1]OMM_Unit Matrix'!Q91</f>
        <v>0</v>
      </c>
      <c r="R91" s="89">
        <f>'[1]OMM_Unit Matrix'!R91</f>
        <v>0</v>
      </c>
      <c r="S91" s="89">
        <f>'[1]OMM_Unit Matrix'!S91</f>
        <v>0</v>
      </c>
      <c r="T91" s="89">
        <f>'[1]OMM_Unit Matrix'!T91</f>
        <v>0</v>
      </c>
      <c r="U91" s="89">
        <f>'[1]OMM_Unit Matrix'!U91</f>
        <v>0</v>
      </c>
      <c r="V91" s="89">
        <f>'[1]OMM_Unit Matrix'!V91</f>
        <v>0</v>
      </c>
      <c r="W91" s="89">
        <f>'[1]OMM_Unit Matrix'!W91</f>
        <v>0</v>
      </c>
      <c r="X91" s="89">
        <f>'[1]OMM_Unit Matrix'!X91</f>
        <v>0</v>
      </c>
      <c r="Y91" s="89">
        <f>'[1]OMM_Unit Matrix'!Y91</f>
        <v>0</v>
      </c>
      <c r="Z91" s="89">
        <f>'[1]OMM_Unit Matrix'!Z91</f>
        <v>0</v>
      </c>
      <c r="AA91" s="89">
        <f>'[1]OMM_Unit Matrix'!AA91</f>
        <v>0</v>
      </c>
      <c r="AB91" s="89">
        <f>'[1]OMM_Unit Matrix'!AB91</f>
        <v>0</v>
      </c>
      <c r="AC91" s="89">
        <f>'[1]OMM_Unit Matrix'!AC91</f>
        <v>0</v>
      </c>
      <c r="AD91" s="89">
        <f>'[1]OMM_Unit Matrix'!AD91</f>
        <v>0</v>
      </c>
      <c r="AE91" s="89">
        <f>'[1]OMM_Unit Matrix'!AE91</f>
        <v>0</v>
      </c>
      <c r="AF91" s="89">
        <f>'[1]OMM_Unit Matrix'!AF91</f>
        <v>0</v>
      </c>
      <c r="AG91" s="89">
        <f>'[1]OMM_Unit Matrix'!AG91</f>
        <v>0</v>
      </c>
      <c r="AH91" s="89">
        <f>'[1]OMM_Unit Matrix'!AH91</f>
        <v>0</v>
      </c>
      <c r="AI91" s="89">
        <f>'[1]OMM_Unit Matrix'!AI91</f>
        <v>0</v>
      </c>
      <c r="AJ91" s="89">
        <f>'[1]OMM_Unit Matrix'!AJ91</f>
        <v>0</v>
      </c>
      <c r="AK91" s="89">
        <f>'[1]OMM_Unit Matrix'!AK91</f>
        <v>0</v>
      </c>
      <c r="AL91" s="89">
        <f>'[1]OMM_Unit Matrix'!AL91</f>
        <v>0</v>
      </c>
      <c r="AM91" s="89">
        <f>'[1]OMM_Unit Matrix'!AM91</f>
        <v>0</v>
      </c>
      <c r="AN91" s="89">
        <f>'[1]OMM_Unit Matrix'!AN91</f>
        <v>0</v>
      </c>
      <c r="AO91" s="89">
        <f>'[1]OMM_Unit Matrix'!AO91</f>
        <v>0</v>
      </c>
      <c r="AP91" s="89">
        <f>'[1]OMM_Unit Matrix'!AP91</f>
        <v>0</v>
      </c>
      <c r="AQ91" s="270">
        <f>'[1]OMM_Unit Matrix'!AQ91</f>
        <v>0</v>
      </c>
    </row>
    <row r="92" spans="2:43" hidden="1">
      <c r="B92" s="89">
        <f>'[1]OMM_Unit Matrix'!B92</f>
        <v>4</v>
      </c>
      <c r="C92" s="275">
        <f>'[1]OMM_Unit Matrix'!C92</f>
        <v>26</v>
      </c>
      <c r="D92" s="89">
        <f>'[1]OMM_Unit Matrix'!D92</f>
        <v>4026</v>
      </c>
      <c r="E92" s="89">
        <f>'[1]OMM_Unit Matrix'!E92</f>
        <v>0</v>
      </c>
      <c r="F92" s="89">
        <f>'[1]OMM_Unit Matrix'!F92</f>
        <v>0</v>
      </c>
      <c r="G92" s="89" t="str">
        <f>'[1]OMM_Unit Matrix'!G92</f>
        <v>NOT IN SCOPE</v>
      </c>
      <c r="H92" s="89">
        <f>'[1]OMM_Unit Matrix'!H92</f>
        <v>0</v>
      </c>
      <c r="I92" s="89">
        <f>'[1]OMM_Unit Matrix'!I92</f>
        <v>0</v>
      </c>
      <c r="J92" s="89">
        <f>'[1]OMM_Unit Matrix'!J92</f>
        <v>0</v>
      </c>
      <c r="K92" s="89">
        <f>'[1]OMM_Unit Matrix'!K92</f>
        <v>0</v>
      </c>
      <c r="L92" s="89">
        <f>'[1]OMM_Unit Matrix'!L92</f>
        <v>0</v>
      </c>
      <c r="M92" s="89">
        <f>'[1]OMM_Unit Matrix'!M92</f>
        <v>0</v>
      </c>
      <c r="N92" s="89">
        <f>'[1]OMM_Unit Matrix'!N92</f>
        <v>0</v>
      </c>
      <c r="O92" s="89">
        <f>'[1]OMM_Unit Matrix'!O92</f>
        <v>0</v>
      </c>
      <c r="P92" s="89">
        <f>'[1]OMM_Unit Matrix'!P92</f>
        <v>0</v>
      </c>
      <c r="Q92" s="89">
        <f>'[1]OMM_Unit Matrix'!Q92</f>
        <v>0</v>
      </c>
      <c r="R92" s="89">
        <f>'[1]OMM_Unit Matrix'!R92</f>
        <v>0</v>
      </c>
      <c r="S92" s="89">
        <f>'[1]OMM_Unit Matrix'!S92</f>
        <v>0</v>
      </c>
      <c r="T92" s="89">
        <f>'[1]OMM_Unit Matrix'!T92</f>
        <v>0</v>
      </c>
      <c r="U92" s="89">
        <f>'[1]OMM_Unit Matrix'!U92</f>
        <v>0</v>
      </c>
      <c r="V92" s="89">
        <f>'[1]OMM_Unit Matrix'!V92</f>
        <v>0</v>
      </c>
      <c r="W92" s="89">
        <f>'[1]OMM_Unit Matrix'!W92</f>
        <v>0</v>
      </c>
      <c r="X92" s="89">
        <f>'[1]OMM_Unit Matrix'!X92</f>
        <v>0</v>
      </c>
      <c r="Y92" s="89">
        <f>'[1]OMM_Unit Matrix'!Y92</f>
        <v>0</v>
      </c>
      <c r="Z92" s="89">
        <f>'[1]OMM_Unit Matrix'!Z92</f>
        <v>0</v>
      </c>
      <c r="AA92" s="89">
        <f>'[1]OMM_Unit Matrix'!AA92</f>
        <v>0</v>
      </c>
      <c r="AB92" s="89">
        <f>'[1]OMM_Unit Matrix'!AB92</f>
        <v>0</v>
      </c>
      <c r="AC92" s="89">
        <f>'[1]OMM_Unit Matrix'!AC92</f>
        <v>0</v>
      </c>
      <c r="AD92" s="89">
        <f>'[1]OMM_Unit Matrix'!AD92</f>
        <v>0</v>
      </c>
      <c r="AE92" s="89">
        <f>'[1]OMM_Unit Matrix'!AE92</f>
        <v>0</v>
      </c>
      <c r="AF92" s="89">
        <f>'[1]OMM_Unit Matrix'!AF92</f>
        <v>0</v>
      </c>
      <c r="AG92" s="89">
        <f>'[1]OMM_Unit Matrix'!AG92</f>
        <v>0</v>
      </c>
      <c r="AH92" s="89">
        <f>'[1]OMM_Unit Matrix'!AH92</f>
        <v>0</v>
      </c>
      <c r="AI92" s="89">
        <f>'[1]OMM_Unit Matrix'!AI92</f>
        <v>0</v>
      </c>
      <c r="AJ92" s="89">
        <f>'[1]OMM_Unit Matrix'!AJ92</f>
        <v>0</v>
      </c>
      <c r="AK92" s="89">
        <f>'[1]OMM_Unit Matrix'!AK92</f>
        <v>0</v>
      </c>
      <c r="AL92" s="89">
        <f>'[1]OMM_Unit Matrix'!AL92</f>
        <v>0</v>
      </c>
      <c r="AM92" s="89">
        <f>'[1]OMM_Unit Matrix'!AM92</f>
        <v>0</v>
      </c>
      <c r="AN92" s="89">
        <f>'[1]OMM_Unit Matrix'!AN92</f>
        <v>0</v>
      </c>
      <c r="AO92" s="89">
        <f>'[1]OMM_Unit Matrix'!AO92</f>
        <v>0</v>
      </c>
      <c r="AP92" s="89">
        <f>'[1]OMM_Unit Matrix'!AP92</f>
        <v>0</v>
      </c>
      <c r="AQ92" s="270">
        <f>'[1]OMM_Unit Matrix'!AQ92</f>
        <v>0</v>
      </c>
    </row>
    <row r="93" spans="2:43" hidden="1">
      <c r="B93" s="89">
        <f>'[1]OMM_Unit Matrix'!B93</f>
        <v>4</v>
      </c>
      <c r="C93" s="275">
        <f>'[1]OMM_Unit Matrix'!C93</f>
        <v>27</v>
      </c>
      <c r="D93" s="89">
        <f>'[1]OMM_Unit Matrix'!D93</f>
        <v>4027</v>
      </c>
      <c r="E93" s="89">
        <f>'[1]OMM_Unit Matrix'!E93</f>
        <v>0</v>
      </c>
      <c r="F93" s="89">
        <f>'[1]OMM_Unit Matrix'!F93</f>
        <v>0</v>
      </c>
      <c r="G93" s="89" t="str">
        <f>'[1]OMM_Unit Matrix'!G93</f>
        <v>NOT IN SCOPE</v>
      </c>
      <c r="H93" s="89">
        <f>'[1]OMM_Unit Matrix'!H93</f>
        <v>0</v>
      </c>
      <c r="I93" s="89">
        <f>'[1]OMM_Unit Matrix'!I93</f>
        <v>0</v>
      </c>
      <c r="J93" s="89">
        <f>'[1]OMM_Unit Matrix'!J93</f>
        <v>0</v>
      </c>
      <c r="K93" s="89">
        <f>'[1]OMM_Unit Matrix'!K93</f>
        <v>0</v>
      </c>
      <c r="L93" s="89">
        <f>'[1]OMM_Unit Matrix'!L93</f>
        <v>0</v>
      </c>
      <c r="M93" s="89">
        <f>'[1]OMM_Unit Matrix'!M93</f>
        <v>0</v>
      </c>
      <c r="N93" s="89">
        <f>'[1]OMM_Unit Matrix'!N93</f>
        <v>0</v>
      </c>
      <c r="O93" s="89">
        <f>'[1]OMM_Unit Matrix'!O93</f>
        <v>0</v>
      </c>
      <c r="P93" s="89">
        <f>'[1]OMM_Unit Matrix'!P93</f>
        <v>0</v>
      </c>
      <c r="Q93" s="89">
        <f>'[1]OMM_Unit Matrix'!Q93</f>
        <v>0</v>
      </c>
      <c r="R93" s="89">
        <f>'[1]OMM_Unit Matrix'!R93</f>
        <v>0</v>
      </c>
      <c r="S93" s="89">
        <f>'[1]OMM_Unit Matrix'!S93</f>
        <v>0</v>
      </c>
      <c r="T93" s="89">
        <f>'[1]OMM_Unit Matrix'!T93</f>
        <v>0</v>
      </c>
      <c r="U93" s="89">
        <f>'[1]OMM_Unit Matrix'!U93</f>
        <v>0</v>
      </c>
      <c r="V93" s="89">
        <f>'[1]OMM_Unit Matrix'!V93</f>
        <v>0</v>
      </c>
      <c r="W93" s="89">
        <f>'[1]OMM_Unit Matrix'!W93</f>
        <v>0</v>
      </c>
      <c r="X93" s="89">
        <f>'[1]OMM_Unit Matrix'!X93</f>
        <v>0</v>
      </c>
      <c r="Y93" s="89">
        <f>'[1]OMM_Unit Matrix'!Y93</f>
        <v>0</v>
      </c>
      <c r="Z93" s="89">
        <f>'[1]OMM_Unit Matrix'!Z93</f>
        <v>0</v>
      </c>
      <c r="AA93" s="89">
        <f>'[1]OMM_Unit Matrix'!AA93</f>
        <v>0</v>
      </c>
      <c r="AB93" s="89">
        <f>'[1]OMM_Unit Matrix'!AB93</f>
        <v>0</v>
      </c>
      <c r="AC93" s="89">
        <f>'[1]OMM_Unit Matrix'!AC93</f>
        <v>0</v>
      </c>
      <c r="AD93" s="89">
        <f>'[1]OMM_Unit Matrix'!AD93</f>
        <v>0</v>
      </c>
      <c r="AE93" s="89">
        <f>'[1]OMM_Unit Matrix'!AE93</f>
        <v>0</v>
      </c>
      <c r="AF93" s="89">
        <f>'[1]OMM_Unit Matrix'!AF93</f>
        <v>0</v>
      </c>
      <c r="AG93" s="89">
        <f>'[1]OMM_Unit Matrix'!AG93</f>
        <v>0</v>
      </c>
      <c r="AH93" s="89">
        <f>'[1]OMM_Unit Matrix'!AH93</f>
        <v>0</v>
      </c>
      <c r="AI93" s="89">
        <f>'[1]OMM_Unit Matrix'!AI93</f>
        <v>0</v>
      </c>
      <c r="AJ93" s="89">
        <f>'[1]OMM_Unit Matrix'!AJ93</f>
        <v>0</v>
      </c>
      <c r="AK93" s="89">
        <f>'[1]OMM_Unit Matrix'!AK93</f>
        <v>0</v>
      </c>
      <c r="AL93" s="89">
        <f>'[1]OMM_Unit Matrix'!AL93</f>
        <v>0</v>
      </c>
      <c r="AM93" s="89">
        <f>'[1]OMM_Unit Matrix'!AM93</f>
        <v>0</v>
      </c>
      <c r="AN93" s="89">
        <f>'[1]OMM_Unit Matrix'!AN93</f>
        <v>0</v>
      </c>
      <c r="AO93" s="89">
        <f>'[1]OMM_Unit Matrix'!AO93</f>
        <v>0</v>
      </c>
      <c r="AP93" s="89">
        <f>'[1]OMM_Unit Matrix'!AP93</f>
        <v>0</v>
      </c>
      <c r="AQ93" s="270">
        <f>'[1]OMM_Unit Matrix'!AQ93</f>
        <v>0</v>
      </c>
    </row>
    <row r="94" spans="2:43" hidden="1">
      <c r="B94" s="89">
        <f>'[1]OMM_Unit Matrix'!B94</f>
        <v>4</v>
      </c>
      <c r="C94" s="275">
        <f>'[1]OMM_Unit Matrix'!C94</f>
        <v>28</v>
      </c>
      <c r="D94" s="89">
        <f>'[1]OMM_Unit Matrix'!D94</f>
        <v>4028</v>
      </c>
      <c r="E94" s="89">
        <f>'[1]OMM_Unit Matrix'!E94</f>
        <v>0</v>
      </c>
      <c r="F94" s="89">
        <f>'[1]OMM_Unit Matrix'!F94</f>
        <v>0</v>
      </c>
      <c r="G94" s="89" t="str">
        <f>'[1]OMM_Unit Matrix'!G94</f>
        <v>NOT IN SCOPE</v>
      </c>
      <c r="H94" s="89">
        <f>'[1]OMM_Unit Matrix'!H94</f>
        <v>0</v>
      </c>
      <c r="I94" s="89">
        <f>'[1]OMM_Unit Matrix'!I94</f>
        <v>0</v>
      </c>
      <c r="J94" s="89">
        <f>'[1]OMM_Unit Matrix'!J94</f>
        <v>0</v>
      </c>
      <c r="K94" s="89">
        <f>'[1]OMM_Unit Matrix'!K94</f>
        <v>0</v>
      </c>
      <c r="L94" s="89">
        <f>'[1]OMM_Unit Matrix'!L94</f>
        <v>0</v>
      </c>
      <c r="M94" s="89">
        <f>'[1]OMM_Unit Matrix'!M94</f>
        <v>0</v>
      </c>
      <c r="N94" s="89">
        <f>'[1]OMM_Unit Matrix'!N94</f>
        <v>0</v>
      </c>
      <c r="O94" s="89">
        <f>'[1]OMM_Unit Matrix'!O94</f>
        <v>0</v>
      </c>
      <c r="P94" s="89">
        <f>'[1]OMM_Unit Matrix'!P94</f>
        <v>0</v>
      </c>
      <c r="Q94" s="89">
        <f>'[1]OMM_Unit Matrix'!Q94</f>
        <v>0</v>
      </c>
      <c r="R94" s="89">
        <f>'[1]OMM_Unit Matrix'!R94</f>
        <v>0</v>
      </c>
      <c r="S94" s="89">
        <f>'[1]OMM_Unit Matrix'!S94</f>
        <v>0</v>
      </c>
      <c r="T94" s="89">
        <f>'[1]OMM_Unit Matrix'!T94</f>
        <v>0</v>
      </c>
      <c r="U94" s="89">
        <f>'[1]OMM_Unit Matrix'!U94</f>
        <v>0</v>
      </c>
      <c r="V94" s="89">
        <f>'[1]OMM_Unit Matrix'!V94</f>
        <v>0</v>
      </c>
      <c r="W94" s="89">
        <f>'[1]OMM_Unit Matrix'!W94</f>
        <v>0</v>
      </c>
      <c r="X94" s="89">
        <f>'[1]OMM_Unit Matrix'!X94</f>
        <v>0</v>
      </c>
      <c r="Y94" s="89">
        <f>'[1]OMM_Unit Matrix'!Y94</f>
        <v>0</v>
      </c>
      <c r="Z94" s="89">
        <f>'[1]OMM_Unit Matrix'!Z94</f>
        <v>0</v>
      </c>
      <c r="AA94" s="89">
        <f>'[1]OMM_Unit Matrix'!AA94</f>
        <v>0</v>
      </c>
      <c r="AB94" s="89">
        <f>'[1]OMM_Unit Matrix'!AB94</f>
        <v>0</v>
      </c>
      <c r="AC94" s="89">
        <f>'[1]OMM_Unit Matrix'!AC94</f>
        <v>0</v>
      </c>
      <c r="AD94" s="89">
        <f>'[1]OMM_Unit Matrix'!AD94</f>
        <v>0</v>
      </c>
      <c r="AE94" s="89">
        <f>'[1]OMM_Unit Matrix'!AE94</f>
        <v>0</v>
      </c>
      <c r="AF94" s="89">
        <f>'[1]OMM_Unit Matrix'!AF94</f>
        <v>0</v>
      </c>
      <c r="AG94" s="89">
        <f>'[1]OMM_Unit Matrix'!AG94</f>
        <v>0</v>
      </c>
      <c r="AH94" s="89">
        <f>'[1]OMM_Unit Matrix'!AH94</f>
        <v>0</v>
      </c>
      <c r="AI94" s="89">
        <f>'[1]OMM_Unit Matrix'!AI94</f>
        <v>0</v>
      </c>
      <c r="AJ94" s="89">
        <f>'[1]OMM_Unit Matrix'!AJ94</f>
        <v>0</v>
      </c>
      <c r="AK94" s="89">
        <f>'[1]OMM_Unit Matrix'!AK94</f>
        <v>0</v>
      </c>
      <c r="AL94" s="89">
        <f>'[1]OMM_Unit Matrix'!AL94</f>
        <v>0</v>
      </c>
      <c r="AM94" s="89">
        <f>'[1]OMM_Unit Matrix'!AM94</f>
        <v>0</v>
      </c>
      <c r="AN94" s="89">
        <f>'[1]OMM_Unit Matrix'!AN94</f>
        <v>0</v>
      </c>
      <c r="AO94" s="89">
        <f>'[1]OMM_Unit Matrix'!AO94</f>
        <v>0</v>
      </c>
      <c r="AP94" s="89">
        <f>'[1]OMM_Unit Matrix'!AP94</f>
        <v>0</v>
      </c>
      <c r="AQ94" s="270">
        <f>'[1]OMM_Unit Matrix'!AQ94</f>
        <v>0</v>
      </c>
    </row>
    <row r="95" spans="2:43" hidden="1">
      <c r="B95" s="89">
        <f>'[1]OMM_Unit Matrix'!B95</f>
        <v>5</v>
      </c>
      <c r="C95" s="275">
        <f>'[1]OMM_Unit Matrix'!C95</f>
        <v>1</v>
      </c>
      <c r="D95" s="89">
        <f>'[1]OMM_Unit Matrix'!D95</f>
        <v>5001</v>
      </c>
      <c r="E95" s="89">
        <f>'[1]OMM_Unit Matrix'!E95</f>
        <v>0</v>
      </c>
      <c r="F95" s="89">
        <f>'[1]OMM_Unit Matrix'!F95</f>
        <v>0</v>
      </c>
      <c r="G95" s="89" t="str">
        <f>'[1]OMM_Unit Matrix'!G95</f>
        <v>NOT IN SCOPE</v>
      </c>
      <c r="H95" s="89">
        <f>'[1]OMM_Unit Matrix'!H95</f>
        <v>0</v>
      </c>
      <c r="I95" s="89">
        <f>'[1]OMM_Unit Matrix'!I95</f>
        <v>0</v>
      </c>
      <c r="J95" s="89">
        <f>'[1]OMM_Unit Matrix'!J95</f>
        <v>0</v>
      </c>
      <c r="K95" s="89">
        <f>'[1]OMM_Unit Matrix'!K95</f>
        <v>0</v>
      </c>
      <c r="L95" s="89">
        <f>'[1]OMM_Unit Matrix'!L95</f>
        <v>0</v>
      </c>
      <c r="M95" s="89">
        <f>'[1]OMM_Unit Matrix'!M95</f>
        <v>0</v>
      </c>
      <c r="N95" s="89">
        <f>'[1]OMM_Unit Matrix'!N95</f>
        <v>0</v>
      </c>
      <c r="O95" s="89">
        <f>'[1]OMM_Unit Matrix'!O95</f>
        <v>0</v>
      </c>
      <c r="P95" s="89">
        <f>'[1]OMM_Unit Matrix'!P95</f>
        <v>0</v>
      </c>
      <c r="Q95" s="89">
        <f>'[1]OMM_Unit Matrix'!Q95</f>
        <v>0</v>
      </c>
      <c r="R95" s="89">
        <f>'[1]OMM_Unit Matrix'!R95</f>
        <v>0</v>
      </c>
      <c r="S95" s="89">
        <f>'[1]OMM_Unit Matrix'!S95</f>
        <v>0</v>
      </c>
      <c r="T95" s="89">
        <f>'[1]OMM_Unit Matrix'!T95</f>
        <v>0</v>
      </c>
      <c r="U95" s="89">
        <f>'[1]OMM_Unit Matrix'!U95</f>
        <v>0</v>
      </c>
      <c r="V95" s="89">
        <f>'[1]OMM_Unit Matrix'!V95</f>
        <v>0</v>
      </c>
      <c r="W95" s="89">
        <f>'[1]OMM_Unit Matrix'!W95</f>
        <v>0</v>
      </c>
      <c r="X95" s="89">
        <f>'[1]OMM_Unit Matrix'!X95</f>
        <v>0</v>
      </c>
      <c r="Y95" s="89">
        <f>'[1]OMM_Unit Matrix'!Y95</f>
        <v>0</v>
      </c>
      <c r="Z95" s="89">
        <f>'[1]OMM_Unit Matrix'!Z95</f>
        <v>0</v>
      </c>
      <c r="AA95" s="89">
        <f>'[1]OMM_Unit Matrix'!AA95</f>
        <v>0</v>
      </c>
      <c r="AB95" s="89">
        <f>'[1]OMM_Unit Matrix'!AB95</f>
        <v>0</v>
      </c>
      <c r="AC95" s="89">
        <f>'[1]OMM_Unit Matrix'!AC95</f>
        <v>0</v>
      </c>
      <c r="AD95" s="89">
        <f>'[1]OMM_Unit Matrix'!AD95</f>
        <v>0</v>
      </c>
      <c r="AE95" s="89">
        <f>'[1]OMM_Unit Matrix'!AE95</f>
        <v>0</v>
      </c>
      <c r="AF95" s="89">
        <f>'[1]OMM_Unit Matrix'!AF95</f>
        <v>0</v>
      </c>
      <c r="AG95" s="89">
        <f>'[1]OMM_Unit Matrix'!AG95</f>
        <v>0</v>
      </c>
      <c r="AH95" s="89">
        <f>'[1]OMM_Unit Matrix'!AH95</f>
        <v>0</v>
      </c>
      <c r="AI95" s="89">
        <f>'[1]OMM_Unit Matrix'!AI95</f>
        <v>0</v>
      </c>
      <c r="AJ95" s="89">
        <f>'[1]OMM_Unit Matrix'!AJ95</f>
        <v>0</v>
      </c>
      <c r="AK95" s="89">
        <f>'[1]OMM_Unit Matrix'!AK95</f>
        <v>0</v>
      </c>
      <c r="AL95" s="89">
        <f>'[1]OMM_Unit Matrix'!AL95</f>
        <v>0</v>
      </c>
      <c r="AM95" s="89">
        <f>'[1]OMM_Unit Matrix'!AM95</f>
        <v>0</v>
      </c>
      <c r="AN95" s="89">
        <f>'[1]OMM_Unit Matrix'!AN95</f>
        <v>0</v>
      </c>
      <c r="AO95" s="89">
        <f>'[1]OMM_Unit Matrix'!AO95</f>
        <v>0</v>
      </c>
      <c r="AP95" s="89">
        <f>'[1]OMM_Unit Matrix'!AP95</f>
        <v>0</v>
      </c>
      <c r="AQ95" s="270">
        <f>'[1]OMM_Unit Matrix'!AQ95</f>
        <v>0</v>
      </c>
    </row>
    <row r="96" spans="2:43" hidden="1">
      <c r="B96" s="89">
        <f>'[1]OMM_Unit Matrix'!B96</f>
        <v>5</v>
      </c>
      <c r="C96" s="275">
        <f>'[1]OMM_Unit Matrix'!C96</f>
        <v>2</v>
      </c>
      <c r="D96" s="89">
        <f>'[1]OMM_Unit Matrix'!D96</f>
        <v>5002</v>
      </c>
      <c r="E96" s="89">
        <f>'[1]OMM_Unit Matrix'!E96</f>
        <v>0</v>
      </c>
      <c r="F96" s="89">
        <f>'[1]OMM_Unit Matrix'!F96</f>
        <v>0</v>
      </c>
      <c r="G96" s="89" t="str">
        <f>'[1]OMM_Unit Matrix'!G96</f>
        <v>NOT IN SCOPE</v>
      </c>
      <c r="H96" s="89">
        <f>'[1]OMM_Unit Matrix'!H96</f>
        <v>0</v>
      </c>
      <c r="I96" s="89">
        <f>'[1]OMM_Unit Matrix'!I96</f>
        <v>0</v>
      </c>
      <c r="J96" s="89">
        <f>'[1]OMM_Unit Matrix'!J96</f>
        <v>0</v>
      </c>
      <c r="K96" s="89">
        <f>'[1]OMM_Unit Matrix'!K96</f>
        <v>0</v>
      </c>
      <c r="L96" s="89">
        <f>'[1]OMM_Unit Matrix'!L96</f>
        <v>0</v>
      </c>
      <c r="M96" s="89">
        <f>'[1]OMM_Unit Matrix'!M96</f>
        <v>0</v>
      </c>
      <c r="N96" s="89">
        <f>'[1]OMM_Unit Matrix'!N96</f>
        <v>0</v>
      </c>
      <c r="O96" s="89">
        <f>'[1]OMM_Unit Matrix'!O96</f>
        <v>0</v>
      </c>
      <c r="P96" s="89">
        <f>'[1]OMM_Unit Matrix'!P96</f>
        <v>0</v>
      </c>
      <c r="Q96" s="89">
        <f>'[1]OMM_Unit Matrix'!Q96</f>
        <v>0</v>
      </c>
      <c r="R96" s="89">
        <f>'[1]OMM_Unit Matrix'!R96</f>
        <v>0</v>
      </c>
      <c r="S96" s="89">
        <f>'[1]OMM_Unit Matrix'!S96</f>
        <v>0</v>
      </c>
      <c r="T96" s="89">
        <f>'[1]OMM_Unit Matrix'!T96</f>
        <v>0</v>
      </c>
      <c r="U96" s="89">
        <f>'[1]OMM_Unit Matrix'!U96</f>
        <v>0</v>
      </c>
      <c r="V96" s="89">
        <f>'[1]OMM_Unit Matrix'!V96</f>
        <v>0</v>
      </c>
      <c r="W96" s="89">
        <f>'[1]OMM_Unit Matrix'!W96</f>
        <v>0</v>
      </c>
      <c r="X96" s="89">
        <f>'[1]OMM_Unit Matrix'!X96</f>
        <v>0</v>
      </c>
      <c r="Y96" s="89">
        <f>'[1]OMM_Unit Matrix'!Y96</f>
        <v>0</v>
      </c>
      <c r="Z96" s="89">
        <f>'[1]OMM_Unit Matrix'!Z96</f>
        <v>0</v>
      </c>
      <c r="AA96" s="89">
        <f>'[1]OMM_Unit Matrix'!AA96</f>
        <v>0</v>
      </c>
      <c r="AB96" s="89">
        <f>'[1]OMM_Unit Matrix'!AB96</f>
        <v>0</v>
      </c>
      <c r="AC96" s="89">
        <f>'[1]OMM_Unit Matrix'!AC96</f>
        <v>0</v>
      </c>
      <c r="AD96" s="89">
        <f>'[1]OMM_Unit Matrix'!AD96</f>
        <v>0</v>
      </c>
      <c r="AE96" s="89">
        <f>'[1]OMM_Unit Matrix'!AE96</f>
        <v>0</v>
      </c>
      <c r="AF96" s="89">
        <f>'[1]OMM_Unit Matrix'!AF96</f>
        <v>0</v>
      </c>
      <c r="AG96" s="89">
        <f>'[1]OMM_Unit Matrix'!AG96</f>
        <v>0</v>
      </c>
      <c r="AH96" s="89">
        <f>'[1]OMM_Unit Matrix'!AH96</f>
        <v>0</v>
      </c>
      <c r="AI96" s="89">
        <f>'[1]OMM_Unit Matrix'!AI96</f>
        <v>0</v>
      </c>
      <c r="AJ96" s="89">
        <f>'[1]OMM_Unit Matrix'!AJ96</f>
        <v>0</v>
      </c>
      <c r="AK96" s="89">
        <f>'[1]OMM_Unit Matrix'!AK96</f>
        <v>0</v>
      </c>
      <c r="AL96" s="89">
        <f>'[1]OMM_Unit Matrix'!AL96</f>
        <v>0</v>
      </c>
      <c r="AM96" s="89">
        <f>'[1]OMM_Unit Matrix'!AM96</f>
        <v>0</v>
      </c>
      <c r="AN96" s="89">
        <f>'[1]OMM_Unit Matrix'!AN96</f>
        <v>0</v>
      </c>
      <c r="AO96" s="89">
        <f>'[1]OMM_Unit Matrix'!AO96</f>
        <v>0</v>
      </c>
      <c r="AP96" s="89">
        <f>'[1]OMM_Unit Matrix'!AP96</f>
        <v>0</v>
      </c>
      <c r="AQ96" s="270">
        <f>'[1]OMM_Unit Matrix'!AQ96</f>
        <v>0</v>
      </c>
    </row>
    <row r="97" spans="2:43" hidden="1">
      <c r="B97" s="89">
        <f>'[1]OMM_Unit Matrix'!B97</f>
        <v>5</v>
      </c>
      <c r="C97" s="275">
        <f>'[1]OMM_Unit Matrix'!C97</f>
        <v>3</v>
      </c>
      <c r="D97" s="89">
        <f>'[1]OMM_Unit Matrix'!D97</f>
        <v>5003</v>
      </c>
      <c r="E97" s="89">
        <f>'[1]OMM_Unit Matrix'!E97</f>
        <v>0</v>
      </c>
      <c r="F97" s="89">
        <f>'[1]OMM_Unit Matrix'!F97</f>
        <v>0</v>
      </c>
      <c r="G97" s="89" t="str">
        <f>'[1]OMM_Unit Matrix'!G97</f>
        <v>NOT IN SCOPE</v>
      </c>
      <c r="H97" s="89">
        <f>'[1]OMM_Unit Matrix'!H97</f>
        <v>0</v>
      </c>
      <c r="I97" s="89">
        <f>'[1]OMM_Unit Matrix'!I97</f>
        <v>0</v>
      </c>
      <c r="J97" s="89">
        <f>'[1]OMM_Unit Matrix'!J97</f>
        <v>0</v>
      </c>
      <c r="K97" s="89">
        <f>'[1]OMM_Unit Matrix'!K97</f>
        <v>0</v>
      </c>
      <c r="L97" s="89">
        <f>'[1]OMM_Unit Matrix'!L97</f>
        <v>0</v>
      </c>
      <c r="M97" s="89">
        <f>'[1]OMM_Unit Matrix'!M97</f>
        <v>0</v>
      </c>
      <c r="N97" s="89">
        <f>'[1]OMM_Unit Matrix'!N97</f>
        <v>0</v>
      </c>
      <c r="O97" s="89">
        <f>'[1]OMM_Unit Matrix'!O97</f>
        <v>0</v>
      </c>
      <c r="P97" s="89">
        <f>'[1]OMM_Unit Matrix'!P97</f>
        <v>0</v>
      </c>
      <c r="Q97" s="89">
        <f>'[1]OMM_Unit Matrix'!Q97</f>
        <v>0</v>
      </c>
      <c r="R97" s="89">
        <f>'[1]OMM_Unit Matrix'!R97</f>
        <v>0</v>
      </c>
      <c r="S97" s="89">
        <f>'[1]OMM_Unit Matrix'!S97</f>
        <v>0</v>
      </c>
      <c r="T97" s="89">
        <f>'[1]OMM_Unit Matrix'!T97</f>
        <v>0</v>
      </c>
      <c r="U97" s="89">
        <f>'[1]OMM_Unit Matrix'!U97</f>
        <v>0</v>
      </c>
      <c r="V97" s="89">
        <f>'[1]OMM_Unit Matrix'!V97</f>
        <v>0</v>
      </c>
      <c r="W97" s="89">
        <f>'[1]OMM_Unit Matrix'!W97</f>
        <v>0</v>
      </c>
      <c r="X97" s="89">
        <f>'[1]OMM_Unit Matrix'!X97</f>
        <v>0</v>
      </c>
      <c r="Y97" s="89">
        <f>'[1]OMM_Unit Matrix'!Y97</f>
        <v>0</v>
      </c>
      <c r="Z97" s="89">
        <f>'[1]OMM_Unit Matrix'!Z97</f>
        <v>0</v>
      </c>
      <c r="AA97" s="89">
        <f>'[1]OMM_Unit Matrix'!AA97</f>
        <v>0</v>
      </c>
      <c r="AB97" s="89">
        <f>'[1]OMM_Unit Matrix'!AB97</f>
        <v>0</v>
      </c>
      <c r="AC97" s="89">
        <f>'[1]OMM_Unit Matrix'!AC97</f>
        <v>0</v>
      </c>
      <c r="AD97" s="89">
        <f>'[1]OMM_Unit Matrix'!AD97</f>
        <v>0</v>
      </c>
      <c r="AE97" s="89">
        <f>'[1]OMM_Unit Matrix'!AE97</f>
        <v>0</v>
      </c>
      <c r="AF97" s="89">
        <f>'[1]OMM_Unit Matrix'!AF97</f>
        <v>0</v>
      </c>
      <c r="AG97" s="89">
        <f>'[1]OMM_Unit Matrix'!AG97</f>
        <v>0</v>
      </c>
      <c r="AH97" s="89">
        <f>'[1]OMM_Unit Matrix'!AH97</f>
        <v>0</v>
      </c>
      <c r="AI97" s="89">
        <f>'[1]OMM_Unit Matrix'!AI97</f>
        <v>0</v>
      </c>
      <c r="AJ97" s="89">
        <f>'[1]OMM_Unit Matrix'!AJ97</f>
        <v>0</v>
      </c>
      <c r="AK97" s="89">
        <f>'[1]OMM_Unit Matrix'!AK97</f>
        <v>0</v>
      </c>
      <c r="AL97" s="89">
        <f>'[1]OMM_Unit Matrix'!AL97</f>
        <v>0</v>
      </c>
      <c r="AM97" s="89">
        <f>'[1]OMM_Unit Matrix'!AM97</f>
        <v>0</v>
      </c>
      <c r="AN97" s="89">
        <f>'[1]OMM_Unit Matrix'!AN97</f>
        <v>0</v>
      </c>
      <c r="AO97" s="89">
        <f>'[1]OMM_Unit Matrix'!AO97</f>
        <v>0</v>
      </c>
      <c r="AP97" s="89">
        <f>'[1]OMM_Unit Matrix'!AP97</f>
        <v>0</v>
      </c>
      <c r="AQ97" s="270">
        <f>'[1]OMM_Unit Matrix'!AQ97</f>
        <v>0</v>
      </c>
    </row>
    <row r="98" spans="2:43" hidden="1">
      <c r="B98" s="89">
        <f>'[1]OMM_Unit Matrix'!B98</f>
        <v>5</v>
      </c>
      <c r="C98" s="275">
        <f>'[1]OMM_Unit Matrix'!C98</f>
        <v>4</v>
      </c>
      <c r="D98" s="89">
        <f>'[1]OMM_Unit Matrix'!D98</f>
        <v>5004</v>
      </c>
      <c r="E98" s="89">
        <f>'[1]OMM_Unit Matrix'!E98</f>
        <v>0</v>
      </c>
      <c r="F98" s="89">
        <f>'[1]OMM_Unit Matrix'!F98</f>
        <v>0</v>
      </c>
      <c r="G98" s="89" t="str">
        <f>'[1]OMM_Unit Matrix'!G98</f>
        <v>NOT IN SCOPE</v>
      </c>
      <c r="H98" s="89">
        <f>'[1]OMM_Unit Matrix'!H98</f>
        <v>0</v>
      </c>
      <c r="I98" s="89">
        <f>'[1]OMM_Unit Matrix'!I98</f>
        <v>0</v>
      </c>
      <c r="J98" s="89">
        <f>'[1]OMM_Unit Matrix'!J98</f>
        <v>0</v>
      </c>
      <c r="K98" s="89">
        <f>'[1]OMM_Unit Matrix'!K98</f>
        <v>0</v>
      </c>
      <c r="L98" s="89">
        <f>'[1]OMM_Unit Matrix'!L98</f>
        <v>0</v>
      </c>
      <c r="M98" s="89">
        <f>'[1]OMM_Unit Matrix'!M98</f>
        <v>0</v>
      </c>
      <c r="N98" s="89">
        <f>'[1]OMM_Unit Matrix'!N98</f>
        <v>0</v>
      </c>
      <c r="O98" s="89">
        <f>'[1]OMM_Unit Matrix'!O98</f>
        <v>0</v>
      </c>
      <c r="P98" s="89">
        <f>'[1]OMM_Unit Matrix'!P98</f>
        <v>0</v>
      </c>
      <c r="Q98" s="89">
        <f>'[1]OMM_Unit Matrix'!Q98</f>
        <v>0</v>
      </c>
      <c r="R98" s="89">
        <f>'[1]OMM_Unit Matrix'!R98</f>
        <v>0</v>
      </c>
      <c r="S98" s="89">
        <f>'[1]OMM_Unit Matrix'!S98</f>
        <v>0</v>
      </c>
      <c r="T98" s="89">
        <f>'[1]OMM_Unit Matrix'!T98</f>
        <v>0</v>
      </c>
      <c r="U98" s="89">
        <f>'[1]OMM_Unit Matrix'!U98</f>
        <v>0</v>
      </c>
      <c r="V98" s="89">
        <f>'[1]OMM_Unit Matrix'!V98</f>
        <v>0</v>
      </c>
      <c r="W98" s="89">
        <f>'[1]OMM_Unit Matrix'!W98</f>
        <v>0</v>
      </c>
      <c r="X98" s="89">
        <f>'[1]OMM_Unit Matrix'!X98</f>
        <v>0</v>
      </c>
      <c r="Y98" s="89">
        <f>'[1]OMM_Unit Matrix'!Y98</f>
        <v>0</v>
      </c>
      <c r="Z98" s="89">
        <f>'[1]OMM_Unit Matrix'!Z98</f>
        <v>0</v>
      </c>
      <c r="AA98" s="89">
        <f>'[1]OMM_Unit Matrix'!AA98</f>
        <v>0</v>
      </c>
      <c r="AB98" s="89">
        <f>'[1]OMM_Unit Matrix'!AB98</f>
        <v>0</v>
      </c>
      <c r="AC98" s="89">
        <f>'[1]OMM_Unit Matrix'!AC98</f>
        <v>0</v>
      </c>
      <c r="AD98" s="89">
        <f>'[1]OMM_Unit Matrix'!AD98</f>
        <v>0</v>
      </c>
      <c r="AE98" s="89">
        <f>'[1]OMM_Unit Matrix'!AE98</f>
        <v>0</v>
      </c>
      <c r="AF98" s="89">
        <f>'[1]OMM_Unit Matrix'!AF98</f>
        <v>0</v>
      </c>
      <c r="AG98" s="89">
        <f>'[1]OMM_Unit Matrix'!AG98</f>
        <v>0</v>
      </c>
      <c r="AH98" s="89">
        <f>'[1]OMM_Unit Matrix'!AH98</f>
        <v>0</v>
      </c>
      <c r="AI98" s="89">
        <f>'[1]OMM_Unit Matrix'!AI98</f>
        <v>0</v>
      </c>
      <c r="AJ98" s="89">
        <f>'[1]OMM_Unit Matrix'!AJ98</f>
        <v>0</v>
      </c>
      <c r="AK98" s="89">
        <f>'[1]OMM_Unit Matrix'!AK98</f>
        <v>0</v>
      </c>
      <c r="AL98" s="89">
        <f>'[1]OMM_Unit Matrix'!AL98</f>
        <v>0</v>
      </c>
      <c r="AM98" s="89">
        <f>'[1]OMM_Unit Matrix'!AM98</f>
        <v>0</v>
      </c>
      <c r="AN98" s="89">
        <f>'[1]OMM_Unit Matrix'!AN98</f>
        <v>0</v>
      </c>
      <c r="AO98" s="89">
        <f>'[1]OMM_Unit Matrix'!AO98</f>
        <v>0</v>
      </c>
      <c r="AP98" s="89">
        <f>'[1]OMM_Unit Matrix'!AP98</f>
        <v>0</v>
      </c>
      <c r="AQ98" s="270">
        <f>'[1]OMM_Unit Matrix'!AQ98</f>
        <v>0</v>
      </c>
    </row>
    <row r="99" spans="2:43" hidden="1">
      <c r="B99" s="89">
        <f>'[1]OMM_Unit Matrix'!B99</f>
        <v>5</v>
      </c>
      <c r="C99" s="275">
        <f>'[1]OMM_Unit Matrix'!C99</f>
        <v>5</v>
      </c>
      <c r="D99" s="89">
        <f>'[1]OMM_Unit Matrix'!D99</f>
        <v>5005</v>
      </c>
      <c r="E99" s="89">
        <f>'[1]OMM_Unit Matrix'!E99</f>
        <v>0</v>
      </c>
      <c r="F99" s="89">
        <f>'[1]OMM_Unit Matrix'!F99</f>
        <v>0</v>
      </c>
      <c r="G99" s="89" t="str">
        <f>'[1]OMM_Unit Matrix'!G99</f>
        <v>NOT IN SCOPE</v>
      </c>
      <c r="H99" s="89">
        <f>'[1]OMM_Unit Matrix'!H99</f>
        <v>0</v>
      </c>
      <c r="I99" s="89">
        <f>'[1]OMM_Unit Matrix'!I99</f>
        <v>0</v>
      </c>
      <c r="J99" s="89">
        <f>'[1]OMM_Unit Matrix'!J99</f>
        <v>0</v>
      </c>
      <c r="K99" s="89">
        <f>'[1]OMM_Unit Matrix'!K99</f>
        <v>0</v>
      </c>
      <c r="L99" s="89">
        <f>'[1]OMM_Unit Matrix'!L99</f>
        <v>0</v>
      </c>
      <c r="M99" s="89">
        <f>'[1]OMM_Unit Matrix'!M99</f>
        <v>0</v>
      </c>
      <c r="N99" s="89">
        <f>'[1]OMM_Unit Matrix'!N99</f>
        <v>0</v>
      </c>
      <c r="O99" s="89">
        <f>'[1]OMM_Unit Matrix'!O99</f>
        <v>0</v>
      </c>
      <c r="P99" s="89">
        <f>'[1]OMM_Unit Matrix'!P99</f>
        <v>0</v>
      </c>
      <c r="Q99" s="89">
        <f>'[1]OMM_Unit Matrix'!Q99</f>
        <v>0</v>
      </c>
      <c r="R99" s="89">
        <f>'[1]OMM_Unit Matrix'!R99</f>
        <v>0</v>
      </c>
      <c r="S99" s="89">
        <f>'[1]OMM_Unit Matrix'!S99</f>
        <v>0</v>
      </c>
      <c r="T99" s="89">
        <f>'[1]OMM_Unit Matrix'!T99</f>
        <v>0</v>
      </c>
      <c r="U99" s="89">
        <f>'[1]OMM_Unit Matrix'!U99</f>
        <v>0</v>
      </c>
      <c r="V99" s="89">
        <f>'[1]OMM_Unit Matrix'!V99</f>
        <v>0</v>
      </c>
      <c r="W99" s="89">
        <f>'[1]OMM_Unit Matrix'!W99</f>
        <v>0</v>
      </c>
      <c r="X99" s="89">
        <f>'[1]OMM_Unit Matrix'!X99</f>
        <v>0</v>
      </c>
      <c r="Y99" s="89">
        <f>'[1]OMM_Unit Matrix'!Y99</f>
        <v>0</v>
      </c>
      <c r="Z99" s="89">
        <f>'[1]OMM_Unit Matrix'!Z99</f>
        <v>0</v>
      </c>
      <c r="AA99" s="89">
        <f>'[1]OMM_Unit Matrix'!AA99</f>
        <v>0</v>
      </c>
      <c r="AB99" s="89">
        <f>'[1]OMM_Unit Matrix'!AB99</f>
        <v>0</v>
      </c>
      <c r="AC99" s="89">
        <f>'[1]OMM_Unit Matrix'!AC99</f>
        <v>0</v>
      </c>
      <c r="AD99" s="89">
        <f>'[1]OMM_Unit Matrix'!AD99</f>
        <v>0</v>
      </c>
      <c r="AE99" s="89">
        <f>'[1]OMM_Unit Matrix'!AE99</f>
        <v>0</v>
      </c>
      <c r="AF99" s="89">
        <f>'[1]OMM_Unit Matrix'!AF99</f>
        <v>0</v>
      </c>
      <c r="AG99" s="89">
        <f>'[1]OMM_Unit Matrix'!AG99</f>
        <v>0</v>
      </c>
      <c r="AH99" s="89">
        <f>'[1]OMM_Unit Matrix'!AH99</f>
        <v>0</v>
      </c>
      <c r="AI99" s="89">
        <f>'[1]OMM_Unit Matrix'!AI99</f>
        <v>0</v>
      </c>
      <c r="AJ99" s="89">
        <f>'[1]OMM_Unit Matrix'!AJ99</f>
        <v>0</v>
      </c>
      <c r="AK99" s="89">
        <f>'[1]OMM_Unit Matrix'!AK99</f>
        <v>0</v>
      </c>
      <c r="AL99" s="89">
        <f>'[1]OMM_Unit Matrix'!AL99</f>
        <v>0</v>
      </c>
      <c r="AM99" s="89">
        <f>'[1]OMM_Unit Matrix'!AM99</f>
        <v>0</v>
      </c>
      <c r="AN99" s="89">
        <f>'[1]OMM_Unit Matrix'!AN99</f>
        <v>0</v>
      </c>
      <c r="AO99" s="89">
        <f>'[1]OMM_Unit Matrix'!AO99</f>
        <v>0</v>
      </c>
      <c r="AP99" s="89">
        <f>'[1]OMM_Unit Matrix'!AP99</f>
        <v>0</v>
      </c>
      <c r="AQ99" s="270">
        <f>'[1]OMM_Unit Matrix'!AQ99</f>
        <v>0</v>
      </c>
    </row>
    <row r="100" spans="2:43" hidden="1">
      <c r="B100" s="89">
        <f>'[1]OMM_Unit Matrix'!B100</f>
        <v>5</v>
      </c>
      <c r="C100" s="275">
        <f>'[1]OMM_Unit Matrix'!C100</f>
        <v>6</v>
      </c>
      <c r="D100" s="89">
        <f>'[1]OMM_Unit Matrix'!D100</f>
        <v>5006</v>
      </c>
      <c r="E100" s="89">
        <f>'[1]OMM_Unit Matrix'!E100</f>
        <v>0</v>
      </c>
      <c r="F100" s="89">
        <f>'[1]OMM_Unit Matrix'!F100</f>
        <v>0</v>
      </c>
      <c r="G100" s="89" t="str">
        <f>'[1]OMM_Unit Matrix'!G100</f>
        <v>NOT IN SCOPE</v>
      </c>
      <c r="H100" s="89">
        <f>'[1]OMM_Unit Matrix'!H100</f>
        <v>0</v>
      </c>
      <c r="I100" s="89">
        <f>'[1]OMM_Unit Matrix'!I100</f>
        <v>0</v>
      </c>
      <c r="J100" s="89">
        <f>'[1]OMM_Unit Matrix'!J100</f>
        <v>0</v>
      </c>
      <c r="K100" s="89">
        <f>'[1]OMM_Unit Matrix'!K100</f>
        <v>0</v>
      </c>
      <c r="L100" s="89">
        <f>'[1]OMM_Unit Matrix'!L100</f>
        <v>0</v>
      </c>
      <c r="M100" s="89">
        <f>'[1]OMM_Unit Matrix'!M100</f>
        <v>0</v>
      </c>
      <c r="N100" s="89">
        <f>'[1]OMM_Unit Matrix'!N100</f>
        <v>0</v>
      </c>
      <c r="O100" s="89">
        <f>'[1]OMM_Unit Matrix'!O100</f>
        <v>0</v>
      </c>
      <c r="P100" s="89">
        <f>'[1]OMM_Unit Matrix'!P100</f>
        <v>0</v>
      </c>
      <c r="Q100" s="89">
        <f>'[1]OMM_Unit Matrix'!Q100</f>
        <v>0</v>
      </c>
      <c r="R100" s="89">
        <f>'[1]OMM_Unit Matrix'!R100</f>
        <v>0</v>
      </c>
      <c r="S100" s="89">
        <f>'[1]OMM_Unit Matrix'!S100</f>
        <v>0</v>
      </c>
      <c r="T100" s="89">
        <f>'[1]OMM_Unit Matrix'!T100</f>
        <v>0</v>
      </c>
      <c r="U100" s="89">
        <f>'[1]OMM_Unit Matrix'!U100</f>
        <v>0</v>
      </c>
      <c r="V100" s="89">
        <f>'[1]OMM_Unit Matrix'!V100</f>
        <v>0</v>
      </c>
      <c r="W100" s="89">
        <f>'[1]OMM_Unit Matrix'!W100</f>
        <v>0</v>
      </c>
      <c r="X100" s="89">
        <f>'[1]OMM_Unit Matrix'!X100</f>
        <v>0</v>
      </c>
      <c r="Y100" s="89">
        <f>'[1]OMM_Unit Matrix'!Y100</f>
        <v>0</v>
      </c>
      <c r="Z100" s="89">
        <f>'[1]OMM_Unit Matrix'!Z100</f>
        <v>0</v>
      </c>
      <c r="AA100" s="89">
        <f>'[1]OMM_Unit Matrix'!AA100</f>
        <v>0</v>
      </c>
      <c r="AB100" s="89">
        <f>'[1]OMM_Unit Matrix'!AB100</f>
        <v>0</v>
      </c>
      <c r="AC100" s="89">
        <f>'[1]OMM_Unit Matrix'!AC100</f>
        <v>0</v>
      </c>
      <c r="AD100" s="89">
        <f>'[1]OMM_Unit Matrix'!AD100</f>
        <v>0</v>
      </c>
      <c r="AE100" s="89">
        <f>'[1]OMM_Unit Matrix'!AE100</f>
        <v>0</v>
      </c>
      <c r="AF100" s="89">
        <f>'[1]OMM_Unit Matrix'!AF100</f>
        <v>0</v>
      </c>
      <c r="AG100" s="89">
        <f>'[1]OMM_Unit Matrix'!AG100</f>
        <v>0</v>
      </c>
      <c r="AH100" s="89">
        <f>'[1]OMM_Unit Matrix'!AH100</f>
        <v>0</v>
      </c>
      <c r="AI100" s="89">
        <f>'[1]OMM_Unit Matrix'!AI100</f>
        <v>0</v>
      </c>
      <c r="AJ100" s="89">
        <f>'[1]OMM_Unit Matrix'!AJ100</f>
        <v>0</v>
      </c>
      <c r="AK100" s="89">
        <f>'[1]OMM_Unit Matrix'!AK100</f>
        <v>0</v>
      </c>
      <c r="AL100" s="89">
        <f>'[1]OMM_Unit Matrix'!AL100</f>
        <v>0</v>
      </c>
      <c r="AM100" s="89">
        <f>'[1]OMM_Unit Matrix'!AM100</f>
        <v>0</v>
      </c>
      <c r="AN100" s="89">
        <f>'[1]OMM_Unit Matrix'!AN100</f>
        <v>0</v>
      </c>
      <c r="AO100" s="89">
        <f>'[1]OMM_Unit Matrix'!AO100</f>
        <v>0</v>
      </c>
      <c r="AP100" s="89">
        <f>'[1]OMM_Unit Matrix'!AP100</f>
        <v>0</v>
      </c>
      <c r="AQ100" s="270">
        <f>'[1]OMM_Unit Matrix'!AQ100</f>
        <v>0</v>
      </c>
    </row>
    <row r="101" spans="2:43" hidden="1">
      <c r="B101" s="89">
        <f>'[1]OMM_Unit Matrix'!B101</f>
        <v>5</v>
      </c>
      <c r="C101" s="275">
        <f>'[1]OMM_Unit Matrix'!C101</f>
        <v>7</v>
      </c>
      <c r="D101" s="89">
        <f>'[1]OMM_Unit Matrix'!D101</f>
        <v>5007</v>
      </c>
      <c r="E101" s="89">
        <f>'[1]OMM_Unit Matrix'!E101</f>
        <v>0</v>
      </c>
      <c r="F101" s="89">
        <f>'[1]OMM_Unit Matrix'!F101</f>
        <v>0</v>
      </c>
      <c r="G101" s="89" t="str">
        <f>'[1]OMM_Unit Matrix'!G101</f>
        <v>NOT IN SCOPE</v>
      </c>
      <c r="H101" s="89">
        <f>'[1]OMM_Unit Matrix'!H101</f>
        <v>0</v>
      </c>
      <c r="I101" s="89">
        <f>'[1]OMM_Unit Matrix'!I101</f>
        <v>0</v>
      </c>
      <c r="J101" s="89">
        <f>'[1]OMM_Unit Matrix'!J101</f>
        <v>0</v>
      </c>
      <c r="K101" s="89">
        <f>'[1]OMM_Unit Matrix'!K101</f>
        <v>0</v>
      </c>
      <c r="L101" s="89">
        <f>'[1]OMM_Unit Matrix'!L101</f>
        <v>0</v>
      </c>
      <c r="M101" s="89">
        <f>'[1]OMM_Unit Matrix'!M101</f>
        <v>0</v>
      </c>
      <c r="N101" s="89">
        <f>'[1]OMM_Unit Matrix'!N101</f>
        <v>0</v>
      </c>
      <c r="O101" s="89">
        <f>'[1]OMM_Unit Matrix'!O101</f>
        <v>0</v>
      </c>
      <c r="P101" s="89">
        <f>'[1]OMM_Unit Matrix'!P101</f>
        <v>0</v>
      </c>
      <c r="Q101" s="89">
        <f>'[1]OMM_Unit Matrix'!Q101</f>
        <v>0</v>
      </c>
      <c r="R101" s="89">
        <f>'[1]OMM_Unit Matrix'!R101</f>
        <v>0</v>
      </c>
      <c r="S101" s="89">
        <f>'[1]OMM_Unit Matrix'!S101</f>
        <v>0</v>
      </c>
      <c r="T101" s="89">
        <f>'[1]OMM_Unit Matrix'!T101</f>
        <v>0</v>
      </c>
      <c r="U101" s="89">
        <f>'[1]OMM_Unit Matrix'!U101</f>
        <v>0</v>
      </c>
      <c r="V101" s="89">
        <f>'[1]OMM_Unit Matrix'!V101</f>
        <v>0</v>
      </c>
      <c r="W101" s="89">
        <f>'[1]OMM_Unit Matrix'!W101</f>
        <v>0</v>
      </c>
      <c r="X101" s="89">
        <f>'[1]OMM_Unit Matrix'!X101</f>
        <v>0</v>
      </c>
      <c r="Y101" s="89">
        <f>'[1]OMM_Unit Matrix'!Y101</f>
        <v>0</v>
      </c>
      <c r="Z101" s="89">
        <f>'[1]OMM_Unit Matrix'!Z101</f>
        <v>0</v>
      </c>
      <c r="AA101" s="89">
        <f>'[1]OMM_Unit Matrix'!AA101</f>
        <v>0</v>
      </c>
      <c r="AB101" s="89">
        <f>'[1]OMM_Unit Matrix'!AB101</f>
        <v>0</v>
      </c>
      <c r="AC101" s="89">
        <f>'[1]OMM_Unit Matrix'!AC101</f>
        <v>0</v>
      </c>
      <c r="AD101" s="89">
        <f>'[1]OMM_Unit Matrix'!AD101</f>
        <v>0</v>
      </c>
      <c r="AE101" s="89">
        <f>'[1]OMM_Unit Matrix'!AE101</f>
        <v>0</v>
      </c>
      <c r="AF101" s="89">
        <f>'[1]OMM_Unit Matrix'!AF101</f>
        <v>0</v>
      </c>
      <c r="AG101" s="89">
        <f>'[1]OMM_Unit Matrix'!AG101</f>
        <v>0</v>
      </c>
      <c r="AH101" s="89">
        <f>'[1]OMM_Unit Matrix'!AH101</f>
        <v>0</v>
      </c>
      <c r="AI101" s="89">
        <f>'[1]OMM_Unit Matrix'!AI101</f>
        <v>0</v>
      </c>
      <c r="AJ101" s="89">
        <f>'[1]OMM_Unit Matrix'!AJ101</f>
        <v>0</v>
      </c>
      <c r="AK101" s="89">
        <f>'[1]OMM_Unit Matrix'!AK101</f>
        <v>0</v>
      </c>
      <c r="AL101" s="89">
        <f>'[1]OMM_Unit Matrix'!AL101</f>
        <v>0</v>
      </c>
      <c r="AM101" s="89">
        <f>'[1]OMM_Unit Matrix'!AM101</f>
        <v>0</v>
      </c>
      <c r="AN101" s="89">
        <f>'[1]OMM_Unit Matrix'!AN101</f>
        <v>0</v>
      </c>
      <c r="AO101" s="89">
        <f>'[1]OMM_Unit Matrix'!AO101</f>
        <v>0</v>
      </c>
      <c r="AP101" s="89">
        <f>'[1]OMM_Unit Matrix'!AP101</f>
        <v>0</v>
      </c>
      <c r="AQ101" s="270">
        <f>'[1]OMM_Unit Matrix'!AQ101</f>
        <v>0</v>
      </c>
    </row>
    <row r="102" spans="2:43">
      <c r="B102" s="89">
        <f>'[1]OMM_Unit Matrix'!B102</f>
        <v>5</v>
      </c>
      <c r="C102" s="275">
        <f>'[1]OMM_Unit Matrix'!C102</f>
        <v>8</v>
      </c>
      <c r="D102" s="89">
        <f>'[1]OMM_Unit Matrix'!D102</f>
        <v>5008</v>
      </c>
      <c r="E102" s="89" t="str">
        <f>'[1]OMM_Unit Matrix'!E102</f>
        <v>YES</v>
      </c>
      <c r="F102" s="132">
        <f>'[1]OMM_Unit Matrix'!F102</f>
        <v>5008.09</v>
      </c>
      <c r="G102" s="89" t="str">
        <f>'[1]OMM_Unit Matrix'!G102</f>
        <v>ORDERED</v>
      </c>
      <c r="H102" s="89" t="str">
        <f>'[1]OMM_Unit Matrix'!H102</f>
        <v>YES</v>
      </c>
      <c r="I102" s="89">
        <f>'[1]OMM_Unit Matrix'!I102</f>
        <v>3</v>
      </c>
      <c r="J102" s="89" t="str">
        <f>'[1]OMM_Unit Matrix'!J102</f>
        <v>NO</v>
      </c>
      <c r="K102" s="89">
        <f>'[1]OMM_Unit Matrix'!K102</f>
        <v>0</v>
      </c>
      <c r="L102" s="89" t="str">
        <f>'[1]OMM_Unit Matrix'!L102</f>
        <v>NO</v>
      </c>
      <c r="M102" s="89">
        <f>'[1]OMM_Unit Matrix'!M102</f>
        <v>0</v>
      </c>
      <c r="N102" s="89" t="str">
        <f>'[1]OMM_Unit Matrix'!N102</f>
        <v>YES</v>
      </c>
      <c r="O102" s="89">
        <f>'[1]OMM_Unit Matrix'!O102</f>
        <v>3</v>
      </c>
      <c r="P102" s="89" t="str">
        <f>'[1]OMM_Unit Matrix'!P102</f>
        <v>YES</v>
      </c>
      <c r="Q102" s="89">
        <f>'[1]OMM_Unit Matrix'!Q102</f>
        <v>3</v>
      </c>
      <c r="R102" s="89" t="str">
        <f>'[1]OMM_Unit Matrix'!R102</f>
        <v>NO</v>
      </c>
      <c r="S102" s="89">
        <f>'[1]OMM_Unit Matrix'!S102</f>
        <v>0</v>
      </c>
      <c r="T102" s="89" t="str">
        <f>'[1]OMM_Unit Matrix'!T102</f>
        <v>NO</v>
      </c>
      <c r="U102" s="89">
        <f>'[1]OMM_Unit Matrix'!U102</f>
        <v>0</v>
      </c>
      <c r="V102" s="89" t="str">
        <f>'[1]OMM_Unit Matrix'!V102</f>
        <v>YES</v>
      </c>
      <c r="W102" s="89">
        <f>'[1]OMM_Unit Matrix'!W102</f>
        <v>3</v>
      </c>
      <c r="X102" s="89" t="str">
        <f>'[1]OMM_Unit Matrix'!X102</f>
        <v>NO</v>
      </c>
      <c r="Y102" s="89">
        <f>'[1]OMM_Unit Matrix'!Y102</f>
        <v>0</v>
      </c>
      <c r="Z102" s="89" t="str">
        <f>'[1]OMM_Unit Matrix'!Z102</f>
        <v>NO</v>
      </c>
      <c r="AA102" s="89">
        <f>'[1]OMM_Unit Matrix'!AA102</f>
        <v>0</v>
      </c>
      <c r="AB102" s="89" t="str">
        <f>'[1]OMM_Unit Matrix'!AB102</f>
        <v>YES</v>
      </c>
      <c r="AC102" s="89">
        <f>'[1]OMM_Unit Matrix'!AC102</f>
        <v>3</v>
      </c>
      <c r="AD102" s="89" t="str">
        <f>'[1]OMM_Unit Matrix'!AD102</f>
        <v>YES</v>
      </c>
      <c r="AE102" s="89">
        <f>'[1]OMM_Unit Matrix'!AE102</f>
        <v>3</v>
      </c>
      <c r="AF102" s="89" t="str">
        <f>'[1]OMM_Unit Matrix'!AF102</f>
        <v>YES</v>
      </c>
      <c r="AG102" s="89">
        <f>'[1]OMM_Unit Matrix'!AG102</f>
        <v>3</v>
      </c>
      <c r="AH102" s="89" t="str">
        <f>'[1]OMM_Unit Matrix'!AH102</f>
        <v>NO</v>
      </c>
      <c r="AI102" s="89">
        <f>'[1]OMM_Unit Matrix'!AI102</f>
        <v>0</v>
      </c>
      <c r="AJ102" s="89" t="str">
        <f>'[1]OMM_Unit Matrix'!AJ102</f>
        <v>NO</v>
      </c>
      <c r="AK102" s="89">
        <f>'[1]OMM_Unit Matrix'!AK102</f>
        <v>0</v>
      </c>
      <c r="AL102" s="89" t="str">
        <f>'[1]OMM_Unit Matrix'!AL102</f>
        <v>NO</v>
      </c>
      <c r="AM102" s="89">
        <f>'[1]OMM_Unit Matrix'!AM102</f>
        <v>0</v>
      </c>
      <c r="AN102" s="89" t="str">
        <f>'[1]OMM_Unit Matrix'!AN102</f>
        <v>YES</v>
      </c>
      <c r="AO102" s="89">
        <f>'[1]OMM_Unit Matrix'!AO102</f>
        <v>3</v>
      </c>
      <c r="AP102" s="89" t="str">
        <f>'[1]OMM_Unit Matrix'!AP102</f>
        <v>NO</v>
      </c>
      <c r="AQ102" s="270">
        <f>'[1]OMM_Unit Matrix'!AQ102</f>
        <v>0</v>
      </c>
    </row>
    <row r="103" spans="2:43">
      <c r="B103" s="89">
        <f>'[1]OMM_Unit Matrix'!B103</f>
        <v>5</v>
      </c>
      <c r="C103" s="275">
        <f>'[1]OMM_Unit Matrix'!C103</f>
        <v>9</v>
      </c>
      <c r="D103" s="89">
        <f>'[1]OMM_Unit Matrix'!D103</f>
        <v>5009</v>
      </c>
      <c r="E103" s="89" t="str">
        <f>'[1]OMM_Unit Matrix'!E103</f>
        <v>YES</v>
      </c>
      <c r="F103" s="132">
        <f>'[1]OMM_Unit Matrix'!F103</f>
        <v>5008.09</v>
      </c>
      <c r="G103" s="89" t="str">
        <f>'[1]OMM_Unit Matrix'!G103</f>
        <v>ORDERED</v>
      </c>
      <c r="H103" s="89" t="str">
        <f>'[1]OMM_Unit Matrix'!H103</f>
        <v>NO</v>
      </c>
      <c r="I103" s="89">
        <f>'[1]OMM_Unit Matrix'!I103</f>
        <v>0</v>
      </c>
      <c r="J103" s="89" t="str">
        <f>'[1]OMM_Unit Matrix'!J103</f>
        <v>NO</v>
      </c>
      <c r="K103" s="89">
        <f>'[1]OMM_Unit Matrix'!K103</f>
        <v>0</v>
      </c>
      <c r="L103" s="89" t="str">
        <f>'[1]OMM_Unit Matrix'!L103</f>
        <v>NO</v>
      </c>
      <c r="M103" s="89">
        <f>'[1]OMM_Unit Matrix'!M103</f>
        <v>0</v>
      </c>
      <c r="N103" s="89" t="str">
        <f>'[1]OMM_Unit Matrix'!N103</f>
        <v>NO</v>
      </c>
      <c r="O103" s="89">
        <f>'[1]OMM_Unit Matrix'!O103</f>
        <v>0</v>
      </c>
      <c r="P103" s="89" t="str">
        <f>'[1]OMM_Unit Matrix'!P103</f>
        <v>NO</v>
      </c>
      <c r="Q103" s="89">
        <f>'[1]OMM_Unit Matrix'!Q103</f>
        <v>0</v>
      </c>
      <c r="R103" s="89" t="str">
        <f>'[1]OMM_Unit Matrix'!R103</f>
        <v>NO</v>
      </c>
      <c r="S103" s="89">
        <f>'[1]OMM_Unit Matrix'!S103</f>
        <v>0</v>
      </c>
      <c r="T103" s="89" t="str">
        <f>'[1]OMM_Unit Matrix'!T103</f>
        <v>NO</v>
      </c>
      <c r="U103" s="89">
        <f>'[1]OMM_Unit Matrix'!U103</f>
        <v>0</v>
      </c>
      <c r="V103" s="89" t="str">
        <f>'[1]OMM_Unit Matrix'!V103</f>
        <v>NO</v>
      </c>
      <c r="W103" s="89">
        <f>'[1]OMM_Unit Matrix'!W103</f>
        <v>0</v>
      </c>
      <c r="X103" s="89" t="str">
        <f>'[1]OMM_Unit Matrix'!X103</f>
        <v>NO</v>
      </c>
      <c r="Y103" s="89">
        <f>'[1]OMM_Unit Matrix'!Y103</f>
        <v>0</v>
      </c>
      <c r="Z103" s="89" t="str">
        <f>'[1]OMM_Unit Matrix'!Z103</f>
        <v>NO</v>
      </c>
      <c r="AA103" s="89">
        <f>'[1]OMM_Unit Matrix'!AA103</f>
        <v>0</v>
      </c>
      <c r="AB103" s="89" t="str">
        <f>'[1]OMM_Unit Matrix'!AB103</f>
        <v>NO</v>
      </c>
      <c r="AC103" s="89">
        <f>'[1]OMM_Unit Matrix'!AC103</f>
        <v>0</v>
      </c>
      <c r="AD103" s="89" t="str">
        <f>'[1]OMM_Unit Matrix'!AD103</f>
        <v>NO</v>
      </c>
      <c r="AE103" s="89">
        <f>'[1]OMM_Unit Matrix'!AE103</f>
        <v>0</v>
      </c>
      <c r="AF103" s="89" t="str">
        <f>'[1]OMM_Unit Matrix'!AF103</f>
        <v>NO</v>
      </c>
      <c r="AG103" s="89">
        <f>'[1]OMM_Unit Matrix'!AG103</f>
        <v>0</v>
      </c>
      <c r="AH103" s="89" t="str">
        <f>'[1]OMM_Unit Matrix'!AH103</f>
        <v>NO</v>
      </c>
      <c r="AI103" s="89">
        <f>'[1]OMM_Unit Matrix'!AI103</f>
        <v>0</v>
      </c>
      <c r="AJ103" s="89" t="str">
        <f>'[1]OMM_Unit Matrix'!AJ103</f>
        <v>NO</v>
      </c>
      <c r="AK103" s="89">
        <f>'[1]OMM_Unit Matrix'!AK103</f>
        <v>0</v>
      </c>
      <c r="AL103" s="89" t="str">
        <f>'[1]OMM_Unit Matrix'!AL103</f>
        <v>NO</v>
      </c>
      <c r="AM103" s="89">
        <f>'[1]OMM_Unit Matrix'!AM103</f>
        <v>0</v>
      </c>
      <c r="AN103" s="89" t="str">
        <f>'[1]OMM_Unit Matrix'!AN103</f>
        <v>NO</v>
      </c>
      <c r="AO103" s="89">
        <f>'[1]OMM_Unit Matrix'!AO103</f>
        <v>0</v>
      </c>
      <c r="AP103" s="89" t="str">
        <f>'[1]OMM_Unit Matrix'!AP103</f>
        <v>NO</v>
      </c>
      <c r="AQ103" s="270">
        <f>'[1]OMM_Unit Matrix'!AQ103</f>
        <v>0</v>
      </c>
    </row>
    <row r="104" spans="2:43" hidden="1">
      <c r="B104" s="89">
        <f>'[1]OMM_Unit Matrix'!B104</f>
        <v>5</v>
      </c>
      <c r="C104" s="275">
        <f>'[1]OMM_Unit Matrix'!C104</f>
        <v>10</v>
      </c>
      <c r="D104" s="89">
        <f>'[1]OMM_Unit Matrix'!D104</f>
        <v>5010</v>
      </c>
      <c r="E104" s="89">
        <f>'[1]OMM_Unit Matrix'!E104</f>
        <v>0</v>
      </c>
      <c r="F104" s="89">
        <f>'[1]OMM_Unit Matrix'!F104</f>
        <v>0</v>
      </c>
      <c r="G104" s="89" t="str">
        <f>'[1]OMM_Unit Matrix'!G104</f>
        <v>NOT IN SCOPE</v>
      </c>
      <c r="H104" s="89">
        <f>'[1]OMM_Unit Matrix'!H104</f>
        <v>0</v>
      </c>
      <c r="I104" s="89">
        <f>'[1]OMM_Unit Matrix'!I104</f>
        <v>0</v>
      </c>
      <c r="J104" s="89">
        <f>'[1]OMM_Unit Matrix'!J104</f>
        <v>0</v>
      </c>
      <c r="K104" s="89">
        <f>'[1]OMM_Unit Matrix'!K104</f>
        <v>0</v>
      </c>
      <c r="L104" s="89">
        <f>'[1]OMM_Unit Matrix'!L104</f>
        <v>0</v>
      </c>
      <c r="M104" s="89">
        <f>'[1]OMM_Unit Matrix'!M104</f>
        <v>0</v>
      </c>
      <c r="N104" s="89">
        <f>'[1]OMM_Unit Matrix'!N104</f>
        <v>0</v>
      </c>
      <c r="O104" s="89">
        <f>'[1]OMM_Unit Matrix'!O104</f>
        <v>0</v>
      </c>
      <c r="P104" s="89">
        <f>'[1]OMM_Unit Matrix'!P104</f>
        <v>0</v>
      </c>
      <c r="Q104" s="89">
        <f>'[1]OMM_Unit Matrix'!Q104</f>
        <v>0</v>
      </c>
      <c r="R104" s="89">
        <f>'[1]OMM_Unit Matrix'!R104</f>
        <v>0</v>
      </c>
      <c r="S104" s="89">
        <f>'[1]OMM_Unit Matrix'!S104</f>
        <v>0</v>
      </c>
      <c r="T104" s="89">
        <f>'[1]OMM_Unit Matrix'!T104</f>
        <v>0</v>
      </c>
      <c r="U104" s="89">
        <f>'[1]OMM_Unit Matrix'!U104</f>
        <v>0</v>
      </c>
      <c r="V104" s="89">
        <f>'[1]OMM_Unit Matrix'!V104</f>
        <v>0</v>
      </c>
      <c r="W104" s="89">
        <f>'[1]OMM_Unit Matrix'!W104</f>
        <v>0</v>
      </c>
      <c r="X104" s="89">
        <f>'[1]OMM_Unit Matrix'!X104</f>
        <v>0</v>
      </c>
      <c r="Y104" s="89">
        <f>'[1]OMM_Unit Matrix'!Y104</f>
        <v>0</v>
      </c>
      <c r="Z104" s="89">
        <f>'[1]OMM_Unit Matrix'!Z104</f>
        <v>0</v>
      </c>
      <c r="AA104" s="89">
        <f>'[1]OMM_Unit Matrix'!AA104</f>
        <v>0</v>
      </c>
      <c r="AB104" s="89">
        <f>'[1]OMM_Unit Matrix'!AB104</f>
        <v>0</v>
      </c>
      <c r="AC104" s="89">
        <f>'[1]OMM_Unit Matrix'!AC104</f>
        <v>0</v>
      </c>
      <c r="AD104" s="89">
        <f>'[1]OMM_Unit Matrix'!AD104</f>
        <v>0</v>
      </c>
      <c r="AE104" s="89">
        <f>'[1]OMM_Unit Matrix'!AE104</f>
        <v>0</v>
      </c>
      <c r="AF104" s="89">
        <f>'[1]OMM_Unit Matrix'!AF104</f>
        <v>0</v>
      </c>
      <c r="AG104" s="89">
        <f>'[1]OMM_Unit Matrix'!AG104</f>
        <v>0</v>
      </c>
      <c r="AH104" s="89">
        <f>'[1]OMM_Unit Matrix'!AH104</f>
        <v>0</v>
      </c>
      <c r="AI104" s="89">
        <f>'[1]OMM_Unit Matrix'!AI104</f>
        <v>0</v>
      </c>
      <c r="AJ104" s="89">
        <f>'[1]OMM_Unit Matrix'!AJ104</f>
        <v>0</v>
      </c>
      <c r="AK104" s="89">
        <f>'[1]OMM_Unit Matrix'!AK104</f>
        <v>0</v>
      </c>
      <c r="AL104" s="89">
        <f>'[1]OMM_Unit Matrix'!AL104</f>
        <v>0</v>
      </c>
      <c r="AM104" s="89">
        <f>'[1]OMM_Unit Matrix'!AM104</f>
        <v>0</v>
      </c>
      <c r="AN104" s="89">
        <f>'[1]OMM_Unit Matrix'!AN104</f>
        <v>0</v>
      </c>
      <c r="AO104" s="89">
        <f>'[1]OMM_Unit Matrix'!AO104</f>
        <v>0</v>
      </c>
      <c r="AP104" s="89">
        <f>'[1]OMM_Unit Matrix'!AP104</f>
        <v>0</v>
      </c>
      <c r="AQ104" s="270">
        <f>'[1]OMM_Unit Matrix'!AQ104</f>
        <v>0</v>
      </c>
    </row>
    <row r="105" spans="2:43" hidden="1">
      <c r="B105" s="89">
        <f>'[1]OMM_Unit Matrix'!B105</f>
        <v>5</v>
      </c>
      <c r="C105" s="275">
        <f>'[1]OMM_Unit Matrix'!C105</f>
        <v>11</v>
      </c>
      <c r="D105" s="89">
        <f>'[1]OMM_Unit Matrix'!D105</f>
        <v>5011</v>
      </c>
      <c r="E105" s="89">
        <f>'[1]OMM_Unit Matrix'!E105</f>
        <v>0</v>
      </c>
      <c r="F105" s="89">
        <f>'[1]OMM_Unit Matrix'!F105</f>
        <v>0</v>
      </c>
      <c r="G105" s="89" t="str">
        <f>'[1]OMM_Unit Matrix'!G105</f>
        <v>NOT IN SCOPE</v>
      </c>
      <c r="H105" s="89">
        <f>'[1]OMM_Unit Matrix'!H105</f>
        <v>0</v>
      </c>
      <c r="I105" s="89">
        <f>'[1]OMM_Unit Matrix'!I105</f>
        <v>0</v>
      </c>
      <c r="J105" s="89">
        <f>'[1]OMM_Unit Matrix'!J105</f>
        <v>0</v>
      </c>
      <c r="K105" s="89">
        <f>'[1]OMM_Unit Matrix'!K105</f>
        <v>0</v>
      </c>
      <c r="L105" s="89">
        <f>'[1]OMM_Unit Matrix'!L105</f>
        <v>0</v>
      </c>
      <c r="M105" s="89">
        <f>'[1]OMM_Unit Matrix'!M105</f>
        <v>0</v>
      </c>
      <c r="N105" s="89">
        <f>'[1]OMM_Unit Matrix'!N105</f>
        <v>0</v>
      </c>
      <c r="O105" s="89">
        <f>'[1]OMM_Unit Matrix'!O105</f>
        <v>0</v>
      </c>
      <c r="P105" s="89">
        <f>'[1]OMM_Unit Matrix'!P105</f>
        <v>0</v>
      </c>
      <c r="Q105" s="89">
        <f>'[1]OMM_Unit Matrix'!Q105</f>
        <v>0</v>
      </c>
      <c r="R105" s="89">
        <f>'[1]OMM_Unit Matrix'!R105</f>
        <v>0</v>
      </c>
      <c r="S105" s="89">
        <f>'[1]OMM_Unit Matrix'!S105</f>
        <v>0</v>
      </c>
      <c r="T105" s="89">
        <f>'[1]OMM_Unit Matrix'!T105</f>
        <v>0</v>
      </c>
      <c r="U105" s="89">
        <f>'[1]OMM_Unit Matrix'!U105</f>
        <v>0</v>
      </c>
      <c r="V105" s="89">
        <f>'[1]OMM_Unit Matrix'!V105</f>
        <v>0</v>
      </c>
      <c r="W105" s="89">
        <f>'[1]OMM_Unit Matrix'!W105</f>
        <v>0</v>
      </c>
      <c r="X105" s="89">
        <f>'[1]OMM_Unit Matrix'!X105</f>
        <v>0</v>
      </c>
      <c r="Y105" s="89">
        <f>'[1]OMM_Unit Matrix'!Y105</f>
        <v>0</v>
      </c>
      <c r="Z105" s="89">
        <f>'[1]OMM_Unit Matrix'!Z105</f>
        <v>0</v>
      </c>
      <c r="AA105" s="89">
        <f>'[1]OMM_Unit Matrix'!AA105</f>
        <v>0</v>
      </c>
      <c r="AB105" s="89">
        <f>'[1]OMM_Unit Matrix'!AB105</f>
        <v>0</v>
      </c>
      <c r="AC105" s="89">
        <f>'[1]OMM_Unit Matrix'!AC105</f>
        <v>0</v>
      </c>
      <c r="AD105" s="89">
        <f>'[1]OMM_Unit Matrix'!AD105</f>
        <v>0</v>
      </c>
      <c r="AE105" s="89">
        <f>'[1]OMM_Unit Matrix'!AE105</f>
        <v>0</v>
      </c>
      <c r="AF105" s="89">
        <f>'[1]OMM_Unit Matrix'!AF105</f>
        <v>0</v>
      </c>
      <c r="AG105" s="89">
        <f>'[1]OMM_Unit Matrix'!AG105</f>
        <v>0</v>
      </c>
      <c r="AH105" s="89">
        <f>'[1]OMM_Unit Matrix'!AH105</f>
        <v>0</v>
      </c>
      <c r="AI105" s="89">
        <f>'[1]OMM_Unit Matrix'!AI105</f>
        <v>0</v>
      </c>
      <c r="AJ105" s="89">
        <f>'[1]OMM_Unit Matrix'!AJ105</f>
        <v>0</v>
      </c>
      <c r="AK105" s="89">
        <f>'[1]OMM_Unit Matrix'!AK105</f>
        <v>0</v>
      </c>
      <c r="AL105" s="89">
        <f>'[1]OMM_Unit Matrix'!AL105</f>
        <v>0</v>
      </c>
      <c r="AM105" s="89">
        <f>'[1]OMM_Unit Matrix'!AM105</f>
        <v>0</v>
      </c>
      <c r="AN105" s="89">
        <f>'[1]OMM_Unit Matrix'!AN105</f>
        <v>0</v>
      </c>
      <c r="AO105" s="89">
        <f>'[1]OMM_Unit Matrix'!AO105</f>
        <v>0</v>
      </c>
      <c r="AP105" s="89">
        <f>'[1]OMM_Unit Matrix'!AP105</f>
        <v>0</v>
      </c>
      <c r="AQ105" s="270">
        <f>'[1]OMM_Unit Matrix'!AQ105</f>
        <v>0</v>
      </c>
    </row>
    <row r="106" spans="2:43" hidden="1">
      <c r="B106" s="89">
        <f>'[1]OMM_Unit Matrix'!B106</f>
        <v>5</v>
      </c>
      <c r="C106" s="275">
        <f>'[1]OMM_Unit Matrix'!C106</f>
        <v>12</v>
      </c>
      <c r="D106" s="89">
        <f>'[1]OMM_Unit Matrix'!D106</f>
        <v>5012</v>
      </c>
      <c r="E106" s="89">
        <f>'[1]OMM_Unit Matrix'!E106</f>
        <v>0</v>
      </c>
      <c r="F106" s="89">
        <f>'[1]OMM_Unit Matrix'!F106</f>
        <v>0</v>
      </c>
      <c r="G106" s="89" t="str">
        <f>'[1]OMM_Unit Matrix'!G106</f>
        <v>NOT IN SCOPE</v>
      </c>
      <c r="H106" s="89">
        <f>'[1]OMM_Unit Matrix'!H106</f>
        <v>0</v>
      </c>
      <c r="I106" s="89">
        <f>'[1]OMM_Unit Matrix'!I106</f>
        <v>0</v>
      </c>
      <c r="J106" s="89">
        <f>'[1]OMM_Unit Matrix'!J106</f>
        <v>0</v>
      </c>
      <c r="K106" s="89">
        <f>'[1]OMM_Unit Matrix'!K106</f>
        <v>0</v>
      </c>
      <c r="L106" s="89">
        <f>'[1]OMM_Unit Matrix'!L106</f>
        <v>0</v>
      </c>
      <c r="M106" s="89">
        <f>'[1]OMM_Unit Matrix'!M106</f>
        <v>0</v>
      </c>
      <c r="N106" s="89">
        <f>'[1]OMM_Unit Matrix'!N106</f>
        <v>0</v>
      </c>
      <c r="O106" s="89">
        <f>'[1]OMM_Unit Matrix'!O106</f>
        <v>0</v>
      </c>
      <c r="P106" s="89">
        <f>'[1]OMM_Unit Matrix'!P106</f>
        <v>0</v>
      </c>
      <c r="Q106" s="89">
        <f>'[1]OMM_Unit Matrix'!Q106</f>
        <v>0</v>
      </c>
      <c r="R106" s="89">
        <f>'[1]OMM_Unit Matrix'!R106</f>
        <v>0</v>
      </c>
      <c r="S106" s="89">
        <f>'[1]OMM_Unit Matrix'!S106</f>
        <v>0</v>
      </c>
      <c r="T106" s="89">
        <f>'[1]OMM_Unit Matrix'!T106</f>
        <v>0</v>
      </c>
      <c r="U106" s="89">
        <f>'[1]OMM_Unit Matrix'!U106</f>
        <v>0</v>
      </c>
      <c r="V106" s="89">
        <f>'[1]OMM_Unit Matrix'!V106</f>
        <v>0</v>
      </c>
      <c r="W106" s="89">
        <f>'[1]OMM_Unit Matrix'!W106</f>
        <v>0</v>
      </c>
      <c r="X106" s="89">
        <f>'[1]OMM_Unit Matrix'!X106</f>
        <v>0</v>
      </c>
      <c r="Y106" s="89">
        <f>'[1]OMM_Unit Matrix'!Y106</f>
        <v>0</v>
      </c>
      <c r="Z106" s="89">
        <f>'[1]OMM_Unit Matrix'!Z106</f>
        <v>0</v>
      </c>
      <c r="AA106" s="89">
        <f>'[1]OMM_Unit Matrix'!AA106</f>
        <v>0</v>
      </c>
      <c r="AB106" s="89">
        <f>'[1]OMM_Unit Matrix'!AB106</f>
        <v>0</v>
      </c>
      <c r="AC106" s="89">
        <f>'[1]OMM_Unit Matrix'!AC106</f>
        <v>0</v>
      </c>
      <c r="AD106" s="89">
        <f>'[1]OMM_Unit Matrix'!AD106</f>
        <v>0</v>
      </c>
      <c r="AE106" s="89">
        <f>'[1]OMM_Unit Matrix'!AE106</f>
        <v>0</v>
      </c>
      <c r="AF106" s="89">
        <f>'[1]OMM_Unit Matrix'!AF106</f>
        <v>0</v>
      </c>
      <c r="AG106" s="89">
        <f>'[1]OMM_Unit Matrix'!AG106</f>
        <v>0</v>
      </c>
      <c r="AH106" s="89">
        <f>'[1]OMM_Unit Matrix'!AH106</f>
        <v>0</v>
      </c>
      <c r="AI106" s="89">
        <f>'[1]OMM_Unit Matrix'!AI106</f>
        <v>0</v>
      </c>
      <c r="AJ106" s="89">
        <f>'[1]OMM_Unit Matrix'!AJ106</f>
        <v>0</v>
      </c>
      <c r="AK106" s="89">
        <f>'[1]OMM_Unit Matrix'!AK106</f>
        <v>0</v>
      </c>
      <c r="AL106" s="89">
        <f>'[1]OMM_Unit Matrix'!AL106</f>
        <v>0</v>
      </c>
      <c r="AM106" s="89">
        <f>'[1]OMM_Unit Matrix'!AM106</f>
        <v>0</v>
      </c>
      <c r="AN106" s="89">
        <f>'[1]OMM_Unit Matrix'!AN106</f>
        <v>0</v>
      </c>
      <c r="AO106" s="89">
        <f>'[1]OMM_Unit Matrix'!AO106</f>
        <v>0</v>
      </c>
      <c r="AP106" s="89">
        <f>'[1]OMM_Unit Matrix'!AP106</f>
        <v>0</v>
      </c>
      <c r="AQ106" s="270">
        <f>'[1]OMM_Unit Matrix'!AQ106</f>
        <v>0</v>
      </c>
    </row>
    <row r="107" spans="2:43" hidden="1">
      <c r="B107" s="89">
        <f>'[1]OMM_Unit Matrix'!B107</f>
        <v>5</v>
      </c>
      <c r="C107" s="275">
        <f>'[1]OMM_Unit Matrix'!C107</f>
        <v>13</v>
      </c>
      <c r="D107" s="89">
        <f>'[1]OMM_Unit Matrix'!D107</f>
        <v>5013</v>
      </c>
      <c r="E107" s="89">
        <f>'[1]OMM_Unit Matrix'!E107</f>
        <v>0</v>
      </c>
      <c r="F107" s="89">
        <f>'[1]OMM_Unit Matrix'!F107</f>
        <v>0</v>
      </c>
      <c r="G107" s="89" t="str">
        <f>'[1]OMM_Unit Matrix'!G107</f>
        <v>NOT IN SCOPE</v>
      </c>
      <c r="H107" s="89">
        <f>'[1]OMM_Unit Matrix'!H107</f>
        <v>0</v>
      </c>
      <c r="I107" s="89">
        <f>'[1]OMM_Unit Matrix'!I107</f>
        <v>0</v>
      </c>
      <c r="J107" s="89">
        <f>'[1]OMM_Unit Matrix'!J107</f>
        <v>0</v>
      </c>
      <c r="K107" s="89">
        <f>'[1]OMM_Unit Matrix'!K107</f>
        <v>0</v>
      </c>
      <c r="L107" s="89">
        <f>'[1]OMM_Unit Matrix'!L107</f>
        <v>0</v>
      </c>
      <c r="M107" s="89">
        <f>'[1]OMM_Unit Matrix'!M107</f>
        <v>0</v>
      </c>
      <c r="N107" s="89">
        <f>'[1]OMM_Unit Matrix'!N107</f>
        <v>0</v>
      </c>
      <c r="O107" s="89">
        <f>'[1]OMM_Unit Matrix'!O107</f>
        <v>0</v>
      </c>
      <c r="P107" s="89">
        <f>'[1]OMM_Unit Matrix'!P107</f>
        <v>0</v>
      </c>
      <c r="Q107" s="89">
        <f>'[1]OMM_Unit Matrix'!Q107</f>
        <v>0</v>
      </c>
      <c r="R107" s="89">
        <f>'[1]OMM_Unit Matrix'!R107</f>
        <v>0</v>
      </c>
      <c r="S107" s="89">
        <f>'[1]OMM_Unit Matrix'!S107</f>
        <v>0</v>
      </c>
      <c r="T107" s="89">
        <f>'[1]OMM_Unit Matrix'!T107</f>
        <v>0</v>
      </c>
      <c r="U107" s="89">
        <f>'[1]OMM_Unit Matrix'!U107</f>
        <v>0</v>
      </c>
      <c r="V107" s="89">
        <f>'[1]OMM_Unit Matrix'!V107</f>
        <v>0</v>
      </c>
      <c r="W107" s="89">
        <f>'[1]OMM_Unit Matrix'!W107</f>
        <v>0</v>
      </c>
      <c r="X107" s="89">
        <f>'[1]OMM_Unit Matrix'!X107</f>
        <v>0</v>
      </c>
      <c r="Y107" s="89">
        <f>'[1]OMM_Unit Matrix'!Y107</f>
        <v>0</v>
      </c>
      <c r="Z107" s="89">
        <f>'[1]OMM_Unit Matrix'!Z107</f>
        <v>0</v>
      </c>
      <c r="AA107" s="89">
        <f>'[1]OMM_Unit Matrix'!AA107</f>
        <v>0</v>
      </c>
      <c r="AB107" s="89">
        <f>'[1]OMM_Unit Matrix'!AB107</f>
        <v>0</v>
      </c>
      <c r="AC107" s="89">
        <f>'[1]OMM_Unit Matrix'!AC107</f>
        <v>0</v>
      </c>
      <c r="AD107" s="89">
        <f>'[1]OMM_Unit Matrix'!AD107</f>
        <v>0</v>
      </c>
      <c r="AE107" s="89">
        <f>'[1]OMM_Unit Matrix'!AE107</f>
        <v>0</v>
      </c>
      <c r="AF107" s="89">
        <f>'[1]OMM_Unit Matrix'!AF107</f>
        <v>0</v>
      </c>
      <c r="AG107" s="89">
        <f>'[1]OMM_Unit Matrix'!AG107</f>
        <v>0</v>
      </c>
      <c r="AH107" s="89">
        <f>'[1]OMM_Unit Matrix'!AH107</f>
        <v>0</v>
      </c>
      <c r="AI107" s="89">
        <f>'[1]OMM_Unit Matrix'!AI107</f>
        <v>0</v>
      </c>
      <c r="AJ107" s="89">
        <f>'[1]OMM_Unit Matrix'!AJ107</f>
        <v>0</v>
      </c>
      <c r="AK107" s="89">
        <f>'[1]OMM_Unit Matrix'!AK107</f>
        <v>0</v>
      </c>
      <c r="AL107" s="89">
        <f>'[1]OMM_Unit Matrix'!AL107</f>
        <v>0</v>
      </c>
      <c r="AM107" s="89">
        <f>'[1]OMM_Unit Matrix'!AM107</f>
        <v>0</v>
      </c>
      <c r="AN107" s="89">
        <f>'[1]OMM_Unit Matrix'!AN107</f>
        <v>0</v>
      </c>
      <c r="AO107" s="89">
        <f>'[1]OMM_Unit Matrix'!AO107</f>
        <v>0</v>
      </c>
      <c r="AP107" s="89">
        <f>'[1]OMM_Unit Matrix'!AP107</f>
        <v>0</v>
      </c>
      <c r="AQ107" s="270">
        <f>'[1]OMM_Unit Matrix'!AQ107</f>
        <v>0</v>
      </c>
    </row>
    <row r="108" spans="2:43" hidden="1">
      <c r="B108" s="89">
        <f>'[1]OMM_Unit Matrix'!B108</f>
        <v>5</v>
      </c>
      <c r="C108" s="275">
        <f>'[1]OMM_Unit Matrix'!C108</f>
        <v>14</v>
      </c>
      <c r="D108" s="89">
        <f>'[1]OMM_Unit Matrix'!D108</f>
        <v>5014</v>
      </c>
      <c r="E108" s="89">
        <f>'[1]OMM_Unit Matrix'!E108</f>
        <v>0</v>
      </c>
      <c r="F108" s="89">
        <f>'[1]OMM_Unit Matrix'!F108</f>
        <v>0</v>
      </c>
      <c r="G108" s="89" t="str">
        <f>'[1]OMM_Unit Matrix'!G108</f>
        <v>NOT IN SCOPE</v>
      </c>
      <c r="H108" s="89">
        <f>'[1]OMM_Unit Matrix'!H108</f>
        <v>0</v>
      </c>
      <c r="I108" s="89">
        <f>'[1]OMM_Unit Matrix'!I108</f>
        <v>0</v>
      </c>
      <c r="J108" s="89">
        <f>'[1]OMM_Unit Matrix'!J108</f>
        <v>0</v>
      </c>
      <c r="K108" s="89">
        <f>'[1]OMM_Unit Matrix'!K108</f>
        <v>0</v>
      </c>
      <c r="L108" s="89">
        <f>'[1]OMM_Unit Matrix'!L108</f>
        <v>0</v>
      </c>
      <c r="M108" s="89">
        <f>'[1]OMM_Unit Matrix'!M108</f>
        <v>0</v>
      </c>
      <c r="N108" s="89">
        <f>'[1]OMM_Unit Matrix'!N108</f>
        <v>0</v>
      </c>
      <c r="O108" s="89">
        <f>'[1]OMM_Unit Matrix'!O108</f>
        <v>0</v>
      </c>
      <c r="P108" s="89">
        <f>'[1]OMM_Unit Matrix'!P108</f>
        <v>0</v>
      </c>
      <c r="Q108" s="89">
        <f>'[1]OMM_Unit Matrix'!Q108</f>
        <v>0</v>
      </c>
      <c r="R108" s="89">
        <f>'[1]OMM_Unit Matrix'!R108</f>
        <v>0</v>
      </c>
      <c r="S108" s="89">
        <f>'[1]OMM_Unit Matrix'!S108</f>
        <v>0</v>
      </c>
      <c r="T108" s="89">
        <f>'[1]OMM_Unit Matrix'!T108</f>
        <v>0</v>
      </c>
      <c r="U108" s="89">
        <f>'[1]OMM_Unit Matrix'!U108</f>
        <v>0</v>
      </c>
      <c r="V108" s="89">
        <f>'[1]OMM_Unit Matrix'!V108</f>
        <v>0</v>
      </c>
      <c r="W108" s="89">
        <f>'[1]OMM_Unit Matrix'!W108</f>
        <v>0</v>
      </c>
      <c r="X108" s="89">
        <f>'[1]OMM_Unit Matrix'!X108</f>
        <v>0</v>
      </c>
      <c r="Y108" s="89">
        <f>'[1]OMM_Unit Matrix'!Y108</f>
        <v>0</v>
      </c>
      <c r="Z108" s="89">
        <f>'[1]OMM_Unit Matrix'!Z108</f>
        <v>0</v>
      </c>
      <c r="AA108" s="89">
        <f>'[1]OMM_Unit Matrix'!AA108</f>
        <v>0</v>
      </c>
      <c r="AB108" s="89">
        <f>'[1]OMM_Unit Matrix'!AB108</f>
        <v>0</v>
      </c>
      <c r="AC108" s="89">
        <f>'[1]OMM_Unit Matrix'!AC108</f>
        <v>0</v>
      </c>
      <c r="AD108" s="89">
        <f>'[1]OMM_Unit Matrix'!AD108</f>
        <v>0</v>
      </c>
      <c r="AE108" s="89">
        <f>'[1]OMM_Unit Matrix'!AE108</f>
        <v>0</v>
      </c>
      <c r="AF108" s="89">
        <f>'[1]OMM_Unit Matrix'!AF108</f>
        <v>0</v>
      </c>
      <c r="AG108" s="89">
        <f>'[1]OMM_Unit Matrix'!AG108</f>
        <v>0</v>
      </c>
      <c r="AH108" s="89">
        <f>'[1]OMM_Unit Matrix'!AH108</f>
        <v>0</v>
      </c>
      <c r="AI108" s="89">
        <f>'[1]OMM_Unit Matrix'!AI108</f>
        <v>0</v>
      </c>
      <c r="AJ108" s="89">
        <f>'[1]OMM_Unit Matrix'!AJ108</f>
        <v>0</v>
      </c>
      <c r="AK108" s="89">
        <f>'[1]OMM_Unit Matrix'!AK108</f>
        <v>0</v>
      </c>
      <c r="AL108" s="89">
        <f>'[1]OMM_Unit Matrix'!AL108</f>
        <v>0</v>
      </c>
      <c r="AM108" s="89">
        <f>'[1]OMM_Unit Matrix'!AM108</f>
        <v>0</v>
      </c>
      <c r="AN108" s="89">
        <f>'[1]OMM_Unit Matrix'!AN108</f>
        <v>0</v>
      </c>
      <c r="AO108" s="89">
        <f>'[1]OMM_Unit Matrix'!AO108</f>
        <v>0</v>
      </c>
      <c r="AP108" s="89">
        <f>'[1]OMM_Unit Matrix'!AP108</f>
        <v>0</v>
      </c>
      <c r="AQ108" s="270">
        <f>'[1]OMM_Unit Matrix'!AQ108</f>
        <v>0</v>
      </c>
    </row>
    <row r="109" spans="2:43" hidden="1">
      <c r="B109" s="89">
        <f>'[1]OMM_Unit Matrix'!B109</f>
        <v>5</v>
      </c>
      <c r="C109" s="275">
        <f>'[1]OMM_Unit Matrix'!C109</f>
        <v>15</v>
      </c>
      <c r="D109" s="89">
        <f>'[1]OMM_Unit Matrix'!D109</f>
        <v>5015</v>
      </c>
      <c r="E109" s="89">
        <f>'[1]OMM_Unit Matrix'!E109</f>
        <v>0</v>
      </c>
      <c r="F109" s="89">
        <f>'[1]OMM_Unit Matrix'!F109</f>
        <v>0</v>
      </c>
      <c r="G109" s="89" t="str">
        <f>'[1]OMM_Unit Matrix'!G109</f>
        <v>NOT IN SCOPE</v>
      </c>
      <c r="H109" s="89">
        <f>'[1]OMM_Unit Matrix'!H109</f>
        <v>0</v>
      </c>
      <c r="I109" s="89">
        <f>'[1]OMM_Unit Matrix'!I109</f>
        <v>0</v>
      </c>
      <c r="J109" s="89">
        <f>'[1]OMM_Unit Matrix'!J109</f>
        <v>0</v>
      </c>
      <c r="K109" s="89">
        <f>'[1]OMM_Unit Matrix'!K109</f>
        <v>0</v>
      </c>
      <c r="L109" s="89">
        <f>'[1]OMM_Unit Matrix'!L109</f>
        <v>0</v>
      </c>
      <c r="M109" s="89">
        <f>'[1]OMM_Unit Matrix'!M109</f>
        <v>0</v>
      </c>
      <c r="N109" s="89">
        <f>'[1]OMM_Unit Matrix'!N109</f>
        <v>0</v>
      </c>
      <c r="O109" s="89">
        <f>'[1]OMM_Unit Matrix'!O109</f>
        <v>0</v>
      </c>
      <c r="P109" s="89">
        <f>'[1]OMM_Unit Matrix'!P109</f>
        <v>0</v>
      </c>
      <c r="Q109" s="89">
        <f>'[1]OMM_Unit Matrix'!Q109</f>
        <v>0</v>
      </c>
      <c r="R109" s="89">
        <f>'[1]OMM_Unit Matrix'!R109</f>
        <v>0</v>
      </c>
      <c r="S109" s="89">
        <f>'[1]OMM_Unit Matrix'!S109</f>
        <v>0</v>
      </c>
      <c r="T109" s="89">
        <f>'[1]OMM_Unit Matrix'!T109</f>
        <v>0</v>
      </c>
      <c r="U109" s="89">
        <f>'[1]OMM_Unit Matrix'!U109</f>
        <v>0</v>
      </c>
      <c r="V109" s="89">
        <f>'[1]OMM_Unit Matrix'!V109</f>
        <v>0</v>
      </c>
      <c r="W109" s="89">
        <f>'[1]OMM_Unit Matrix'!W109</f>
        <v>0</v>
      </c>
      <c r="X109" s="89">
        <f>'[1]OMM_Unit Matrix'!X109</f>
        <v>0</v>
      </c>
      <c r="Y109" s="89">
        <f>'[1]OMM_Unit Matrix'!Y109</f>
        <v>0</v>
      </c>
      <c r="Z109" s="89">
        <f>'[1]OMM_Unit Matrix'!Z109</f>
        <v>0</v>
      </c>
      <c r="AA109" s="89">
        <f>'[1]OMM_Unit Matrix'!AA109</f>
        <v>0</v>
      </c>
      <c r="AB109" s="89">
        <f>'[1]OMM_Unit Matrix'!AB109</f>
        <v>0</v>
      </c>
      <c r="AC109" s="89">
        <f>'[1]OMM_Unit Matrix'!AC109</f>
        <v>0</v>
      </c>
      <c r="AD109" s="89">
        <f>'[1]OMM_Unit Matrix'!AD109</f>
        <v>0</v>
      </c>
      <c r="AE109" s="89">
        <f>'[1]OMM_Unit Matrix'!AE109</f>
        <v>0</v>
      </c>
      <c r="AF109" s="89">
        <f>'[1]OMM_Unit Matrix'!AF109</f>
        <v>0</v>
      </c>
      <c r="AG109" s="89">
        <f>'[1]OMM_Unit Matrix'!AG109</f>
        <v>0</v>
      </c>
      <c r="AH109" s="89">
        <f>'[1]OMM_Unit Matrix'!AH109</f>
        <v>0</v>
      </c>
      <c r="AI109" s="89">
        <f>'[1]OMM_Unit Matrix'!AI109</f>
        <v>0</v>
      </c>
      <c r="AJ109" s="89">
        <f>'[1]OMM_Unit Matrix'!AJ109</f>
        <v>0</v>
      </c>
      <c r="AK109" s="89">
        <f>'[1]OMM_Unit Matrix'!AK109</f>
        <v>0</v>
      </c>
      <c r="AL109" s="89">
        <f>'[1]OMM_Unit Matrix'!AL109</f>
        <v>0</v>
      </c>
      <c r="AM109" s="89">
        <f>'[1]OMM_Unit Matrix'!AM109</f>
        <v>0</v>
      </c>
      <c r="AN109" s="89">
        <f>'[1]OMM_Unit Matrix'!AN109</f>
        <v>0</v>
      </c>
      <c r="AO109" s="89">
        <f>'[1]OMM_Unit Matrix'!AO109</f>
        <v>0</v>
      </c>
      <c r="AP109" s="89">
        <f>'[1]OMM_Unit Matrix'!AP109</f>
        <v>0</v>
      </c>
      <c r="AQ109" s="270">
        <f>'[1]OMM_Unit Matrix'!AQ109</f>
        <v>0</v>
      </c>
    </row>
    <row r="110" spans="2:43" hidden="1">
      <c r="B110" s="89">
        <f>'[1]OMM_Unit Matrix'!B110</f>
        <v>5</v>
      </c>
      <c r="C110" s="275">
        <f>'[1]OMM_Unit Matrix'!C110</f>
        <v>16</v>
      </c>
      <c r="D110" s="89">
        <f>'[1]OMM_Unit Matrix'!D110</f>
        <v>5016</v>
      </c>
      <c r="E110" s="89">
        <f>'[1]OMM_Unit Matrix'!E110</f>
        <v>0</v>
      </c>
      <c r="F110" s="89">
        <f>'[1]OMM_Unit Matrix'!F110</f>
        <v>0</v>
      </c>
      <c r="G110" s="89" t="str">
        <f>'[1]OMM_Unit Matrix'!G110</f>
        <v>NOT IN SCOPE</v>
      </c>
      <c r="H110" s="89">
        <f>'[1]OMM_Unit Matrix'!H110</f>
        <v>0</v>
      </c>
      <c r="I110" s="89">
        <f>'[1]OMM_Unit Matrix'!I110</f>
        <v>0</v>
      </c>
      <c r="J110" s="89">
        <f>'[1]OMM_Unit Matrix'!J110</f>
        <v>0</v>
      </c>
      <c r="K110" s="89">
        <f>'[1]OMM_Unit Matrix'!K110</f>
        <v>0</v>
      </c>
      <c r="L110" s="89">
        <f>'[1]OMM_Unit Matrix'!L110</f>
        <v>0</v>
      </c>
      <c r="M110" s="89">
        <f>'[1]OMM_Unit Matrix'!M110</f>
        <v>0</v>
      </c>
      <c r="N110" s="89">
        <f>'[1]OMM_Unit Matrix'!N110</f>
        <v>0</v>
      </c>
      <c r="O110" s="89">
        <f>'[1]OMM_Unit Matrix'!O110</f>
        <v>0</v>
      </c>
      <c r="P110" s="89">
        <f>'[1]OMM_Unit Matrix'!P110</f>
        <v>0</v>
      </c>
      <c r="Q110" s="89">
        <f>'[1]OMM_Unit Matrix'!Q110</f>
        <v>0</v>
      </c>
      <c r="R110" s="89">
        <f>'[1]OMM_Unit Matrix'!R110</f>
        <v>0</v>
      </c>
      <c r="S110" s="89">
        <f>'[1]OMM_Unit Matrix'!S110</f>
        <v>0</v>
      </c>
      <c r="T110" s="89">
        <f>'[1]OMM_Unit Matrix'!T110</f>
        <v>0</v>
      </c>
      <c r="U110" s="89">
        <f>'[1]OMM_Unit Matrix'!U110</f>
        <v>0</v>
      </c>
      <c r="V110" s="89">
        <f>'[1]OMM_Unit Matrix'!V110</f>
        <v>0</v>
      </c>
      <c r="W110" s="89">
        <f>'[1]OMM_Unit Matrix'!W110</f>
        <v>0</v>
      </c>
      <c r="X110" s="89">
        <f>'[1]OMM_Unit Matrix'!X110</f>
        <v>0</v>
      </c>
      <c r="Y110" s="89">
        <f>'[1]OMM_Unit Matrix'!Y110</f>
        <v>0</v>
      </c>
      <c r="Z110" s="89">
        <f>'[1]OMM_Unit Matrix'!Z110</f>
        <v>0</v>
      </c>
      <c r="AA110" s="89">
        <f>'[1]OMM_Unit Matrix'!AA110</f>
        <v>0</v>
      </c>
      <c r="AB110" s="89">
        <f>'[1]OMM_Unit Matrix'!AB110</f>
        <v>0</v>
      </c>
      <c r="AC110" s="89">
        <f>'[1]OMM_Unit Matrix'!AC110</f>
        <v>0</v>
      </c>
      <c r="AD110" s="89">
        <f>'[1]OMM_Unit Matrix'!AD110</f>
        <v>0</v>
      </c>
      <c r="AE110" s="89">
        <f>'[1]OMM_Unit Matrix'!AE110</f>
        <v>0</v>
      </c>
      <c r="AF110" s="89">
        <f>'[1]OMM_Unit Matrix'!AF110</f>
        <v>0</v>
      </c>
      <c r="AG110" s="89">
        <f>'[1]OMM_Unit Matrix'!AG110</f>
        <v>0</v>
      </c>
      <c r="AH110" s="89">
        <f>'[1]OMM_Unit Matrix'!AH110</f>
        <v>0</v>
      </c>
      <c r="AI110" s="89">
        <f>'[1]OMM_Unit Matrix'!AI110</f>
        <v>0</v>
      </c>
      <c r="AJ110" s="89">
        <f>'[1]OMM_Unit Matrix'!AJ110</f>
        <v>0</v>
      </c>
      <c r="AK110" s="89">
        <f>'[1]OMM_Unit Matrix'!AK110</f>
        <v>0</v>
      </c>
      <c r="AL110" s="89">
        <f>'[1]OMM_Unit Matrix'!AL110</f>
        <v>0</v>
      </c>
      <c r="AM110" s="89">
        <f>'[1]OMM_Unit Matrix'!AM110</f>
        <v>0</v>
      </c>
      <c r="AN110" s="89">
        <f>'[1]OMM_Unit Matrix'!AN110</f>
        <v>0</v>
      </c>
      <c r="AO110" s="89">
        <f>'[1]OMM_Unit Matrix'!AO110</f>
        <v>0</v>
      </c>
      <c r="AP110" s="89">
        <f>'[1]OMM_Unit Matrix'!AP110</f>
        <v>0</v>
      </c>
      <c r="AQ110" s="270">
        <f>'[1]OMM_Unit Matrix'!AQ110</f>
        <v>0</v>
      </c>
    </row>
    <row r="111" spans="2:43" hidden="1">
      <c r="B111" s="89">
        <f>'[1]OMM_Unit Matrix'!B111</f>
        <v>5</v>
      </c>
      <c r="C111" s="275">
        <f>'[1]OMM_Unit Matrix'!C111</f>
        <v>17</v>
      </c>
      <c r="D111" s="89">
        <f>'[1]OMM_Unit Matrix'!D111</f>
        <v>5017</v>
      </c>
      <c r="E111" s="89">
        <f>'[1]OMM_Unit Matrix'!E111</f>
        <v>0</v>
      </c>
      <c r="F111" s="89">
        <f>'[1]OMM_Unit Matrix'!F111</f>
        <v>0</v>
      </c>
      <c r="G111" s="89" t="str">
        <f>'[1]OMM_Unit Matrix'!G111</f>
        <v>NOT IN SCOPE</v>
      </c>
      <c r="H111" s="89">
        <f>'[1]OMM_Unit Matrix'!H111</f>
        <v>0</v>
      </c>
      <c r="I111" s="89">
        <f>'[1]OMM_Unit Matrix'!I111</f>
        <v>0</v>
      </c>
      <c r="J111" s="89">
        <f>'[1]OMM_Unit Matrix'!J111</f>
        <v>0</v>
      </c>
      <c r="K111" s="89">
        <f>'[1]OMM_Unit Matrix'!K111</f>
        <v>0</v>
      </c>
      <c r="L111" s="89">
        <f>'[1]OMM_Unit Matrix'!L111</f>
        <v>0</v>
      </c>
      <c r="M111" s="89">
        <f>'[1]OMM_Unit Matrix'!M111</f>
        <v>0</v>
      </c>
      <c r="N111" s="89">
        <f>'[1]OMM_Unit Matrix'!N111</f>
        <v>0</v>
      </c>
      <c r="O111" s="89">
        <f>'[1]OMM_Unit Matrix'!O111</f>
        <v>0</v>
      </c>
      <c r="P111" s="89">
        <f>'[1]OMM_Unit Matrix'!P111</f>
        <v>0</v>
      </c>
      <c r="Q111" s="89">
        <f>'[1]OMM_Unit Matrix'!Q111</f>
        <v>0</v>
      </c>
      <c r="R111" s="89">
        <f>'[1]OMM_Unit Matrix'!R111</f>
        <v>0</v>
      </c>
      <c r="S111" s="89">
        <f>'[1]OMM_Unit Matrix'!S111</f>
        <v>0</v>
      </c>
      <c r="T111" s="89">
        <f>'[1]OMM_Unit Matrix'!T111</f>
        <v>0</v>
      </c>
      <c r="U111" s="89">
        <f>'[1]OMM_Unit Matrix'!U111</f>
        <v>0</v>
      </c>
      <c r="V111" s="89">
        <f>'[1]OMM_Unit Matrix'!V111</f>
        <v>0</v>
      </c>
      <c r="W111" s="89">
        <f>'[1]OMM_Unit Matrix'!W111</f>
        <v>0</v>
      </c>
      <c r="X111" s="89">
        <f>'[1]OMM_Unit Matrix'!X111</f>
        <v>0</v>
      </c>
      <c r="Y111" s="89">
        <f>'[1]OMM_Unit Matrix'!Y111</f>
        <v>0</v>
      </c>
      <c r="Z111" s="89">
        <f>'[1]OMM_Unit Matrix'!Z111</f>
        <v>0</v>
      </c>
      <c r="AA111" s="89">
        <f>'[1]OMM_Unit Matrix'!AA111</f>
        <v>0</v>
      </c>
      <c r="AB111" s="89">
        <f>'[1]OMM_Unit Matrix'!AB111</f>
        <v>0</v>
      </c>
      <c r="AC111" s="89">
        <f>'[1]OMM_Unit Matrix'!AC111</f>
        <v>0</v>
      </c>
      <c r="AD111" s="89">
        <f>'[1]OMM_Unit Matrix'!AD111</f>
        <v>0</v>
      </c>
      <c r="AE111" s="89">
        <f>'[1]OMM_Unit Matrix'!AE111</f>
        <v>0</v>
      </c>
      <c r="AF111" s="89">
        <f>'[1]OMM_Unit Matrix'!AF111</f>
        <v>0</v>
      </c>
      <c r="AG111" s="89">
        <f>'[1]OMM_Unit Matrix'!AG111</f>
        <v>0</v>
      </c>
      <c r="AH111" s="89">
        <f>'[1]OMM_Unit Matrix'!AH111</f>
        <v>0</v>
      </c>
      <c r="AI111" s="89">
        <f>'[1]OMM_Unit Matrix'!AI111</f>
        <v>0</v>
      </c>
      <c r="AJ111" s="89">
        <f>'[1]OMM_Unit Matrix'!AJ111</f>
        <v>0</v>
      </c>
      <c r="AK111" s="89">
        <f>'[1]OMM_Unit Matrix'!AK111</f>
        <v>0</v>
      </c>
      <c r="AL111" s="89">
        <f>'[1]OMM_Unit Matrix'!AL111</f>
        <v>0</v>
      </c>
      <c r="AM111" s="89">
        <f>'[1]OMM_Unit Matrix'!AM111</f>
        <v>0</v>
      </c>
      <c r="AN111" s="89">
        <f>'[1]OMM_Unit Matrix'!AN111</f>
        <v>0</v>
      </c>
      <c r="AO111" s="89">
        <f>'[1]OMM_Unit Matrix'!AO111</f>
        <v>0</v>
      </c>
      <c r="AP111" s="89">
        <f>'[1]OMM_Unit Matrix'!AP111</f>
        <v>0</v>
      </c>
      <c r="AQ111" s="270">
        <f>'[1]OMM_Unit Matrix'!AQ111</f>
        <v>0</v>
      </c>
    </row>
    <row r="112" spans="2:43" hidden="1">
      <c r="B112" s="89">
        <f>'[1]OMM_Unit Matrix'!B112</f>
        <v>5</v>
      </c>
      <c r="C112" s="275">
        <f>'[1]OMM_Unit Matrix'!C112</f>
        <v>18</v>
      </c>
      <c r="D112" s="89">
        <f>'[1]OMM_Unit Matrix'!D112</f>
        <v>5018</v>
      </c>
      <c r="E112" s="89">
        <f>'[1]OMM_Unit Matrix'!E112</f>
        <v>0</v>
      </c>
      <c r="F112" s="89">
        <f>'[1]OMM_Unit Matrix'!F112</f>
        <v>0</v>
      </c>
      <c r="G112" s="89" t="str">
        <f>'[1]OMM_Unit Matrix'!G112</f>
        <v>NOT IN SCOPE</v>
      </c>
      <c r="H112" s="89">
        <f>'[1]OMM_Unit Matrix'!H112</f>
        <v>0</v>
      </c>
      <c r="I112" s="89">
        <f>'[1]OMM_Unit Matrix'!I112</f>
        <v>0</v>
      </c>
      <c r="J112" s="89">
        <f>'[1]OMM_Unit Matrix'!J112</f>
        <v>0</v>
      </c>
      <c r="K112" s="89">
        <f>'[1]OMM_Unit Matrix'!K112</f>
        <v>0</v>
      </c>
      <c r="L112" s="89">
        <f>'[1]OMM_Unit Matrix'!L112</f>
        <v>0</v>
      </c>
      <c r="M112" s="89">
        <f>'[1]OMM_Unit Matrix'!M112</f>
        <v>0</v>
      </c>
      <c r="N112" s="89">
        <f>'[1]OMM_Unit Matrix'!N112</f>
        <v>0</v>
      </c>
      <c r="O112" s="89">
        <f>'[1]OMM_Unit Matrix'!O112</f>
        <v>0</v>
      </c>
      <c r="P112" s="89">
        <f>'[1]OMM_Unit Matrix'!P112</f>
        <v>0</v>
      </c>
      <c r="Q112" s="89">
        <f>'[1]OMM_Unit Matrix'!Q112</f>
        <v>0</v>
      </c>
      <c r="R112" s="89">
        <f>'[1]OMM_Unit Matrix'!R112</f>
        <v>0</v>
      </c>
      <c r="S112" s="89">
        <f>'[1]OMM_Unit Matrix'!S112</f>
        <v>0</v>
      </c>
      <c r="T112" s="89">
        <f>'[1]OMM_Unit Matrix'!T112</f>
        <v>0</v>
      </c>
      <c r="U112" s="89">
        <f>'[1]OMM_Unit Matrix'!U112</f>
        <v>0</v>
      </c>
      <c r="V112" s="89">
        <f>'[1]OMM_Unit Matrix'!V112</f>
        <v>0</v>
      </c>
      <c r="W112" s="89">
        <f>'[1]OMM_Unit Matrix'!W112</f>
        <v>0</v>
      </c>
      <c r="X112" s="89">
        <f>'[1]OMM_Unit Matrix'!X112</f>
        <v>0</v>
      </c>
      <c r="Y112" s="89">
        <f>'[1]OMM_Unit Matrix'!Y112</f>
        <v>0</v>
      </c>
      <c r="Z112" s="89">
        <f>'[1]OMM_Unit Matrix'!Z112</f>
        <v>0</v>
      </c>
      <c r="AA112" s="89">
        <f>'[1]OMM_Unit Matrix'!AA112</f>
        <v>0</v>
      </c>
      <c r="AB112" s="89">
        <f>'[1]OMM_Unit Matrix'!AB112</f>
        <v>0</v>
      </c>
      <c r="AC112" s="89">
        <f>'[1]OMM_Unit Matrix'!AC112</f>
        <v>0</v>
      </c>
      <c r="AD112" s="89">
        <f>'[1]OMM_Unit Matrix'!AD112</f>
        <v>0</v>
      </c>
      <c r="AE112" s="89">
        <f>'[1]OMM_Unit Matrix'!AE112</f>
        <v>0</v>
      </c>
      <c r="AF112" s="89">
        <f>'[1]OMM_Unit Matrix'!AF112</f>
        <v>0</v>
      </c>
      <c r="AG112" s="89">
        <f>'[1]OMM_Unit Matrix'!AG112</f>
        <v>0</v>
      </c>
      <c r="AH112" s="89">
        <f>'[1]OMM_Unit Matrix'!AH112</f>
        <v>0</v>
      </c>
      <c r="AI112" s="89">
        <f>'[1]OMM_Unit Matrix'!AI112</f>
        <v>0</v>
      </c>
      <c r="AJ112" s="89">
        <f>'[1]OMM_Unit Matrix'!AJ112</f>
        <v>0</v>
      </c>
      <c r="AK112" s="89">
        <f>'[1]OMM_Unit Matrix'!AK112</f>
        <v>0</v>
      </c>
      <c r="AL112" s="89">
        <f>'[1]OMM_Unit Matrix'!AL112</f>
        <v>0</v>
      </c>
      <c r="AM112" s="89">
        <f>'[1]OMM_Unit Matrix'!AM112</f>
        <v>0</v>
      </c>
      <c r="AN112" s="89">
        <f>'[1]OMM_Unit Matrix'!AN112</f>
        <v>0</v>
      </c>
      <c r="AO112" s="89">
        <f>'[1]OMM_Unit Matrix'!AO112</f>
        <v>0</v>
      </c>
      <c r="AP112" s="89">
        <f>'[1]OMM_Unit Matrix'!AP112</f>
        <v>0</v>
      </c>
      <c r="AQ112" s="270">
        <f>'[1]OMM_Unit Matrix'!AQ112</f>
        <v>0</v>
      </c>
    </row>
    <row r="113" spans="2:43">
      <c r="B113" s="89">
        <f>'[1]OMM_Unit Matrix'!B113</f>
        <v>5</v>
      </c>
      <c r="C113" s="275">
        <f>'[1]OMM_Unit Matrix'!C113</f>
        <v>19</v>
      </c>
      <c r="D113" s="89">
        <f>'[1]OMM_Unit Matrix'!D113</f>
        <v>5019</v>
      </c>
      <c r="E113" s="89" t="str">
        <f>'[1]OMM_Unit Matrix'!E113</f>
        <v>NO</v>
      </c>
      <c r="F113" s="132" t="str">
        <f>'[1]OMM_Unit Matrix'!F113</f>
        <v>3B-06</v>
      </c>
      <c r="G113" s="89" t="str">
        <f>'[1]OMM_Unit Matrix'!G113</f>
        <v>ORDERED</v>
      </c>
      <c r="H113" s="89" t="str">
        <f>'[1]OMM_Unit Matrix'!H113</f>
        <v>YES</v>
      </c>
      <c r="I113" s="89">
        <f>'[1]OMM_Unit Matrix'!I113</f>
        <v>3</v>
      </c>
      <c r="J113" s="89" t="str">
        <f>'[1]OMM_Unit Matrix'!J113</f>
        <v>NO</v>
      </c>
      <c r="K113" s="89">
        <f>'[1]OMM_Unit Matrix'!K113</f>
        <v>0</v>
      </c>
      <c r="L113" s="89" t="str">
        <f>'[1]OMM_Unit Matrix'!L113</f>
        <v>NO</v>
      </c>
      <c r="M113" s="89">
        <f>'[1]OMM_Unit Matrix'!M113</f>
        <v>0</v>
      </c>
      <c r="N113" s="89" t="str">
        <f>'[1]OMM_Unit Matrix'!N113</f>
        <v>YES</v>
      </c>
      <c r="O113" s="89">
        <f>'[1]OMM_Unit Matrix'!O113</f>
        <v>3</v>
      </c>
      <c r="P113" s="89" t="str">
        <f>'[1]OMM_Unit Matrix'!P113</f>
        <v>NO</v>
      </c>
      <c r="Q113" s="89">
        <f>'[1]OMM_Unit Matrix'!Q113</f>
        <v>0</v>
      </c>
      <c r="R113" s="89" t="str">
        <f>'[1]OMM_Unit Matrix'!R113</f>
        <v>YES</v>
      </c>
      <c r="S113" s="89">
        <f>'[1]OMM_Unit Matrix'!S113</f>
        <v>3</v>
      </c>
      <c r="T113" s="89" t="str">
        <f>'[1]OMM_Unit Matrix'!T113</f>
        <v>NO</v>
      </c>
      <c r="U113" s="89">
        <f>'[1]OMM_Unit Matrix'!U113</f>
        <v>0</v>
      </c>
      <c r="V113" s="89" t="str">
        <f>'[1]OMM_Unit Matrix'!V113</f>
        <v>YES</v>
      </c>
      <c r="W113" s="89">
        <f>'[1]OMM_Unit Matrix'!W113</f>
        <v>3</v>
      </c>
      <c r="X113" s="89" t="str">
        <f>'[1]OMM_Unit Matrix'!X113</f>
        <v>NO</v>
      </c>
      <c r="Y113" s="89">
        <f>'[1]OMM_Unit Matrix'!Y113</f>
        <v>0</v>
      </c>
      <c r="Z113" s="89" t="str">
        <f>'[1]OMM_Unit Matrix'!Z113</f>
        <v>YES</v>
      </c>
      <c r="AA113" s="89">
        <f>'[1]OMM_Unit Matrix'!AA113</f>
        <v>3</v>
      </c>
      <c r="AB113" s="89" t="str">
        <f>'[1]OMM_Unit Matrix'!AB113</f>
        <v>YES</v>
      </c>
      <c r="AC113" s="89">
        <f>'[1]OMM_Unit Matrix'!AC113</f>
        <v>3</v>
      </c>
      <c r="AD113" s="89" t="str">
        <f>'[1]OMM_Unit Matrix'!AD113</f>
        <v>YES</v>
      </c>
      <c r="AE113" s="89">
        <f>'[1]OMM_Unit Matrix'!AE113</f>
        <v>3</v>
      </c>
      <c r="AF113" s="89" t="str">
        <f>'[1]OMM_Unit Matrix'!AF113</f>
        <v>YES</v>
      </c>
      <c r="AG113" s="89">
        <f>'[1]OMM_Unit Matrix'!AG113</f>
        <v>3</v>
      </c>
      <c r="AH113" s="89" t="str">
        <f>'[1]OMM_Unit Matrix'!AH113</f>
        <v>NO</v>
      </c>
      <c r="AI113" s="89">
        <f>'[1]OMM_Unit Matrix'!AI113</f>
        <v>0</v>
      </c>
      <c r="AJ113" s="89" t="str">
        <f>'[1]OMM_Unit Matrix'!AJ113</f>
        <v>NO</v>
      </c>
      <c r="AK113" s="89">
        <f>'[1]OMM_Unit Matrix'!AK113</f>
        <v>0</v>
      </c>
      <c r="AL113" s="89" t="str">
        <f>'[1]OMM_Unit Matrix'!AL113</f>
        <v>YES</v>
      </c>
      <c r="AM113" s="89">
        <f>'[1]OMM_Unit Matrix'!AM113</f>
        <v>3</v>
      </c>
      <c r="AN113" s="89" t="str">
        <f>'[1]OMM_Unit Matrix'!AN113</f>
        <v>YES</v>
      </c>
      <c r="AO113" s="89">
        <f>'[1]OMM_Unit Matrix'!AO113</f>
        <v>3</v>
      </c>
      <c r="AP113" s="89" t="str">
        <f>'[1]OMM_Unit Matrix'!AP113</f>
        <v>NO</v>
      </c>
      <c r="AQ113" s="270">
        <f>'[1]OMM_Unit Matrix'!AQ113</f>
        <v>0</v>
      </c>
    </row>
    <row r="114" spans="2:43">
      <c r="B114" s="89">
        <f>'[1]OMM_Unit Matrix'!B114</f>
        <v>5</v>
      </c>
      <c r="C114" s="275">
        <f>'[1]OMM_Unit Matrix'!C114</f>
        <v>20</v>
      </c>
      <c r="D114" s="89">
        <f>'[1]OMM_Unit Matrix'!D114</f>
        <v>5020</v>
      </c>
      <c r="E114" s="89" t="str">
        <f>'[1]OMM_Unit Matrix'!E114</f>
        <v>NO</v>
      </c>
      <c r="F114" s="132" t="str">
        <f>'[1]OMM_Unit Matrix'!F114</f>
        <v>1B-06</v>
      </c>
      <c r="G114" s="89" t="str">
        <f>'[1]OMM_Unit Matrix'!G114</f>
        <v>ORDERED</v>
      </c>
      <c r="H114" s="89" t="str">
        <f>'[1]OMM_Unit Matrix'!H114</f>
        <v>YES</v>
      </c>
      <c r="I114" s="89">
        <f>'[1]OMM_Unit Matrix'!I114</f>
        <v>4</v>
      </c>
      <c r="J114" s="89" t="str">
        <f>'[1]OMM_Unit Matrix'!J114</f>
        <v>NO</v>
      </c>
      <c r="K114" s="89">
        <f>'[1]OMM_Unit Matrix'!K114</f>
        <v>0</v>
      </c>
      <c r="L114" s="89" t="str">
        <f>'[1]OMM_Unit Matrix'!L114</f>
        <v>NO</v>
      </c>
      <c r="M114" s="89">
        <f>'[1]OMM_Unit Matrix'!M114</f>
        <v>0</v>
      </c>
      <c r="N114" s="89" t="str">
        <f>'[1]OMM_Unit Matrix'!N114</f>
        <v>YES</v>
      </c>
      <c r="O114" s="89">
        <f>'[1]OMM_Unit Matrix'!O114</f>
        <v>4</v>
      </c>
      <c r="P114" s="89" t="str">
        <f>'[1]OMM_Unit Matrix'!P114</f>
        <v>NO</v>
      </c>
      <c r="Q114" s="89">
        <f>'[1]OMM_Unit Matrix'!Q114</f>
        <v>0</v>
      </c>
      <c r="R114" s="89" t="str">
        <f>'[1]OMM_Unit Matrix'!R114</f>
        <v>NO</v>
      </c>
      <c r="S114" s="89">
        <f>'[1]OMM_Unit Matrix'!S114</f>
        <v>0</v>
      </c>
      <c r="T114" s="89" t="str">
        <f>'[1]OMM_Unit Matrix'!T114</f>
        <v>NO</v>
      </c>
      <c r="U114" s="89">
        <f>'[1]OMM_Unit Matrix'!U114</f>
        <v>0</v>
      </c>
      <c r="V114" s="89" t="str">
        <f>'[1]OMM_Unit Matrix'!V114</f>
        <v>YES</v>
      </c>
      <c r="W114" s="89">
        <f>'[1]OMM_Unit Matrix'!W114</f>
        <v>4</v>
      </c>
      <c r="X114" s="89" t="str">
        <f>'[1]OMM_Unit Matrix'!X114</f>
        <v>NO</v>
      </c>
      <c r="Y114" s="89">
        <f>'[1]OMM_Unit Matrix'!Y114</f>
        <v>0</v>
      </c>
      <c r="Z114" s="89" t="str">
        <f>'[1]OMM_Unit Matrix'!Z114</f>
        <v>NO</v>
      </c>
      <c r="AA114" s="89">
        <f>'[1]OMM_Unit Matrix'!AA114</f>
        <v>0</v>
      </c>
      <c r="AB114" s="89" t="str">
        <f>'[1]OMM_Unit Matrix'!AB114</f>
        <v>YES</v>
      </c>
      <c r="AC114" s="89">
        <f>'[1]OMM_Unit Matrix'!AC114</f>
        <v>4</v>
      </c>
      <c r="AD114" s="89" t="str">
        <f>'[1]OMM_Unit Matrix'!AD114</f>
        <v>NO</v>
      </c>
      <c r="AE114" s="89">
        <f>'[1]OMM_Unit Matrix'!AE114</f>
        <v>0</v>
      </c>
      <c r="AF114" s="89" t="str">
        <f>'[1]OMM_Unit Matrix'!AF114</f>
        <v>NO</v>
      </c>
      <c r="AG114" s="89">
        <f>'[1]OMM_Unit Matrix'!AG114</f>
        <v>0</v>
      </c>
      <c r="AH114" s="89" t="str">
        <f>'[1]OMM_Unit Matrix'!AH114</f>
        <v>NO</v>
      </c>
      <c r="AI114" s="89">
        <f>'[1]OMM_Unit Matrix'!AI114</f>
        <v>0</v>
      </c>
      <c r="AJ114" s="89" t="str">
        <f>'[1]OMM_Unit Matrix'!AJ114</f>
        <v>NO</v>
      </c>
      <c r="AK114" s="89">
        <f>'[1]OMM_Unit Matrix'!AK114</f>
        <v>0</v>
      </c>
      <c r="AL114" s="89" t="str">
        <f>'[1]OMM_Unit Matrix'!AL114</f>
        <v>NO</v>
      </c>
      <c r="AM114" s="89">
        <f>'[1]OMM_Unit Matrix'!AM114</f>
        <v>0</v>
      </c>
      <c r="AN114" s="89" t="str">
        <f>'[1]OMM_Unit Matrix'!AN114</f>
        <v>NO</v>
      </c>
      <c r="AO114" s="89">
        <f>'[1]OMM_Unit Matrix'!AO114</f>
        <v>0</v>
      </c>
      <c r="AP114" s="89" t="str">
        <f>'[1]OMM_Unit Matrix'!AP114</f>
        <v>NO</v>
      </c>
      <c r="AQ114" s="270">
        <f>'[1]OMM_Unit Matrix'!AQ114</f>
        <v>0</v>
      </c>
    </row>
    <row r="115" spans="2:43">
      <c r="B115" s="89">
        <f>'[1]OMM_Unit Matrix'!B115</f>
        <v>5</v>
      </c>
      <c r="C115" s="275">
        <f>'[1]OMM_Unit Matrix'!C115</f>
        <v>21</v>
      </c>
      <c r="D115" s="89">
        <f>'[1]OMM_Unit Matrix'!D115</f>
        <v>5021</v>
      </c>
      <c r="E115" s="89" t="str">
        <f>'[1]OMM_Unit Matrix'!E115</f>
        <v>NO</v>
      </c>
      <c r="F115" s="132" t="str">
        <f>'[1]OMM_Unit Matrix'!F115</f>
        <v>2B-06</v>
      </c>
      <c r="G115" s="89" t="str">
        <f>'[1]OMM_Unit Matrix'!G115</f>
        <v>ORDERED</v>
      </c>
      <c r="H115" s="89" t="str">
        <f>'[1]OMM_Unit Matrix'!H115</f>
        <v>YES</v>
      </c>
      <c r="I115" s="89">
        <f>'[1]OMM_Unit Matrix'!I115</f>
        <v>4</v>
      </c>
      <c r="J115" s="89" t="str">
        <f>'[1]OMM_Unit Matrix'!J115</f>
        <v>NO</v>
      </c>
      <c r="K115" s="89">
        <f>'[1]OMM_Unit Matrix'!K115</f>
        <v>0</v>
      </c>
      <c r="L115" s="89" t="str">
        <f>'[1]OMM_Unit Matrix'!L115</f>
        <v>YES</v>
      </c>
      <c r="M115" s="89">
        <f>'[1]OMM_Unit Matrix'!M115</f>
        <v>4</v>
      </c>
      <c r="N115" s="89" t="str">
        <f>'[1]OMM_Unit Matrix'!N115</f>
        <v>YES</v>
      </c>
      <c r="O115" s="89">
        <f>'[1]OMM_Unit Matrix'!O115</f>
        <v>4</v>
      </c>
      <c r="P115" s="89" t="str">
        <f>'[1]OMM_Unit Matrix'!P115</f>
        <v>NO</v>
      </c>
      <c r="Q115" s="89">
        <f>'[1]OMM_Unit Matrix'!Q115</f>
        <v>0</v>
      </c>
      <c r="R115" s="89" t="str">
        <f>'[1]OMM_Unit Matrix'!R115</f>
        <v>NO</v>
      </c>
      <c r="S115" s="89">
        <f>'[1]OMM_Unit Matrix'!S115</f>
        <v>0</v>
      </c>
      <c r="T115" s="89" t="str">
        <f>'[1]OMM_Unit Matrix'!T115</f>
        <v>NO</v>
      </c>
      <c r="U115" s="89">
        <f>'[1]OMM_Unit Matrix'!U115</f>
        <v>0</v>
      </c>
      <c r="V115" s="89" t="str">
        <f>'[1]OMM_Unit Matrix'!V115</f>
        <v>YES</v>
      </c>
      <c r="W115" s="89">
        <f>'[1]OMM_Unit Matrix'!W115</f>
        <v>4</v>
      </c>
      <c r="X115" s="89" t="str">
        <f>'[1]OMM_Unit Matrix'!X115</f>
        <v>NO</v>
      </c>
      <c r="Y115" s="89">
        <f>'[1]OMM_Unit Matrix'!Y115</f>
        <v>0</v>
      </c>
      <c r="Z115" s="89" t="str">
        <f>'[1]OMM_Unit Matrix'!Z115</f>
        <v>NO</v>
      </c>
      <c r="AA115" s="89">
        <f>'[1]OMM_Unit Matrix'!AA115</f>
        <v>0</v>
      </c>
      <c r="AB115" s="89" t="str">
        <f>'[1]OMM_Unit Matrix'!AB115</f>
        <v>YES</v>
      </c>
      <c r="AC115" s="89">
        <f>'[1]OMM_Unit Matrix'!AC115</f>
        <v>4</v>
      </c>
      <c r="AD115" s="89" t="str">
        <f>'[1]OMM_Unit Matrix'!AD115</f>
        <v>YES</v>
      </c>
      <c r="AE115" s="89">
        <f>'[1]OMM_Unit Matrix'!AE115</f>
        <v>4</v>
      </c>
      <c r="AF115" s="89" t="str">
        <f>'[1]OMM_Unit Matrix'!AF115</f>
        <v>NO</v>
      </c>
      <c r="AG115" s="89">
        <f>'[1]OMM_Unit Matrix'!AG115</f>
        <v>0</v>
      </c>
      <c r="AH115" s="89" t="str">
        <f>'[1]OMM_Unit Matrix'!AH115</f>
        <v>NO</v>
      </c>
      <c r="AI115" s="89">
        <f>'[1]OMM_Unit Matrix'!AI115</f>
        <v>0</v>
      </c>
      <c r="AJ115" s="89" t="str">
        <f>'[1]OMM_Unit Matrix'!AJ115</f>
        <v>NO</v>
      </c>
      <c r="AK115" s="89">
        <f>'[1]OMM_Unit Matrix'!AK115</f>
        <v>0</v>
      </c>
      <c r="AL115" s="89" t="str">
        <f>'[1]OMM_Unit Matrix'!AL115</f>
        <v>NO</v>
      </c>
      <c r="AM115" s="89">
        <f>'[1]OMM_Unit Matrix'!AM115</f>
        <v>0</v>
      </c>
      <c r="AN115" s="89" t="str">
        <f>'[1]OMM_Unit Matrix'!AN115</f>
        <v>NO</v>
      </c>
      <c r="AO115" s="89">
        <f>'[1]OMM_Unit Matrix'!AO115</f>
        <v>0</v>
      </c>
      <c r="AP115" s="89" t="str">
        <f>'[1]OMM_Unit Matrix'!AP115</f>
        <v>NO</v>
      </c>
      <c r="AQ115" s="270">
        <f>'[1]OMM_Unit Matrix'!AQ115</f>
        <v>0</v>
      </c>
    </row>
    <row r="116" spans="2:43" hidden="1">
      <c r="B116" s="89">
        <f>'[1]OMM_Unit Matrix'!B116</f>
        <v>5</v>
      </c>
      <c r="C116" s="275">
        <f>'[1]OMM_Unit Matrix'!C116</f>
        <v>22</v>
      </c>
      <c r="D116" s="89">
        <f>'[1]OMM_Unit Matrix'!D116</f>
        <v>5022</v>
      </c>
      <c r="E116" s="89">
        <f>'[1]OMM_Unit Matrix'!E116</f>
        <v>0</v>
      </c>
      <c r="F116" s="89">
        <f>'[1]OMM_Unit Matrix'!F116</f>
        <v>0</v>
      </c>
      <c r="G116" s="89" t="str">
        <f>'[1]OMM_Unit Matrix'!G116</f>
        <v>NOT IN SCOPE</v>
      </c>
      <c r="H116" s="89">
        <f>'[1]OMM_Unit Matrix'!H116</f>
        <v>0</v>
      </c>
      <c r="I116" s="89">
        <f>'[1]OMM_Unit Matrix'!I116</f>
        <v>0</v>
      </c>
      <c r="J116" s="89">
        <f>'[1]OMM_Unit Matrix'!J116</f>
        <v>0</v>
      </c>
      <c r="K116" s="89">
        <f>'[1]OMM_Unit Matrix'!K116</f>
        <v>0</v>
      </c>
      <c r="L116" s="89">
        <f>'[1]OMM_Unit Matrix'!L116</f>
        <v>0</v>
      </c>
      <c r="M116" s="89">
        <f>'[1]OMM_Unit Matrix'!M116</f>
        <v>0</v>
      </c>
      <c r="N116" s="89">
        <f>'[1]OMM_Unit Matrix'!N116</f>
        <v>0</v>
      </c>
      <c r="O116" s="89">
        <f>'[1]OMM_Unit Matrix'!O116</f>
        <v>0</v>
      </c>
      <c r="P116" s="89">
        <f>'[1]OMM_Unit Matrix'!P116</f>
        <v>0</v>
      </c>
      <c r="Q116" s="89">
        <f>'[1]OMM_Unit Matrix'!Q116</f>
        <v>0</v>
      </c>
      <c r="R116" s="89">
        <f>'[1]OMM_Unit Matrix'!R116</f>
        <v>0</v>
      </c>
      <c r="S116" s="89">
        <f>'[1]OMM_Unit Matrix'!S116</f>
        <v>0</v>
      </c>
      <c r="T116" s="89">
        <f>'[1]OMM_Unit Matrix'!T116</f>
        <v>0</v>
      </c>
      <c r="U116" s="89">
        <f>'[1]OMM_Unit Matrix'!U116</f>
        <v>0</v>
      </c>
      <c r="V116" s="89">
        <f>'[1]OMM_Unit Matrix'!V116</f>
        <v>0</v>
      </c>
      <c r="W116" s="89">
        <f>'[1]OMM_Unit Matrix'!W116</f>
        <v>0</v>
      </c>
      <c r="X116" s="89">
        <f>'[1]OMM_Unit Matrix'!X116</f>
        <v>0</v>
      </c>
      <c r="Y116" s="89">
        <f>'[1]OMM_Unit Matrix'!Y116</f>
        <v>0</v>
      </c>
      <c r="Z116" s="89">
        <f>'[1]OMM_Unit Matrix'!Z116</f>
        <v>0</v>
      </c>
      <c r="AA116" s="89">
        <f>'[1]OMM_Unit Matrix'!AA116</f>
        <v>0</v>
      </c>
      <c r="AB116" s="89">
        <f>'[1]OMM_Unit Matrix'!AB116</f>
        <v>0</v>
      </c>
      <c r="AC116" s="89">
        <f>'[1]OMM_Unit Matrix'!AC116</f>
        <v>0</v>
      </c>
      <c r="AD116" s="89">
        <f>'[1]OMM_Unit Matrix'!AD116</f>
        <v>0</v>
      </c>
      <c r="AE116" s="89">
        <f>'[1]OMM_Unit Matrix'!AE116</f>
        <v>0</v>
      </c>
      <c r="AF116" s="89">
        <f>'[1]OMM_Unit Matrix'!AF116</f>
        <v>0</v>
      </c>
      <c r="AG116" s="89">
        <f>'[1]OMM_Unit Matrix'!AG116</f>
        <v>0</v>
      </c>
      <c r="AH116" s="89">
        <f>'[1]OMM_Unit Matrix'!AH116</f>
        <v>0</v>
      </c>
      <c r="AI116" s="89">
        <f>'[1]OMM_Unit Matrix'!AI116</f>
        <v>0</v>
      </c>
      <c r="AJ116" s="89">
        <f>'[1]OMM_Unit Matrix'!AJ116</f>
        <v>0</v>
      </c>
      <c r="AK116" s="89">
        <f>'[1]OMM_Unit Matrix'!AK116</f>
        <v>0</v>
      </c>
      <c r="AL116" s="89">
        <f>'[1]OMM_Unit Matrix'!AL116</f>
        <v>0</v>
      </c>
      <c r="AM116" s="89">
        <f>'[1]OMM_Unit Matrix'!AM116</f>
        <v>0</v>
      </c>
      <c r="AN116" s="89">
        <f>'[1]OMM_Unit Matrix'!AN116</f>
        <v>0</v>
      </c>
      <c r="AO116" s="89">
        <f>'[1]OMM_Unit Matrix'!AO116</f>
        <v>0</v>
      </c>
      <c r="AP116" s="89">
        <f>'[1]OMM_Unit Matrix'!AP116</f>
        <v>0</v>
      </c>
      <c r="AQ116" s="270">
        <f>'[1]OMM_Unit Matrix'!AQ116</f>
        <v>0</v>
      </c>
    </row>
    <row r="117" spans="2:43" hidden="1">
      <c r="B117" s="89">
        <f>'[1]OMM_Unit Matrix'!B117</f>
        <v>5</v>
      </c>
      <c r="C117" s="275">
        <f>'[1]OMM_Unit Matrix'!C117</f>
        <v>23</v>
      </c>
      <c r="D117" s="89">
        <f>'[1]OMM_Unit Matrix'!D117</f>
        <v>5023</v>
      </c>
      <c r="E117" s="89">
        <f>'[1]OMM_Unit Matrix'!E117</f>
        <v>0</v>
      </c>
      <c r="F117" s="89">
        <f>'[1]OMM_Unit Matrix'!F117</f>
        <v>0</v>
      </c>
      <c r="G117" s="89" t="str">
        <f>'[1]OMM_Unit Matrix'!G117</f>
        <v>NOT IN SCOPE</v>
      </c>
      <c r="H117" s="89">
        <f>'[1]OMM_Unit Matrix'!H117</f>
        <v>0</v>
      </c>
      <c r="I117" s="89">
        <f>'[1]OMM_Unit Matrix'!I117</f>
        <v>0</v>
      </c>
      <c r="J117" s="89">
        <f>'[1]OMM_Unit Matrix'!J117</f>
        <v>0</v>
      </c>
      <c r="K117" s="89">
        <f>'[1]OMM_Unit Matrix'!K117</f>
        <v>0</v>
      </c>
      <c r="L117" s="89">
        <f>'[1]OMM_Unit Matrix'!L117</f>
        <v>0</v>
      </c>
      <c r="M117" s="89">
        <f>'[1]OMM_Unit Matrix'!M117</f>
        <v>0</v>
      </c>
      <c r="N117" s="89">
        <f>'[1]OMM_Unit Matrix'!N117</f>
        <v>0</v>
      </c>
      <c r="O117" s="89">
        <f>'[1]OMM_Unit Matrix'!O117</f>
        <v>0</v>
      </c>
      <c r="P117" s="89">
        <f>'[1]OMM_Unit Matrix'!P117</f>
        <v>0</v>
      </c>
      <c r="Q117" s="89">
        <f>'[1]OMM_Unit Matrix'!Q117</f>
        <v>0</v>
      </c>
      <c r="R117" s="89">
        <f>'[1]OMM_Unit Matrix'!R117</f>
        <v>0</v>
      </c>
      <c r="S117" s="89">
        <f>'[1]OMM_Unit Matrix'!S117</f>
        <v>0</v>
      </c>
      <c r="T117" s="89">
        <f>'[1]OMM_Unit Matrix'!T117</f>
        <v>0</v>
      </c>
      <c r="U117" s="89">
        <f>'[1]OMM_Unit Matrix'!U117</f>
        <v>0</v>
      </c>
      <c r="V117" s="89">
        <f>'[1]OMM_Unit Matrix'!V117</f>
        <v>0</v>
      </c>
      <c r="W117" s="89">
        <f>'[1]OMM_Unit Matrix'!W117</f>
        <v>0</v>
      </c>
      <c r="X117" s="89">
        <f>'[1]OMM_Unit Matrix'!X117</f>
        <v>0</v>
      </c>
      <c r="Y117" s="89">
        <f>'[1]OMM_Unit Matrix'!Y117</f>
        <v>0</v>
      </c>
      <c r="Z117" s="89">
        <f>'[1]OMM_Unit Matrix'!Z117</f>
        <v>0</v>
      </c>
      <c r="AA117" s="89">
        <f>'[1]OMM_Unit Matrix'!AA117</f>
        <v>0</v>
      </c>
      <c r="AB117" s="89">
        <f>'[1]OMM_Unit Matrix'!AB117</f>
        <v>0</v>
      </c>
      <c r="AC117" s="89">
        <f>'[1]OMM_Unit Matrix'!AC117</f>
        <v>0</v>
      </c>
      <c r="AD117" s="89">
        <f>'[1]OMM_Unit Matrix'!AD117</f>
        <v>0</v>
      </c>
      <c r="AE117" s="89">
        <f>'[1]OMM_Unit Matrix'!AE117</f>
        <v>0</v>
      </c>
      <c r="AF117" s="89">
        <f>'[1]OMM_Unit Matrix'!AF117</f>
        <v>0</v>
      </c>
      <c r="AG117" s="89">
        <f>'[1]OMM_Unit Matrix'!AG117</f>
        <v>0</v>
      </c>
      <c r="AH117" s="89">
        <f>'[1]OMM_Unit Matrix'!AH117</f>
        <v>0</v>
      </c>
      <c r="AI117" s="89">
        <f>'[1]OMM_Unit Matrix'!AI117</f>
        <v>0</v>
      </c>
      <c r="AJ117" s="89">
        <f>'[1]OMM_Unit Matrix'!AJ117</f>
        <v>0</v>
      </c>
      <c r="AK117" s="89">
        <f>'[1]OMM_Unit Matrix'!AK117</f>
        <v>0</v>
      </c>
      <c r="AL117" s="89">
        <f>'[1]OMM_Unit Matrix'!AL117</f>
        <v>0</v>
      </c>
      <c r="AM117" s="89">
        <f>'[1]OMM_Unit Matrix'!AM117</f>
        <v>0</v>
      </c>
      <c r="AN117" s="89">
        <f>'[1]OMM_Unit Matrix'!AN117</f>
        <v>0</v>
      </c>
      <c r="AO117" s="89">
        <f>'[1]OMM_Unit Matrix'!AO117</f>
        <v>0</v>
      </c>
      <c r="AP117" s="89">
        <f>'[1]OMM_Unit Matrix'!AP117</f>
        <v>0</v>
      </c>
      <c r="AQ117" s="270">
        <f>'[1]OMM_Unit Matrix'!AQ117</f>
        <v>0</v>
      </c>
    </row>
    <row r="118" spans="2:43" hidden="1">
      <c r="B118" s="89">
        <f>'[1]OMM_Unit Matrix'!B118</f>
        <v>5</v>
      </c>
      <c r="C118" s="275">
        <f>'[1]OMM_Unit Matrix'!C118</f>
        <v>24</v>
      </c>
      <c r="D118" s="89">
        <f>'[1]OMM_Unit Matrix'!D118</f>
        <v>5024</v>
      </c>
      <c r="E118" s="89">
        <f>'[1]OMM_Unit Matrix'!E118</f>
        <v>0</v>
      </c>
      <c r="F118" s="89">
        <f>'[1]OMM_Unit Matrix'!F118</f>
        <v>0</v>
      </c>
      <c r="G118" s="89" t="str">
        <f>'[1]OMM_Unit Matrix'!G118</f>
        <v>NOT IN SCOPE</v>
      </c>
      <c r="H118" s="89">
        <f>'[1]OMM_Unit Matrix'!H118</f>
        <v>0</v>
      </c>
      <c r="I118" s="89">
        <f>'[1]OMM_Unit Matrix'!I118</f>
        <v>0</v>
      </c>
      <c r="J118" s="89">
        <f>'[1]OMM_Unit Matrix'!J118</f>
        <v>0</v>
      </c>
      <c r="K118" s="89">
        <f>'[1]OMM_Unit Matrix'!K118</f>
        <v>0</v>
      </c>
      <c r="L118" s="89">
        <f>'[1]OMM_Unit Matrix'!L118</f>
        <v>0</v>
      </c>
      <c r="M118" s="89">
        <f>'[1]OMM_Unit Matrix'!M118</f>
        <v>0</v>
      </c>
      <c r="N118" s="89">
        <f>'[1]OMM_Unit Matrix'!N118</f>
        <v>0</v>
      </c>
      <c r="O118" s="89">
        <f>'[1]OMM_Unit Matrix'!O118</f>
        <v>0</v>
      </c>
      <c r="P118" s="89">
        <f>'[1]OMM_Unit Matrix'!P118</f>
        <v>0</v>
      </c>
      <c r="Q118" s="89">
        <f>'[1]OMM_Unit Matrix'!Q118</f>
        <v>0</v>
      </c>
      <c r="R118" s="89">
        <f>'[1]OMM_Unit Matrix'!R118</f>
        <v>0</v>
      </c>
      <c r="S118" s="89">
        <f>'[1]OMM_Unit Matrix'!S118</f>
        <v>0</v>
      </c>
      <c r="T118" s="89">
        <f>'[1]OMM_Unit Matrix'!T118</f>
        <v>0</v>
      </c>
      <c r="U118" s="89">
        <f>'[1]OMM_Unit Matrix'!U118</f>
        <v>0</v>
      </c>
      <c r="V118" s="89">
        <f>'[1]OMM_Unit Matrix'!V118</f>
        <v>0</v>
      </c>
      <c r="W118" s="89">
        <f>'[1]OMM_Unit Matrix'!W118</f>
        <v>0</v>
      </c>
      <c r="X118" s="89">
        <f>'[1]OMM_Unit Matrix'!X118</f>
        <v>0</v>
      </c>
      <c r="Y118" s="89">
        <f>'[1]OMM_Unit Matrix'!Y118</f>
        <v>0</v>
      </c>
      <c r="Z118" s="89">
        <f>'[1]OMM_Unit Matrix'!Z118</f>
        <v>0</v>
      </c>
      <c r="AA118" s="89">
        <f>'[1]OMM_Unit Matrix'!AA118</f>
        <v>0</v>
      </c>
      <c r="AB118" s="89">
        <f>'[1]OMM_Unit Matrix'!AB118</f>
        <v>0</v>
      </c>
      <c r="AC118" s="89">
        <f>'[1]OMM_Unit Matrix'!AC118</f>
        <v>0</v>
      </c>
      <c r="AD118" s="89">
        <f>'[1]OMM_Unit Matrix'!AD118</f>
        <v>0</v>
      </c>
      <c r="AE118" s="89">
        <f>'[1]OMM_Unit Matrix'!AE118</f>
        <v>0</v>
      </c>
      <c r="AF118" s="89">
        <f>'[1]OMM_Unit Matrix'!AF118</f>
        <v>0</v>
      </c>
      <c r="AG118" s="89">
        <f>'[1]OMM_Unit Matrix'!AG118</f>
        <v>0</v>
      </c>
      <c r="AH118" s="89">
        <f>'[1]OMM_Unit Matrix'!AH118</f>
        <v>0</v>
      </c>
      <c r="AI118" s="89">
        <f>'[1]OMM_Unit Matrix'!AI118</f>
        <v>0</v>
      </c>
      <c r="AJ118" s="89">
        <f>'[1]OMM_Unit Matrix'!AJ118</f>
        <v>0</v>
      </c>
      <c r="AK118" s="89">
        <f>'[1]OMM_Unit Matrix'!AK118</f>
        <v>0</v>
      </c>
      <c r="AL118" s="89">
        <f>'[1]OMM_Unit Matrix'!AL118</f>
        <v>0</v>
      </c>
      <c r="AM118" s="89">
        <f>'[1]OMM_Unit Matrix'!AM118</f>
        <v>0</v>
      </c>
      <c r="AN118" s="89">
        <f>'[1]OMM_Unit Matrix'!AN118</f>
        <v>0</v>
      </c>
      <c r="AO118" s="89">
        <f>'[1]OMM_Unit Matrix'!AO118</f>
        <v>0</v>
      </c>
      <c r="AP118" s="89">
        <f>'[1]OMM_Unit Matrix'!AP118</f>
        <v>0</v>
      </c>
      <c r="AQ118" s="270">
        <f>'[1]OMM_Unit Matrix'!AQ118</f>
        <v>0</v>
      </c>
    </row>
    <row r="119" spans="2:43">
      <c r="B119" s="89">
        <f>'[1]OMM_Unit Matrix'!B119</f>
        <v>5</v>
      </c>
      <c r="C119" s="275">
        <f>'[1]OMM_Unit Matrix'!C119</f>
        <v>25</v>
      </c>
      <c r="D119" s="89">
        <f>'[1]OMM_Unit Matrix'!D119</f>
        <v>5025</v>
      </c>
      <c r="E119" s="89" t="str">
        <f>'[1]OMM_Unit Matrix'!E119</f>
        <v>NO</v>
      </c>
      <c r="F119" s="132" t="str">
        <f>'[1]OMM_Unit Matrix'!F119</f>
        <v>2B-09</v>
      </c>
      <c r="G119" s="89" t="str">
        <f>'[1]OMM_Unit Matrix'!G119</f>
        <v>ORDERED</v>
      </c>
      <c r="H119" s="89" t="str">
        <f>'[1]OMM_Unit Matrix'!H119</f>
        <v>YES</v>
      </c>
      <c r="I119" s="89">
        <f>'[1]OMM_Unit Matrix'!I119</f>
        <v>4</v>
      </c>
      <c r="J119" s="89" t="str">
        <f>'[1]OMM_Unit Matrix'!J119</f>
        <v>NO</v>
      </c>
      <c r="K119" s="89">
        <f>'[1]OMM_Unit Matrix'!K119</f>
        <v>0</v>
      </c>
      <c r="L119" s="89" t="str">
        <f>'[1]OMM_Unit Matrix'!L119</f>
        <v>NO</v>
      </c>
      <c r="M119" s="89">
        <f>'[1]OMM_Unit Matrix'!M119</f>
        <v>0</v>
      </c>
      <c r="N119" s="89" t="str">
        <f>'[1]OMM_Unit Matrix'!N119</f>
        <v>YES</v>
      </c>
      <c r="O119" s="89">
        <f>'[1]OMM_Unit Matrix'!O119</f>
        <v>4</v>
      </c>
      <c r="P119" s="89" t="str">
        <f>'[1]OMM_Unit Matrix'!P119</f>
        <v>NO</v>
      </c>
      <c r="Q119" s="89">
        <f>'[1]OMM_Unit Matrix'!Q119</f>
        <v>0</v>
      </c>
      <c r="R119" s="89" t="str">
        <f>'[1]OMM_Unit Matrix'!R119</f>
        <v>NO</v>
      </c>
      <c r="S119" s="89">
        <f>'[1]OMM_Unit Matrix'!S119</f>
        <v>0</v>
      </c>
      <c r="T119" s="89" t="str">
        <f>'[1]OMM_Unit Matrix'!T119</f>
        <v>NO</v>
      </c>
      <c r="U119" s="89">
        <f>'[1]OMM_Unit Matrix'!U119</f>
        <v>0</v>
      </c>
      <c r="V119" s="89" t="str">
        <f>'[1]OMM_Unit Matrix'!V119</f>
        <v>YES</v>
      </c>
      <c r="W119" s="89">
        <f>'[1]OMM_Unit Matrix'!W119</f>
        <v>4</v>
      </c>
      <c r="X119" s="89" t="str">
        <f>'[1]OMM_Unit Matrix'!X119</f>
        <v>NO</v>
      </c>
      <c r="Y119" s="89">
        <f>'[1]OMM_Unit Matrix'!Y119</f>
        <v>0</v>
      </c>
      <c r="Z119" s="89" t="str">
        <f>'[1]OMM_Unit Matrix'!Z119</f>
        <v>NO</v>
      </c>
      <c r="AA119" s="89">
        <f>'[1]OMM_Unit Matrix'!AA119</f>
        <v>0</v>
      </c>
      <c r="AB119" s="89" t="str">
        <f>'[1]OMM_Unit Matrix'!AB119</f>
        <v>YES</v>
      </c>
      <c r="AC119" s="89">
        <f>'[1]OMM_Unit Matrix'!AC119</f>
        <v>4</v>
      </c>
      <c r="AD119" s="89" t="str">
        <f>'[1]OMM_Unit Matrix'!AD119</f>
        <v>YES</v>
      </c>
      <c r="AE119" s="89">
        <f>'[1]OMM_Unit Matrix'!AE119</f>
        <v>4</v>
      </c>
      <c r="AF119" s="89" t="str">
        <f>'[1]OMM_Unit Matrix'!AF119</f>
        <v>NO</v>
      </c>
      <c r="AG119" s="89">
        <f>'[1]OMM_Unit Matrix'!AG119</f>
        <v>0</v>
      </c>
      <c r="AH119" s="89" t="str">
        <f>'[1]OMM_Unit Matrix'!AH119</f>
        <v>NO</v>
      </c>
      <c r="AI119" s="89">
        <f>'[1]OMM_Unit Matrix'!AI119</f>
        <v>0</v>
      </c>
      <c r="AJ119" s="89" t="str">
        <f>'[1]OMM_Unit Matrix'!AJ119</f>
        <v>NO</v>
      </c>
      <c r="AK119" s="89">
        <f>'[1]OMM_Unit Matrix'!AK119</f>
        <v>0</v>
      </c>
      <c r="AL119" s="89" t="str">
        <f>'[1]OMM_Unit Matrix'!AL119</f>
        <v>YES</v>
      </c>
      <c r="AM119" s="89">
        <f>'[1]OMM_Unit Matrix'!AM119</f>
        <v>4</v>
      </c>
      <c r="AN119" s="89" t="str">
        <f>'[1]OMM_Unit Matrix'!AN119</f>
        <v>NO</v>
      </c>
      <c r="AO119" s="89">
        <f>'[1]OMM_Unit Matrix'!AO119</f>
        <v>0</v>
      </c>
      <c r="AP119" s="89" t="str">
        <f>'[1]OMM_Unit Matrix'!AP119</f>
        <v>NO</v>
      </c>
      <c r="AQ119" s="270">
        <f>'[1]OMM_Unit Matrix'!AQ119</f>
        <v>0</v>
      </c>
    </row>
    <row r="120" spans="2:43" hidden="1">
      <c r="B120" s="89">
        <f>'[1]OMM_Unit Matrix'!B120</f>
        <v>5</v>
      </c>
      <c r="C120" s="275">
        <f>'[1]OMM_Unit Matrix'!C120</f>
        <v>26</v>
      </c>
      <c r="D120" s="89">
        <f>'[1]OMM_Unit Matrix'!D120</f>
        <v>5026</v>
      </c>
      <c r="E120" s="89">
        <f>'[1]OMM_Unit Matrix'!E120</f>
        <v>0</v>
      </c>
      <c r="F120" s="89">
        <f>'[1]OMM_Unit Matrix'!F120</f>
        <v>0</v>
      </c>
      <c r="G120" s="89" t="str">
        <f>'[1]OMM_Unit Matrix'!G120</f>
        <v>NOT IN SCOPE</v>
      </c>
      <c r="H120" s="89">
        <f>'[1]OMM_Unit Matrix'!H120</f>
        <v>0</v>
      </c>
      <c r="I120" s="89">
        <f>'[1]OMM_Unit Matrix'!I120</f>
        <v>0</v>
      </c>
      <c r="J120" s="89">
        <f>'[1]OMM_Unit Matrix'!J120</f>
        <v>0</v>
      </c>
      <c r="K120" s="89">
        <f>'[1]OMM_Unit Matrix'!K120</f>
        <v>0</v>
      </c>
      <c r="L120" s="89">
        <f>'[1]OMM_Unit Matrix'!L120</f>
        <v>0</v>
      </c>
      <c r="M120" s="89">
        <f>'[1]OMM_Unit Matrix'!M120</f>
        <v>0</v>
      </c>
      <c r="N120" s="89">
        <f>'[1]OMM_Unit Matrix'!N120</f>
        <v>0</v>
      </c>
      <c r="O120" s="89">
        <f>'[1]OMM_Unit Matrix'!O120</f>
        <v>0</v>
      </c>
      <c r="P120" s="89">
        <f>'[1]OMM_Unit Matrix'!P120</f>
        <v>0</v>
      </c>
      <c r="Q120" s="89">
        <f>'[1]OMM_Unit Matrix'!Q120</f>
        <v>0</v>
      </c>
      <c r="R120" s="89">
        <f>'[1]OMM_Unit Matrix'!R120</f>
        <v>0</v>
      </c>
      <c r="S120" s="89">
        <f>'[1]OMM_Unit Matrix'!S120</f>
        <v>0</v>
      </c>
      <c r="T120" s="89">
        <f>'[1]OMM_Unit Matrix'!T120</f>
        <v>0</v>
      </c>
      <c r="U120" s="89">
        <f>'[1]OMM_Unit Matrix'!U120</f>
        <v>0</v>
      </c>
      <c r="V120" s="89">
        <f>'[1]OMM_Unit Matrix'!V120</f>
        <v>0</v>
      </c>
      <c r="W120" s="89">
        <f>'[1]OMM_Unit Matrix'!W120</f>
        <v>0</v>
      </c>
      <c r="X120" s="89">
        <f>'[1]OMM_Unit Matrix'!X120</f>
        <v>0</v>
      </c>
      <c r="Y120" s="89">
        <f>'[1]OMM_Unit Matrix'!Y120</f>
        <v>0</v>
      </c>
      <c r="Z120" s="89">
        <f>'[1]OMM_Unit Matrix'!Z120</f>
        <v>0</v>
      </c>
      <c r="AA120" s="89">
        <f>'[1]OMM_Unit Matrix'!AA120</f>
        <v>0</v>
      </c>
      <c r="AB120" s="89">
        <f>'[1]OMM_Unit Matrix'!AB120</f>
        <v>0</v>
      </c>
      <c r="AC120" s="89">
        <f>'[1]OMM_Unit Matrix'!AC120</f>
        <v>0</v>
      </c>
      <c r="AD120" s="89">
        <f>'[1]OMM_Unit Matrix'!AD120</f>
        <v>0</v>
      </c>
      <c r="AE120" s="89">
        <f>'[1]OMM_Unit Matrix'!AE120</f>
        <v>0</v>
      </c>
      <c r="AF120" s="89">
        <f>'[1]OMM_Unit Matrix'!AF120</f>
        <v>0</v>
      </c>
      <c r="AG120" s="89">
        <f>'[1]OMM_Unit Matrix'!AG120</f>
        <v>0</v>
      </c>
      <c r="AH120" s="89">
        <f>'[1]OMM_Unit Matrix'!AH120</f>
        <v>0</v>
      </c>
      <c r="AI120" s="89">
        <f>'[1]OMM_Unit Matrix'!AI120</f>
        <v>0</v>
      </c>
      <c r="AJ120" s="89">
        <f>'[1]OMM_Unit Matrix'!AJ120</f>
        <v>0</v>
      </c>
      <c r="AK120" s="89">
        <f>'[1]OMM_Unit Matrix'!AK120</f>
        <v>0</v>
      </c>
      <c r="AL120" s="89">
        <f>'[1]OMM_Unit Matrix'!AL120</f>
        <v>0</v>
      </c>
      <c r="AM120" s="89">
        <f>'[1]OMM_Unit Matrix'!AM120</f>
        <v>0</v>
      </c>
      <c r="AN120" s="89">
        <f>'[1]OMM_Unit Matrix'!AN120</f>
        <v>0</v>
      </c>
      <c r="AO120" s="89">
        <f>'[1]OMM_Unit Matrix'!AO120</f>
        <v>0</v>
      </c>
      <c r="AP120" s="89">
        <f>'[1]OMM_Unit Matrix'!AP120</f>
        <v>0</v>
      </c>
      <c r="AQ120" s="270">
        <f>'[1]OMM_Unit Matrix'!AQ120</f>
        <v>0</v>
      </c>
    </row>
    <row r="121" spans="2:43" hidden="1">
      <c r="B121" s="89">
        <f>'[1]OMM_Unit Matrix'!B121</f>
        <v>5</v>
      </c>
      <c r="C121" s="275">
        <f>'[1]OMM_Unit Matrix'!C121</f>
        <v>27</v>
      </c>
      <c r="D121" s="89">
        <f>'[1]OMM_Unit Matrix'!D121</f>
        <v>5027</v>
      </c>
      <c r="E121" s="89">
        <f>'[1]OMM_Unit Matrix'!E121</f>
        <v>0</v>
      </c>
      <c r="F121" s="89">
        <f>'[1]OMM_Unit Matrix'!F121</f>
        <v>0</v>
      </c>
      <c r="G121" s="89" t="str">
        <f>'[1]OMM_Unit Matrix'!G121</f>
        <v>NOT IN SCOPE</v>
      </c>
      <c r="H121" s="89">
        <f>'[1]OMM_Unit Matrix'!H121</f>
        <v>0</v>
      </c>
      <c r="I121" s="89">
        <f>'[1]OMM_Unit Matrix'!I121</f>
        <v>0</v>
      </c>
      <c r="J121" s="89">
        <f>'[1]OMM_Unit Matrix'!J121</f>
        <v>0</v>
      </c>
      <c r="K121" s="89">
        <f>'[1]OMM_Unit Matrix'!K121</f>
        <v>0</v>
      </c>
      <c r="L121" s="89">
        <f>'[1]OMM_Unit Matrix'!L121</f>
        <v>0</v>
      </c>
      <c r="M121" s="89">
        <f>'[1]OMM_Unit Matrix'!M121</f>
        <v>0</v>
      </c>
      <c r="N121" s="89">
        <f>'[1]OMM_Unit Matrix'!N121</f>
        <v>0</v>
      </c>
      <c r="O121" s="89">
        <f>'[1]OMM_Unit Matrix'!O121</f>
        <v>0</v>
      </c>
      <c r="P121" s="89">
        <f>'[1]OMM_Unit Matrix'!P121</f>
        <v>0</v>
      </c>
      <c r="Q121" s="89">
        <f>'[1]OMM_Unit Matrix'!Q121</f>
        <v>0</v>
      </c>
      <c r="R121" s="89">
        <f>'[1]OMM_Unit Matrix'!R121</f>
        <v>0</v>
      </c>
      <c r="S121" s="89">
        <f>'[1]OMM_Unit Matrix'!S121</f>
        <v>0</v>
      </c>
      <c r="T121" s="89">
        <f>'[1]OMM_Unit Matrix'!T121</f>
        <v>0</v>
      </c>
      <c r="U121" s="89">
        <f>'[1]OMM_Unit Matrix'!U121</f>
        <v>0</v>
      </c>
      <c r="V121" s="89">
        <f>'[1]OMM_Unit Matrix'!V121</f>
        <v>0</v>
      </c>
      <c r="W121" s="89">
        <f>'[1]OMM_Unit Matrix'!W121</f>
        <v>0</v>
      </c>
      <c r="X121" s="89">
        <f>'[1]OMM_Unit Matrix'!X121</f>
        <v>0</v>
      </c>
      <c r="Y121" s="89">
        <f>'[1]OMM_Unit Matrix'!Y121</f>
        <v>0</v>
      </c>
      <c r="Z121" s="89">
        <f>'[1]OMM_Unit Matrix'!Z121</f>
        <v>0</v>
      </c>
      <c r="AA121" s="89">
        <f>'[1]OMM_Unit Matrix'!AA121</f>
        <v>0</v>
      </c>
      <c r="AB121" s="89">
        <f>'[1]OMM_Unit Matrix'!AB121</f>
        <v>0</v>
      </c>
      <c r="AC121" s="89">
        <f>'[1]OMM_Unit Matrix'!AC121</f>
        <v>0</v>
      </c>
      <c r="AD121" s="89">
        <f>'[1]OMM_Unit Matrix'!AD121</f>
        <v>0</v>
      </c>
      <c r="AE121" s="89">
        <f>'[1]OMM_Unit Matrix'!AE121</f>
        <v>0</v>
      </c>
      <c r="AF121" s="89">
        <f>'[1]OMM_Unit Matrix'!AF121</f>
        <v>0</v>
      </c>
      <c r="AG121" s="89">
        <f>'[1]OMM_Unit Matrix'!AG121</f>
        <v>0</v>
      </c>
      <c r="AH121" s="89">
        <f>'[1]OMM_Unit Matrix'!AH121</f>
        <v>0</v>
      </c>
      <c r="AI121" s="89">
        <f>'[1]OMM_Unit Matrix'!AI121</f>
        <v>0</v>
      </c>
      <c r="AJ121" s="89">
        <f>'[1]OMM_Unit Matrix'!AJ121</f>
        <v>0</v>
      </c>
      <c r="AK121" s="89">
        <f>'[1]OMM_Unit Matrix'!AK121</f>
        <v>0</v>
      </c>
      <c r="AL121" s="89">
        <f>'[1]OMM_Unit Matrix'!AL121</f>
        <v>0</v>
      </c>
      <c r="AM121" s="89">
        <f>'[1]OMM_Unit Matrix'!AM121</f>
        <v>0</v>
      </c>
      <c r="AN121" s="89">
        <f>'[1]OMM_Unit Matrix'!AN121</f>
        <v>0</v>
      </c>
      <c r="AO121" s="89">
        <f>'[1]OMM_Unit Matrix'!AO121</f>
        <v>0</v>
      </c>
      <c r="AP121" s="89">
        <f>'[1]OMM_Unit Matrix'!AP121</f>
        <v>0</v>
      </c>
      <c r="AQ121" s="270">
        <f>'[1]OMM_Unit Matrix'!AQ121</f>
        <v>0</v>
      </c>
    </row>
    <row r="122" spans="2:43" hidden="1">
      <c r="B122" s="89">
        <f>'[1]OMM_Unit Matrix'!B122</f>
        <v>5</v>
      </c>
      <c r="C122" s="275">
        <f>'[1]OMM_Unit Matrix'!C122</f>
        <v>28</v>
      </c>
      <c r="D122" s="89">
        <f>'[1]OMM_Unit Matrix'!D122</f>
        <v>5028</v>
      </c>
      <c r="E122" s="89">
        <f>'[1]OMM_Unit Matrix'!E122</f>
        <v>0</v>
      </c>
      <c r="F122" s="89">
        <f>'[1]OMM_Unit Matrix'!F122</f>
        <v>0</v>
      </c>
      <c r="G122" s="89" t="str">
        <f>'[1]OMM_Unit Matrix'!G122</f>
        <v>NOT IN SCOPE</v>
      </c>
      <c r="H122" s="89">
        <f>'[1]OMM_Unit Matrix'!H122</f>
        <v>0</v>
      </c>
      <c r="I122" s="89">
        <f>'[1]OMM_Unit Matrix'!I122</f>
        <v>0</v>
      </c>
      <c r="J122" s="89">
        <f>'[1]OMM_Unit Matrix'!J122</f>
        <v>0</v>
      </c>
      <c r="K122" s="89">
        <f>'[1]OMM_Unit Matrix'!K122</f>
        <v>0</v>
      </c>
      <c r="L122" s="89">
        <f>'[1]OMM_Unit Matrix'!L122</f>
        <v>0</v>
      </c>
      <c r="M122" s="89">
        <f>'[1]OMM_Unit Matrix'!M122</f>
        <v>0</v>
      </c>
      <c r="N122" s="89">
        <f>'[1]OMM_Unit Matrix'!N122</f>
        <v>0</v>
      </c>
      <c r="O122" s="89">
        <f>'[1]OMM_Unit Matrix'!O122</f>
        <v>0</v>
      </c>
      <c r="P122" s="89">
        <f>'[1]OMM_Unit Matrix'!P122</f>
        <v>0</v>
      </c>
      <c r="Q122" s="89">
        <f>'[1]OMM_Unit Matrix'!Q122</f>
        <v>0</v>
      </c>
      <c r="R122" s="89">
        <f>'[1]OMM_Unit Matrix'!R122</f>
        <v>0</v>
      </c>
      <c r="S122" s="89">
        <f>'[1]OMM_Unit Matrix'!S122</f>
        <v>0</v>
      </c>
      <c r="T122" s="89">
        <f>'[1]OMM_Unit Matrix'!T122</f>
        <v>0</v>
      </c>
      <c r="U122" s="89">
        <f>'[1]OMM_Unit Matrix'!U122</f>
        <v>0</v>
      </c>
      <c r="V122" s="89">
        <f>'[1]OMM_Unit Matrix'!V122</f>
        <v>0</v>
      </c>
      <c r="W122" s="89">
        <f>'[1]OMM_Unit Matrix'!W122</f>
        <v>0</v>
      </c>
      <c r="X122" s="89">
        <f>'[1]OMM_Unit Matrix'!X122</f>
        <v>0</v>
      </c>
      <c r="Y122" s="89">
        <f>'[1]OMM_Unit Matrix'!Y122</f>
        <v>0</v>
      </c>
      <c r="Z122" s="89">
        <f>'[1]OMM_Unit Matrix'!Z122</f>
        <v>0</v>
      </c>
      <c r="AA122" s="89">
        <f>'[1]OMM_Unit Matrix'!AA122</f>
        <v>0</v>
      </c>
      <c r="AB122" s="89">
        <f>'[1]OMM_Unit Matrix'!AB122</f>
        <v>0</v>
      </c>
      <c r="AC122" s="89">
        <f>'[1]OMM_Unit Matrix'!AC122</f>
        <v>0</v>
      </c>
      <c r="AD122" s="89">
        <f>'[1]OMM_Unit Matrix'!AD122</f>
        <v>0</v>
      </c>
      <c r="AE122" s="89">
        <f>'[1]OMM_Unit Matrix'!AE122</f>
        <v>0</v>
      </c>
      <c r="AF122" s="89">
        <f>'[1]OMM_Unit Matrix'!AF122</f>
        <v>0</v>
      </c>
      <c r="AG122" s="89">
        <f>'[1]OMM_Unit Matrix'!AG122</f>
        <v>0</v>
      </c>
      <c r="AH122" s="89">
        <f>'[1]OMM_Unit Matrix'!AH122</f>
        <v>0</v>
      </c>
      <c r="AI122" s="89">
        <f>'[1]OMM_Unit Matrix'!AI122</f>
        <v>0</v>
      </c>
      <c r="AJ122" s="89">
        <f>'[1]OMM_Unit Matrix'!AJ122</f>
        <v>0</v>
      </c>
      <c r="AK122" s="89">
        <f>'[1]OMM_Unit Matrix'!AK122</f>
        <v>0</v>
      </c>
      <c r="AL122" s="89">
        <f>'[1]OMM_Unit Matrix'!AL122</f>
        <v>0</v>
      </c>
      <c r="AM122" s="89">
        <f>'[1]OMM_Unit Matrix'!AM122</f>
        <v>0</v>
      </c>
      <c r="AN122" s="89">
        <f>'[1]OMM_Unit Matrix'!AN122</f>
        <v>0</v>
      </c>
      <c r="AO122" s="89">
        <f>'[1]OMM_Unit Matrix'!AO122</f>
        <v>0</v>
      </c>
      <c r="AP122" s="89">
        <f>'[1]OMM_Unit Matrix'!AP122</f>
        <v>0</v>
      </c>
      <c r="AQ122" s="270">
        <f>'[1]OMM_Unit Matrix'!AQ122</f>
        <v>0</v>
      </c>
    </row>
    <row r="123" spans="2:43" hidden="1">
      <c r="B123" s="89">
        <f>'[1]OMM_Unit Matrix'!B123</f>
        <v>6</v>
      </c>
      <c r="C123" s="275">
        <f>'[1]OMM_Unit Matrix'!C123</f>
        <v>1</v>
      </c>
      <c r="D123" s="89">
        <f>'[1]OMM_Unit Matrix'!D123</f>
        <v>6001</v>
      </c>
      <c r="E123" s="89">
        <f>'[1]OMM_Unit Matrix'!E123</f>
        <v>0</v>
      </c>
      <c r="F123" s="89">
        <f>'[1]OMM_Unit Matrix'!F123</f>
        <v>0</v>
      </c>
      <c r="G123" s="89" t="str">
        <f>'[1]OMM_Unit Matrix'!G123</f>
        <v>NOT IN SCOPE</v>
      </c>
      <c r="H123" s="89">
        <f>'[1]OMM_Unit Matrix'!H123</f>
        <v>0</v>
      </c>
      <c r="I123" s="89">
        <f>'[1]OMM_Unit Matrix'!I123</f>
        <v>0</v>
      </c>
      <c r="J123" s="89">
        <f>'[1]OMM_Unit Matrix'!J123</f>
        <v>0</v>
      </c>
      <c r="K123" s="89">
        <f>'[1]OMM_Unit Matrix'!K123</f>
        <v>0</v>
      </c>
      <c r="L123" s="89">
        <f>'[1]OMM_Unit Matrix'!L123</f>
        <v>0</v>
      </c>
      <c r="M123" s="89">
        <f>'[1]OMM_Unit Matrix'!M123</f>
        <v>0</v>
      </c>
      <c r="N123" s="89">
        <f>'[1]OMM_Unit Matrix'!N123</f>
        <v>0</v>
      </c>
      <c r="O123" s="89">
        <f>'[1]OMM_Unit Matrix'!O123</f>
        <v>0</v>
      </c>
      <c r="P123" s="89">
        <f>'[1]OMM_Unit Matrix'!P123</f>
        <v>0</v>
      </c>
      <c r="Q123" s="89">
        <f>'[1]OMM_Unit Matrix'!Q123</f>
        <v>0</v>
      </c>
      <c r="R123" s="89">
        <f>'[1]OMM_Unit Matrix'!R123</f>
        <v>0</v>
      </c>
      <c r="S123" s="89">
        <f>'[1]OMM_Unit Matrix'!S123</f>
        <v>0</v>
      </c>
      <c r="T123" s="89">
        <f>'[1]OMM_Unit Matrix'!T123</f>
        <v>0</v>
      </c>
      <c r="U123" s="89">
        <f>'[1]OMM_Unit Matrix'!U123</f>
        <v>0</v>
      </c>
      <c r="V123" s="89">
        <f>'[1]OMM_Unit Matrix'!V123</f>
        <v>0</v>
      </c>
      <c r="W123" s="89">
        <f>'[1]OMM_Unit Matrix'!W123</f>
        <v>0</v>
      </c>
      <c r="X123" s="89">
        <f>'[1]OMM_Unit Matrix'!X123</f>
        <v>0</v>
      </c>
      <c r="Y123" s="89">
        <f>'[1]OMM_Unit Matrix'!Y123</f>
        <v>0</v>
      </c>
      <c r="Z123" s="89">
        <f>'[1]OMM_Unit Matrix'!Z123</f>
        <v>0</v>
      </c>
      <c r="AA123" s="89">
        <f>'[1]OMM_Unit Matrix'!AA123</f>
        <v>0</v>
      </c>
      <c r="AB123" s="89">
        <f>'[1]OMM_Unit Matrix'!AB123</f>
        <v>0</v>
      </c>
      <c r="AC123" s="89">
        <f>'[1]OMM_Unit Matrix'!AC123</f>
        <v>0</v>
      </c>
      <c r="AD123" s="89">
        <f>'[1]OMM_Unit Matrix'!AD123</f>
        <v>0</v>
      </c>
      <c r="AE123" s="89">
        <f>'[1]OMM_Unit Matrix'!AE123</f>
        <v>0</v>
      </c>
      <c r="AF123" s="89">
        <f>'[1]OMM_Unit Matrix'!AF123</f>
        <v>0</v>
      </c>
      <c r="AG123" s="89">
        <f>'[1]OMM_Unit Matrix'!AG123</f>
        <v>0</v>
      </c>
      <c r="AH123" s="89">
        <f>'[1]OMM_Unit Matrix'!AH123</f>
        <v>0</v>
      </c>
      <c r="AI123" s="89">
        <f>'[1]OMM_Unit Matrix'!AI123</f>
        <v>0</v>
      </c>
      <c r="AJ123" s="89">
        <f>'[1]OMM_Unit Matrix'!AJ123</f>
        <v>0</v>
      </c>
      <c r="AK123" s="89">
        <f>'[1]OMM_Unit Matrix'!AK123</f>
        <v>0</v>
      </c>
      <c r="AL123" s="89">
        <f>'[1]OMM_Unit Matrix'!AL123</f>
        <v>0</v>
      </c>
      <c r="AM123" s="89">
        <f>'[1]OMM_Unit Matrix'!AM123</f>
        <v>0</v>
      </c>
      <c r="AN123" s="89">
        <f>'[1]OMM_Unit Matrix'!AN123</f>
        <v>0</v>
      </c>
      <c r="AO123" s="89">
        <f>'[1]OMM_Unit Matrix'!AO123</f>
        <v>0</v>
      </c>
      <c r="AP123" s="89">
        <f>'[1]OMM_Unit Matrix'!AP123</f>
        <v>0</v>
      </c>
      <c r="AQ123" s="270">
        <f>'[1]OMM_Unit Matrix'!AQ123</f>
        <v>0</v>
      </c>
    </row>
    <row r="124" spans="2:43">
      <c r="B124" s="89">
        <f>'[1]OMM_Unit Matrix'!B124</f>
        <v>6</v>
      </c>
      <c r="C124" s="275">
        <f>'[1]OMM_Unit Matrix'!C124</f>
        <v>2</v>
      </c>
      <c r="D124" s="89">
        <f>'[1]OMM_Unit Matrix'!D124</f>
        <v>6002</v>
      </c>
      <c r="E124" s="89" t="str">
        <f>'[1]OMM_Unit Matrix'!E124</f>
        <v>YES</v>
      </c>
      <c r="F124" s="132">
        <f>'[1]OMM_Unit Matrix'!F124</f>
        <v>6002.03</v>
      </c>
      <c r="G124" s="89" t="str">
        <f>'[1]OMM_Unit Matrix'!G124</f>
        <v>ORDERED</v>
      </c>
      <c r="H124" s="89" t="str">
        <f>'[1]OMM_Unit Matrix'!H124</f>
        <v>YES</v>
      </c>
      <c r="I124" s="89">
        <f>'[1]OMM_Unit Matrix'!I124</f>
        <v>4</v>
      </c>
      <c r="J124" s="89" t="str">
        <f>'[1]OMM_Unit Matrix'!J124</f>
        <v>NO</v>
      </c>
      <c r="K124" s="89">
        <f>'[1]OMM_Unit Matrix'!K124</f>
        <v>0</v>
      </c>
      <c r="L124" s="89" t="str">
        <f>'[1]OMM_Unit Matrix'!L124</f>
        <v>NO</v>
      </c>
      <c r="M124" s="89">
        <f>'[1]OMM_Unit Matrix'!M124</f>
        <v>0</v>
      </c>
      <c r="N124" s="89" t="str">
        <f>'[1]OMM_Unit Matrix'!N124</f>
        <v>YES</v>
      </c>
      <c r="O124" s="89">
        <f>'[1]OMM_Unit Matrix'!O124</f>
        <v>4</v>
      </c>
      <c r="P124" s="89" t="str">
        <f>'[1]OMM_Unit Matrix'!P124</f>
        <v>NO</v>
      </c>
      <c r="Q124" s="89">
        <f>'[1]OMM_Unit Matrix'!Q124</f>
        <v>0</v>
      </c>
      <c r="R124" s="89" t="str">
        <f>'[1]OMM_Unit Matrix'!R124</f>
        <v>NO</v>
      </c>
      <c r="S124" s="89">
        <f>'[1]OMM_Unit Matrix'!S124</f>
        <v>0</v>
      </c>
      <c r="T124" s="89" t="str">
        <f>'[1]OMM_Unit Matrix'!T124</f>
        <v>NO</v>
      </c>
      <c r="U124" s="89">
        <f>'[1]OMM_Unit Matrix'!U124</f>
        <v>0</v>
      </c>
      <c r="V124" s="89" t="str">
        <f>'[1]OMM_Unit Matrix'!V124</f>
        <v>YES</v>
      </c>
      <c r="W124" s="89">
        <f>'[1]OMM_Unit Matrix'!W124</f>
        <v>4</v>
      </c>
      <c r="X124" s="89" t="str">
        <f>'[1]OMM_Unit Matrix'!X124</f>
        <v>NO</v>
      </c>
      <c r="Y124" s="89">
        <f>'[1]OMM_Unit Matrix'!Y124</f>
        <v>0</v>
      </c>
      <c r="Z124" s="89" t="str">
        <f>'[1]OMM_Unit Matrix'!Z124</f>
        <v>NO</v>
      </c>
      <c r="AA124" s="89">
        <f>'[1]OMM_Unit Matrix'!AA124</f>
        <v>0</v>
      </c>
      <c r="AB124" s="89" t="str">
        <f>'[1]OMM_Unit Matrix'!AB124</f>
        <v>YES</v>
      </c>
      <c r="AC124" s="89">
        <f>'[1]OMM_Unit Matrix'!AC124</f>
        <v>4</v>
      </c>
      <c r="AD124" s="89" t="str">
        <f>'[1]OMM_Unit Matrix'!AD124</f>
        <v>YES</v>
      </c>
      <c r="AE124" s="89">
        <f>'[1]OMM_Unit Matrix'!AE124</f>
        <v>4</v>
      </c>
      <c r="AF124" s="89" t="str">
        <f>'[1]OMM_Unit Matrix'!AF124</f>
        <v>YES</v>
      </c>
      <c r="AG124" s="89">
        <f>'[1]OMM_Unit Matrix'!AG124</f>
        <v>4</v>
      </c>
      <c r="AH124" s="89" t="str">
        <f>'[1]OMM_Unit Matrix'!AH124</f>
        <v>YES</v>
      </c>
      <c r="AI124" s="89">
        <f>'[1]OMM_Unit Matrix'!AI124</f>
        <v>4</v>
      </c>
      <c r="AJ124" s="89" t="str">
        <f>'[1]OMM_Unit Matrix'!AJ124</f>
        <v>NO</v>
      </c>
      <c r="AK124" s="89">
        <f>'[1]OMM_Unit Matrix'!AK124</f>
        <v>0</v>
      </c>
      <c r="AL124" s="89" t="str">
        <f>'[1]OMM_Unit Matrix'!AL124</f>
        <v>YES</v>
      </c>
      <c r="AM124" s="89">
        <f>'[1]OMM_Unit Matrix'!AM124</f>
        <v>4</v>
      </c>
      <c r="AN124" s="89" t="str">
        <f>'[1]OMM_Unit Matrix'!AN124</f>
        <v>NO</v>
      </c>
      <c r="AO124" s="89">
        <f>'[1]OMM_Unit Matrix'!AO124</f>
        <v>0</v>
      </c>
      <c r="AP124" s="89" t="str">
        <f>'[1]OMM_Unit Matrix'!AP124</f>
        <v>NO</v>
      </c>
      <c r="AQ124" s="270">
        <f>'[1]OMM_Unit Matrix'!AQ124</f>
        <v>0</v>
      </c>
    </row>
    <row r="125" spans="2:43">
      <c r="B125" s="89">
        <f>'[1]OMM_Unit Matrix'!B125</f>
        <v>6</v>
      </c>
      <c r="C125" s="275">
        <f>'[1]OMM_Unit Matrix'!C125</f>
        <v>3</v>
      </c>
      <c r="D125" s="89">
        <f>'[1]OMM_Unit Matrix'!D125</f>
        <v>6003</v>
      </c>
      <c r="E125" s="89" t="str">
        <f>'[1]OMM_Unit Matrix'!E125</f>
        <v>YES</v>
      </c>
      <c r="F125" s="132">
        <f>'[1]OMM_Unit Matrix'!F125</f>
        <v>6002.03</v>
      </c>
      <c r="G125" s="89" t="str">
        <f>'[1]OMM_Unit Matrix'!G125</f>
        <v>ORDERED</v>
      </c>
      <c r="H125" s="89" t="str">
        <f>'[1]OMM_Unit Matrix'!H125</f>
        <v>NO</v>
      </c>
      <c r="I125" s="89">
        <f>'[1]OMM_Unit Matrix'!I125</f>
        <v>0</v>
      </c>
      <c r="J125" s="89" t="str">
        <f>'[1]OMM_Unit Matrix'!J125</f>
        <v>NO</v>
      </c>
      <c r="K125" s="89">
        <f>'[1]OMM_Unit Matrix'!K125</f>
        <v>0</v>
      </c>
      <c r="L125" s="89" t="str">
        <f>'[1]OMM_Unit Matrix'!L125</f>
        <v>NO</v>
      </c>
      <c r="M125" s="89">
        <f>'[1]OMM_Unit Matrix'!M125</f>
        <v>0</v>
      </c>
      <c r="N125" s="89" t="str">
        <f>'[1]OMM_Unit Matrix'!N125</f>
        <v>NO</v>
      </c>
      <c r="O125" s="89">
        <f>'[1]OMM_Unit Matrix'!O125</f>
        <v>0</v>
      </c>
      <c r="P125" s="89" t="str">
        <f>'[1]OMM_Unit Matrix'!P125</f>
        <v>NO</v>
      </c>
      <c r="Q125" s="89">
        <f>'[1]OMM_Unit Matrix'!Q125</f>
        <v>0</v>
      </c>
      <c r="R125" s="89" t="str">
        <f>'[1]OMM_Unit Matrix'!R125</f>
        <v>NO</v>
      </c>
      <c r="S125" s="89">
        <f>'[1]OMM_Unit Matrix'!S125</f>
        <v>0</v>
      </c>
      <c r="T125" s="89" t="str">
        <f>'[1]OMM_Unit Matrix'!T125</f>
        <v>NO</v>
      </c>
      <c r="U125" s="89">
        <f>'[1]OMM_Unit Matrix'!U125</f>
        <v>0</v>
      </c>
      <c r="V125" s="89" t="str">
        <f>'[1]OMM_Unit Matrix'!V125</f>
        <v>NO</v>
      </c>
      <c r="W125" s="89">
        <f>'[1]OMM_Unit Matrix'!W125</f>
        <v>0</v>
      </c>
      <c r="X125" s="89" t="str">
        <f>'[1]OMM_Unit Matrix'!X125</f>
        <v>NO</v>
      </c>
      <c r="Y125" s="89">
        <f>'[1]OMM_Unit Matrix'!Y125</f>
        <v>0</v>
      </c>
      <c r="Z125" s="89" t="str">
        <f>'[1]OMM_Unit Matrix'!Z125</f>
        <v>NO</v>
      </c>
      <c r="AA125" s="89">
        <f>'[1]OMM_Unit Matrix'!AA125</f>
        <v>0</v>
      </c>
      <c r="AB125" s="89" t="str">
        <f>'[1]OMM_Unit Matrix'!AB125</f>
        <v>NO</v>
      </c>
      <c r="AC125" s="89">
        <f>'[1]OMM_Unit Matrix'!AC125</f>
        <v>0</v>
      </c>
      <c r="AD125" s="89" t="str">
        <f>'[1]OMM_Unit Matrix'!AD125</f>
        <v>NO</v>
      </c>
      <c r="AE125" s="89">
        <f>'[1]OMM_Unit Matrix'!AE125</f>
        <v>0</v>
      </c>
      <c r="AF125" s="89" t="str">
        <f>'[1]OMM_Unit Matrix'!AF125</f>
        <v>NO</v>
      </c>
      <c r="AG125" s="89">
        <f>'[1]OMM_Unit Matrix'!AG125</f>
        <v>0</v>
      </c>
      <c r="AH125" s="89" t="str">
        <f>'[1]OMM_Unit Matrix'!AH125</f>
        <v>NO</v>
      </c>
      <c r="AI125" s="89">
        <f>'[1]OMM_Unit Matrix'!AI125</f>
        <v>0</v>
      </c>
      <c r="AJ125" s="89" t="str">
        <f>'[1]OMM_Unit Matrix'!AJ125</f>
        <v>NO</v>
      </c>
      <c r="AK125" s="89">
        <f>'[1]OMM_Unit Matrix'!AK125</f>
        <v>0</v>
      </c>
      <c r="AL125" s="89" t="str">
        <f>'[1]OMM_Unit Matrix'!AL125</f>
        <v>NO</v>
      </c>
      <c r="AM125" s="89">
        <f>'[1]OMM_Unit Matrix'!AM125</f>
        <v>0</v>
      </c>
      <c r="AN125" s="89" t="str">
        <f>'[1]OMM_Unit Matrix'!AN125</f>
        <v>NO</v>
      </c>
      <c r="AO125" s="89">
        <f>'[1]OMM_Unit Matrix'!AO125</f>
        <v>0</v>
      </c>
      <c r="AP125" s="89" t="str">
        <f>'[1]OMM_Unit Matrix'!AP125</f>
        <v>NO</v>
      </c>
      <c r="AQ125" s="270">
        <f>'[1]OMM_Unit Matrix'!AQ125</f>
        <v>0</v>
      </c>
    </row>
    <row r="126" spans="2:43" hidden="1">
      <c r="B126" s="89">
        <f>'[1]OMM_Unit Matrix'!B126</f>
        <v>6</v>
      </c>
      <c r="C126" s="275">
        <f>'[1]OMM_Unit Matrix'!C126</f>
        <v>4</v>
      </c>
      <c r="D126" s="89">
        <f>'[1]OMM_Unit Matrix'!D126</f>
        <v>6004</v>
      </c>
      <c r="E126" s="89">
        <f>'[1]OMM_Unit Matrix'!E126</f>
        <v>0</v>
      </c>
      <c r="F126" s="89">
        <f>'[1]OMM_Unit Matrix'!F126</f>
        <v>0</v>
      </c>
      <c r="G126" s="89" t="str">
        <f>'[1]OMM_Unit Matrix'!G126</f>
        <v>NOT IN SCOPE</v>
      </c>
      <c r="H126" s="89">
        <f>'[1]OMM_Unit Matrix'!H126</f>
        <v>0</v>
      </c>
      <c r="I126" s="89">
        <f>'[1]OMM_Unit Matrix'!I126</f>
        <v>0</v>
      </c>
      <c r="J126" s="89">
        <f>'[1]OMM_Unit Matrix'!J126</f>
        <v>0</v>
      </c>
      <c r="K126" s="89">
        <f>'[1]OMM_Unit Matrix'!K126</f>
        <v>0</v>
      </c>
      <c r="L126" s="89">
        <f>'[1]OMM_Unit Matrix'!L126</f>
        <v>0</v>
      </c>
      <c r="M126" s="89">
        <f>'[1]OMM_Unit Matrix'!M126</f>
        <v>0</v>
      </c>
      <c r="N126" s="89">
        <f>'[1]OMM_Unit Matrix'!N126</f>
        <v>0</v>
      </c>
      <c r="O126" s="89">
        <f>'[1]OMM_Unit Matrix'!O126</f>
        <v>0</v>
      </c>
      <c r="P126" s="89">
        <f>'[1]OMM_Unit Matrix'!P126</f>
        <v>0</v>
      </c>
      <c r="Q126" s="89">
        <f>'[1]OMM_Unit Matrix'!Q126</f>
        <v>0</v>
      </c>
      <c r="R126" s="89">
        <f>'[1]OMM_Unit Matrix'!R126</f>
        <v>0</v>
      </c>
      <c r="S126" s="89">
        <f>'[1]OMM_Unit Matrix'!S126</f>
        <v>0</v>
      </c>
      <c r="T126" s="89">
        <f>'[1]OMM_Unit Matrix'!T126</f>
        <v>0</v>
      </c>
      <c r="U126" s="89">
        <f>'[1]OMM_Unit Matrix'!U126</f>
        <v>0</v>
      </c>
      <c r="V126" s="89">
        <f>'[1]OMM_Unit Matrix'!V126</f>
        <v>0</v>
      </c>
      <c r="W126" s="89">
        <f>'[1]OMM_Unit Matrix'!W126</f>
        <v>0</v>
      </c>
      <c r="X126" s="89">
        <f>'[1]OMM_Unit Matrix'!X126</f>
        <v>0</v>
      </c>
      <c r="Y126" s="89">
        <f>'[1]OMM_Unit Matrix'!Y126</f>
        <v>0</v>
      </c>
      <c r="Z126" s="89">
        <f>'[1]OMM_Unit Matrix'!Z126</f>
        <v>0</v>
      </c>
      <c r="AA126" s="89">
        <f>'[1]OMM_Unit Matrix'!AA126</f>
        <v>0</v>
      </c>
      <c r="AB126" s="89">
        <f>'[1]OMM_Unit Matrix'!AB126</f>
        <v>0</v>
      </c>
      <c r="AC126" s="89">
        <f>'[1]OMM_Unit Matrix'!AC126</f>
        <v>0</v>
      </c>
      <c r="AD126" s="89">
        <f>'[1]OMM_Unit Matrix'!AD126</f>
        <v>0</v>
      </c>
      <c r="AE126" s="89">
        <f>'[1]OMM_Unit Matrix'!AE126</f>
        <v>0</v>
      </c>
      <c r="AF126" s="89">
        <f>'[1]OMM_Unit Matrix'!AF126</f>
        <v>0</v>
      </c>
      <c r="AG126" s="89">
        <f>'[1]OMM_Unit Matrix'!AG126</f>
        <v>0</v>
      </c>
      <c r="AH126" s="89">
        <f>'[1]OMM_Unit Matrix'!AH126</f>
        <v>0</v>
      </c>
      <c r="AI126" s="89">
        <f>'[1]OMM_Unit Matrix'!AI126</f>
        <v>0</v>
      </c>
      <c r="AJ126" s="89">
        <f>'[1]OMM_Unit Matrix'!AJ126</f>
        <v>0</v>
      </c>
      <c r="AK126" s="89">
        <f>'[1]OMM_Unit Matrix'!AK126</f>
        <v>0</v>
      </c>
      <c r="AL126" s="89">
        <f>'[1]OMM_Unit Matrix'!AL126</f>
        <v>0</v>
      </c>
      <c r="AM126" s="89">
        <f>'[1]OMM_Unit Matrix'!AM126</f>
        <v>0</v>
      </c>
      <c r="AN126" s="89">
        <f>'[1]OMM_Unit Matrix'!AN126</f>
        <v>0</v>
      </c>
      <c r="AO126" s="89">
        <f>'[1]OMM_Unit Matrix'!AO126</f>
        <v>0</v>
      </c>
      <c r="AP126" s="89">
        <f>'[1]OMM_Unit Matrix'!AP126</f>
        <v>0</v>
      </c>
      <c r="AQ126" s="270">
        <f>'[1]OMM_Unit Matrix'!AQ126</f>
        <v>0</v>
      </c>
    </row>
    <row r="127" spans="2:43" hidden="1">
      <c r="B127" s="89">
        <f>'[1]OMM_Unit Matrix'!B127</f>
        <v>6</v>
      </c>
      <c r="C127" s="275">
        <f>'[1]OMM_Unit Matrix'!C127</f>
        <v>5</v>
      </c>
      <c r="D127" s="89">
        <f>'[1]OMM_Unit Matrix'!D127</f>
        <v>6005</v>
      </c>
      <c r="E127" s="89">
        <f>'[1]OMM_Unit Matrix'!E127</f>
        <v>0</v>
      </c>
      <c r="F127" s="89">
        <f>'[1]OMM_Unit Matrix'!F127</f>
        <v>0</v>
      </c>
      <c r="G127" s="89" t="str">
        <f>'[1]OMM_Unit Matrix'!G127</f>
        <v>NOT IN SCOPE</v>
      </c>
      <c r="H127" s="89">
        <f>'[1]OMM_Unit Matrix'!H127</f>
        <v>0</v>
      </c>
      <c r="I127" s="89">
        <f>'[1]OMM_Unit Matrix'!I127</f>
        <v>0</v>
      </c>
      <c r="J127" s="89">
        <f>'[1]OMM_Unit Matrix'!J127</f>
        <v>0</v>
      </c>
      <c r="K127" s="89">
        <f>'[1]OMM_Unit Matrix'!K127</f>
        <v>0</v>
      </c>
      <c r="L127" s="89">
        <f>'[1]OMM_Unit Matrix'!L127</f>
        <v>0</v>
      </c>
      <c r="M127" s="89">
        <f>'[1]OMM_Unit Matrix'!M127</f>
        <v>0</v>
      </c>
      <c r="N127" s="89">
        <f>'[1]OMM_Unit Matrix'!N127</f>
        <v>0</v>
      </c>
      <c r="O127" s="89">
        <f>'[1]OMM_Unit Matrix'!O127</f>
        <v>0</v>
      </c>
      <c r="P127" s="89">
        <f>'[1]OMM_Unit Matrix'!P127</f>
        <v>0</v>
      </c>
      <c r="Q127" s="89">
        <f>'[1]OMM_Unit Matrix'!Q127</f>
        <v>0</v>
      </c>
      <c r="R127" s="89">
        <f>'[1]OMM_Unit Matrix'!R127</f>
        <v>0</v>
      </c>
      <c r="S127" s="89">
        <f>'[1]OMM_Unit Matrix'!S127</f>
        <v>0</v>
      </c>
      <c r="T127" s="89">
        <f>'[1]OMM_Unit Matrix'!T127</f>
        <v>0</v>
      </c>
      <c r="U127" s="89">
        <f>'[1]OMM_Unit Matrix'!U127</f>
        <v>0</v>
      </c>
      <c r="V127" s="89">
        <f>'[1]OMM_Unit Matrix'!V127</f>
        <v>0</v>
      </c>
      <c r="W127" s="89">
        <f>'[1]OMM_Unit Matrix'!W127</f>
        <v>0</v>
      </c>
      <c r="X127" s="89">
        <f>'[1]OMM_Unit Matrix'!X127</f>
        <v>0</v>
      </c>
      <c r="Y127" s="89">
        <f>'[1]OMM_Unit Matrix'!Y127</f>
        <v>0</v>
      </c>
      <c r="Z127" s="89">
        <f>'[1]OMM_Unit Matrix'!Z127</f>
        <v>0</v>
      </c>
      <c r="AA127" s="89">
        <f>'[1]OMM_Unit Matrix'!AA127</f>
        <v>0</v>
      </c>
      <c r="AB127" s="89">
        <f>'[1]OMM_Unit Matrix'!AB127</f>
        <v>0</v>
      </c>
      <c r="AC127" s="89">
        <f>'[1]OMM_Unit Matrix'!AC127</f>
        <v>0</v>
      </c>
      <c r="AD127" s="89">
        <f>'[1]OMM_Unit Matrix'!AD127</f>
        <v>0</v>
      </c>
      <c r="AE127" s="89">
        <f>'[1]OMM_Unit Matrix'!AE127</f>
        <v>0</v>
      </c>
      <c r="AF127" s="89">
        <f>'[1]OMM_Unit Matrix'!AF127</f>
        <v>0</v>
      </c>
      <c r="AG127" s="89">
        <f>'[1]OMM_Unit Matrix'!AG127</f>
        <v>0</v>
      </c>
      <c r="AH127" s="89">
        <f>'[1]OMM_Unit Matrix'!AH127</f>
        <v>0</v>
      </c>
      <c r="AI127" s="89">
        <f>'[1]OMM_Unit Matrix'!AI127</f>
        <v>0</v>
      </c>
      <c r="AJ127" s="89">
        <f>'[1]OMM_Unit Matrix'!AJ127</f>
        <v>0</v>
      </c>
      <c r="AK127" s="89">
        <f>'[1]OMM_Unit Matrix'!AK127</f>
        <v>0</v>
      </c>
      <c r="AL127" s="89">
        <f>'[1]OMM_Unit Matrix'!AL127</f>
        <v>0</v>
      </c>
      <c r="AM127" s="89">
        <f>'[1]OMM_Unit Matrix'!AM127</f>
        <v>0</v>
      </c>
      <c r="AN127" s="89">
        <f>'[1]OMM_Unit Matrix'!AN127</f>
        <v>0</v>
      </c>
      <c r="AO127" s="89">
        <f>'[1]OMM_Unit Matrix'!AO127</f>
        <v>0</v>
      </c>
      <c r="AP127" s="89">
        <f>'[1]OMM_Unit Matrix'!AP127</f>
        <v>0</v>
      </c>
      <c r="AQ127" s="270">
        <f>'[1]OMM_Unit Matrix'!AQ127</f>
        <v>0</v>
      </c>
    </row>
    <row r="128" spans="2:43" hidden="1">
      <c r="B128" s="89">
        <f>'[1]OMM_Unit Matrix'!B128</f>
        <v>6</v>
      </c>
      <c r="C128" s="275">
        <f>'[1]OMM_Unit Matrix'!C128</f>
        <v>6</v>
      </c>
      <c r="D128" s="89">
        <f>'[1]OMM_Unit Matrix'!D128</f>
        <v>6006</v>
      </c>
      <c r="E128" s="89">
        <f>'[1]OMM_Unit Matrix'!E128</f>
        <v>0</v>
      </c>
      <c r="F128" s="89">
        <f>'[1]OMM_Unit Matrix'!F128</f>
        <v>0</v>
      </c>
      <c r="G128" s="89" t="str">
        <f>'[1]OMM_Unit Matrix'!G128</f>
        <v>NOT IN SCOPE</v>
      </c>
      <c r="H128" s="89">
        <f>'[1]OMM_Unit Matrix'!H128</f>
        <v>0</v>
      </c>
      <c r="I128" s="89">
        <f>'[1]OMM_Unit Matrix'!I128</f>
        <v>0</v>
      </c>
      <c r="J128" s="89">
        <f>'[1]OMM_Unit Matrix'!J128</f>
        <v>0</v>
      </c>
      <c r="K128" s="89">
        <f>'[1]OMM_Unit Matrix'!K128</f>
        <v>0</v>
      </c>
      <c r="L128" s="89">
        <f>'[1]OMM_Unit Matrix'!L128</f>
        <v>0</v>
      </c>
      <c r="M128" s="89">
        <f>'[1]OMM_Unit Matrix'!M128</f>
        <v>0</v>
      </c>
      <c r="N128" s="89">
        <f>'[1]OMM_Unit Matrix'!N128</f>
        <v>0</v>
      </c>
      <c r="O128" s="89">
        <f>'[1]OMM_Unit Matrix'!O128</f>
        <v>0</v>
      </c>
      <c r="P128" s="89">
        <f>'[1]OMM_Unit Matrix'!P128</f>
        <v>0</v>
      </c>
      <c r="Q128" s="89">
        <f>'[1]OMM_Unit Matrix'!Q128</f>
        <v>0</v>
      </c>
      <c r="R128" s="89">
        <f>'[1]OMM_Unit Matrix'!R128</f>
        <v>0</v>
      </c>
      <c r="S128" s="89">
        <f>'[1]OMM_Unit Matrix'!S128</f>
        <v>0</v>
      </c>
      <c r="T128" s="89">
        <f>'[1]OMM_Unit Matrix'!T128</f>
        <v>0</v>
      </c>
      <c r="U128" s="89">
        <f>'[1]OMM_Unit Matrix'!U128</f>
        <v>0</v>
      </c>
      <c r="V128" s="89">
        <f>'[1]OMM_Unit Matrix'!V128</f>
        <v>0</v>
      </c>
      <c r="W128" s="89">
        <f>'[1]OMM_Unit Matrix'!W128</f>
        <v>0</v>
      </c>
      <c r="X128" s="89">
        <f>'[1]OMM_Unit Matrix'!X128</f>
        <v>0</v>
      </c>
      <c r="Y128" s="89">
        <f>'[1]OMM_Unit Matrix'!Y128</f>
        <v>0</v>
      </c>
      <c r="Z128" s="89">
        <f>'[1]OMM_Unit Matrix'!Z128</f>
        <v>0</v>
      </c>
      <c r="AA128" s="89">
        <f>'[1]OMM_Unit Matrix'!AA128</f>
        <v>0</v>
      </c>
      <c r="AB128" s="89">
        <f>'[1]OMM_Unit Matrix'!AB128</f>
        <v>0</v>
      </c>
      <c r="AC128" s="89">
        <f>'[1]OMM_Unit Matrix'!AC128</f>
        <v>0</v>
      </c>
      <c r="AD128" s="89">
        <f>'[1]OMM_Unit Matrix'!AD128</f>
        <v>0</v>
      </c>
      <c r="AE128" s="89">
        <f>'[1]OMM_Unit Matrix'!AE128</f>
        <v>0</v>
      </c>
      <c r="AF128" s="89">
        <f>'[1]OMM_Unit Matrix'!AF128</f>
        <v>0</v>
      </c>
      <c r="AG128" s="89">
        <f>'[1]OMM_Unit Matrix'!AG128</f>
        <v>0</v>
      </c>
      <c r="AH128" s="89">
        <f>'[1]OMM_Unit Matrix'!AH128</f>
        <v>0</v>
      </c>
      <c r="AI128" s="89">
        <f>'[1]OMM_Unit Matrix'!AI128</f>
        <v>0</v>
      </c>
      <c r="AJ128" s="89">
        <f>'[1]OMM_Unit Matrix'!AJ128</f>
        <v>0</v>
      </c>
      <c r="AK128" s="89">
        <f>'[1]OMM_Unit Matrix'!AK128</f>
        <v>0</v>
      </c>
      <c r="AL128" s="89">
        <f>'[1]OMM_Unit Matrix'!AL128</f>
        <v>0</v>
      </c>
      <c r="AM128" s="89">
        <f>'[1]OMM_Unit Matrix'!AM128</f>
        <v>0</v>
      </c>
      <c r="AN128" s="89">
        <f>'[1]OMM_Unit Matrix'!AN128</f>
        <v>0</v>
      </c>
      <c r="AO128" s="89">
        <f>'[1]OMM_Unit Matrix'!AO128</f>
        <v>0</v>
      </c>
      <c r="AP128" s="89">
        <f>'[1]OMM_Unit Matrix'!AP128</f>
        <v>0</v>
      </c>
      <c r="AQ128" s="270">
        <f>'[1]OMM_Unit Matrix'!AQ128</f>
        <v>0</v>
      </c>
    </row>
    <row r="129" spans="2:43">
      <c r="B129" s="89">
        <f>'[1]OMM_Unit Matrix'!B129</f>
        <v>6</v>
      </c>
      <c r="C129" s="275">
        <f>'[1]OMM_Unit Matrix'!C129</f>
        <v>7</v>
      </c>
      <c r="D129" s="89">
        <f>'[1]OMM_Unit Matrix'!D129</f>
        <v>6007</v>
      </c>
      <c r="E129" s="89" t="str">
        <f>'[1]OMM_Unit Matrix'!E129</f>
        <v>NO</v>
      </c>
      <c r="F129" s="132" t="str">
        <f>'[1]OMM_Unit Matrix'!F129</f>
        <v>1B-02</v>
      </c>
      <c r="G129" s="89" t="str">
        <f>'[1]OMM_Unit Matrix'!G129</f>
        <v>ORDERED</v>
      </c>
      <c r="H129" s="89" t="str">
        <f>'[1]OMM_Unit Matrix'!H129</f>
        <v>YES</v>
      </c>
      <c r="I129" s="89">
        <f>'[1]OMM_Unit Matrix'!I129</f>
        <v>0</v>
      </c>
      <c r="J129" s="89" t="str">
        <f>'[1]OMM_Unit Matrix'!J129</f>
        <v>NO</v>
      </c>
      <c r="K129" s="89">
        <f>'[1]OMM_Unit Matrix'!K129</f>
        <v>0</v>
      </c>
      <c r="L129" s="89" t="str">
        <f>'[1]OMM_Unit Matrix'!L129</f>
        <v>NO</v>
      </c>
      <c r="M129" s="89">
        <f>'[1]OMM_Unit Matrix'!M129</f>
        <v>0</v>
      </c>
      <c r="N129" s="89" t="str">
        <f>'[1]OMM_Unit Matrix'!N129</f>
        <v>YES</v>
      </c>
      <c r="O129" s="89">
        <f>'[1]OMM_Unit Matrix'!O129</f>
        <v>0</v>
      </c>
      <c r="P129" s="89" t="str">
        <f>'[1]OMM_Unit Matrix'!P129</f>
        <v>NO</v>
      </c>
      <c r="Q129" s="89">
        <f>'[1]OMM_Unit Matrix'!Q129</f>
        <v>0</v>
      </c>
      <c r="R129" s="89" t="str">
        <f>'[1]OMM_Unit Matrix'!R129</f>
        <v>NO</v>
      </c>
      <c r="S129" s="89">
        <f>'[1]OMM_Unit Matrix'!S129</f>
        <v>0</v>
      </c>
      <c r="T129" s="89" t="str">
        <f>'[1]OMM_Unit Matrix'!T129</f>
        <v>NO</v>
      </c>
      <c r="U129" s="89">
        <f>'[1]OMM_Unit Matrix'!U129</f>
        <v>0</v>
      </c>
      <c r="V129" s="89" t="str">
        <f>'[1]OMM_Unit Matrix'!V129</f>
        <v>YES</v>
      </c>
      <c r="W129" s="89">
        <f>'[1]OMM_Unit Matrix'!W129</f>
        <v>0</v>
      </c>
      <c r="X129" s="89" t="str">
        <f>'[1]OMM_Unit Matrix'!X129</f>
        <v>NO</v>
      </c>
      <c r="Y129" s="89">
        <f>'[1]OMM_Unit Matrix'!Y129</f>
        <v>0</v>
      </c>
      <c r="Z129" s="89" t="str">
        <f>'[1]OMM_Unit Matrix'!Z129</f>
        <v>NO</v>
      </c>
      <c r="AA129" s="89">
        <f>'[1]OMM_Unit Matrix'!AA129</f>
        <v>0</v>
      </c>
      <c r="AB129" s="89" t="str">
        <f>'[1]OMM_Unit Matrix'!AB129</f>
        <v>YES</v>
      </c>
      <c r="AC129" s="89">
        <f>'[1]OMM_Unit Matrix'!AC129</f>
        <v>0</v>
      </c>
      <c r="AD129" s="89" t="str">
        <f>'[1]OMM_Unit Matrix'!AD129</f>
        <v>NO</v>
      </c>
      <c r="AE129" s="89">
        <f>'[1]OMM_Unit Matrix'!AE129</f>
        <v>0</v>
      </c>
      <c r="AF129" s="89" t="str">
        <f>'[1]OMM_Unit Matrix'!AF129</f>
        <v>NO</v>
      </c>
      <c r="AG129" s="89">
        <f>'[1]OMM_Unit Matrix'!AG129</f>
        <v>0</v>
      </c>
      <c r="AH129" s="89" t="str">
        <f>'[1]OMM_Unit Matrix'!AH129</f>
        <v>NO</v>
      </c>
      <c r="AI129" s="89">
        <f>'[1]OMM_Unit Matrix'!AI129</f>
        <v>0</v>
      </c>
      <c r="AJ129" s="89" t="str">
        <f>'[1]OMM_Unit Matrix'!AJ129</f>
        <v>NO</v>
      </c>
      <c r="AK129" s="89">
        <f>'[1]OMM_Unit Matrix'!AK129</f>
        <v>0</v>
      </c>
      <c r="AL129" s="89" t="str">
        <f>'[1]OMM_Unit Matrix'!AL129</f>
        <v>NO</v>
      </c>
      <c r="AM129" s="89">
        <f>'[1]OMM_Unit Matrix'!AM129</f>
        <v>0</v>
      </c>
      <c r="AN129" s="89" t="str">
        <f>'[1]OMM_Unit Matrix'!AN129</f>
        <v>NO</v>
      </c>
      <c r="AO129" s="89">
        <f>'[1]OMM_Unit Matrix'!AO129</f>
        <v>0</v>
      </c>
      <c r="AP129" s="89" t="str">
        <f>'[1]OMM_Unit Matrix'!AP129</f>
        <v>NO</v>
      </c>
      <c r="AQ129" s="270">
        <f>'[1]OMM_Unit Matrix'!AQ129</f>
        <v>0</v>
      </c>
    </row>
    <row r="130" spans="2:43" hidden="1">
      <c r="B130" s="89">
        <f>'[1]OMM_Unit Matrix'!B130</f>
        <v>6</v>
      </c>
      <c r="C130" s="275">
        <f>'[1]OMM_Unit Matrix'!C130</f>
        <v>8</v>
      </c>
      <c r="D130" s="89">
        <f>'[1]OMM_Unit Matrix'!D130</f>
        <v>6008</v>
      </c>
      <c r="E130" s="89">
        <f>'[1]OMM_Unit Matrix'!E130</f>
        <v>0</v>
      </c>
      <c r="F130" s="89">
        <f>'[1]OMM_Unit Matrix'!F130</f>
        <v>0</v>
      </c>
      <c r="G130" s="89" t="str">
        <f>'[1]OMM_Unit Matrix'!G130</f>
        <v>NOT IN SCOPE</v>
      </c>
      <c r="H130" s="89">
        <f>'[1]OMM_Unit Matrix'!H130</f>
        <v>0</v>
      </c>
      <c r="I130" s="89">
        <f>'[1]OMM_Unit Matrix'!I130</f>
        <v>0</v>
      </c>
      <c r="J130" s="89">
        <f>'[1]OMM_Unit Matrix'!J130</f>
        <v>0</v>
      </c>
      <c r="K130" s="89">
        <f>'[1]OMM_Unit Matrix'!K130</f>
        <v>0</v>
      </c>
      <c r="L130" s="89">
        <f>'[1]OMM_Unit Matrix'!L130</f>
        <v>0</v>
      </c>
      <c r="M130" s="89">
        <f>'[1]OMM_Unit Matrix'!M130</f>
        <v>0</v>
      </c>
      <c r="N130" s="89">
        <f>'[1]OMM_Unit Matrix'!N130</f>
        <v>0</v>
      </c>
      <c r="O130" s="89">
        <f>'[1]OMM_Unit Matrix'!O130</f>
        <v>0</v>
      </c>
      <c r="P130" s="89">
        <f>'[1]OMM_Unit Matrix'!P130</f>
        <v>0</v>
      </c>
      <c r="Q130" s="89">
        <f>'[1]OMM_Unit Matrix'!Q130</f>
        <v>0</v>
      </c>
      <c r="R130" s="89">
        <f>'[1]OMM_Unit Matrix'!R130</f>
        <v>0</v>
      </c>
      <c r="S130" s="89">
        <f>'[1]OMM_Unit Matrix'!S130</f>
        <v>0</v>
      </c>
      <c r="T130" s="89">
        <f>'[1]OMM_Unit Matrix'!T130</f>
        <v>0</v>
      </c>
      <c r="U130" s="89">
        <f>'[1]OMM_Unit Matrix'!U130</f>
        <v>0</v>
      </c>
      <c r="V130" s="89">
        <f>'[1]OMM_Unit Matrix'!V130</f>
        <v>0</v>
      </c>
      <c r="W130" s="89">
        <f>'[1]OMM_Unit Matrix'!W130</f>
        <v>0</v>
      </c>
      <c r="X130" s="89">
        <f>'[1]OMM_Unit Matrix'!X130</f>
        <v>0</v>
      </c>
      <c r="Y130" s="89">
        <f>'[1]OMM_Unit Matrix'!Y130</f>
        <v>0</v>
      </c>
      <c r="Z130" s="89">
        <f>'[1]OMM_Unit Matrix'!Z130</f>
        <v>0</v>
      </c>
      <c r="AA130" s="89">
        <f>'[1]OMM_Unit Matrix'!AA130</f>
        <v>0</v>
      </c>
      <c r="AB130" s="89">
        <f>'[1]OMM_Unit Matrix'!AB130</f>
        <v>0</v>
      </c>
      <c r="AC130" s="89">
        <f>'[1]OMM_Unit Matrix'!AC130</f>
        <v>0</v>
      </c>
      <c r="AD130" s="89">
        <f>'[1]OMM_Unit Matrix'!AD130</f>
        <v>0</v>
      </c>
      <c r="AE130" s="89">
        <f>'[1]OMM_Unit Matrix'!AE130</f>
        <v>0</v>
      </c>
      <c r="AF130" s="89">
        <f>'[1]OMM_Unit Matrix'!AF130</f>
        <v>0</v>
      </c>
      <c r="AG130" s="89">
        <f>'[1]OMM_Unit Matrix'!AG130</f>
        <v>0</v>
      </c>
      <c r="AH130" s="89">
        <f>'[1]OMM_Unit Matrix'!AH130</f>
        <v>0</v>
      </c>
      <c r="AI130" s="89">
        <f>'[1]OMM_Unit Matrix'!AI130</f>
        <v>0</v>
      </c>
      <c r="AJ130" s="89">
        <f>'[1]OMM_Unit Matrix'!AJ130</f>
        <v>0</v>
      </c>
      <c r="AK130" s="89">
        <f>'[1]OMM_Unit Matrix'!AK130</f>
        <v>0</v>
      </c>
      <c r="AL130" s="89">
        <f>'[1]OMM_Unit Matrix'!AL130</f>
        <v>0</v>
      </c>
      <c r="AM130" s="89">
        <f>'[1]OMM_Unit Matrix'!AM130</f>
        <v>0</v>
      </c>
      <c r="AN130" s="89">
        <f>'[1]OMM_Unit Matrix'!AN130</f>
        <v>0</v>
      </c>
      <c r="AO130" s="89">
        <f>'[1]OMM_Unit Matrix'!AO130</f>
        <v>0</v>
      </c>
      <c r="AP130" s="89">
        <f>'[1]OMM_Unit Matrix'!AP130</f>
        <v>0</v>
      </c>
      <c r="AQ130" s="270">
        <f>'[1]OMM_Unit Matrix'!AQ130</f>
        <v>0</v>
      </c>
    </row>
    <row r="131" spans="2:43">
      <c r="B131" s="89">
        <f>'[1]OMM_Unit Matrix'!B131</f>
        <v>6</v>
      </c>
      <c r="C131" s="275">
        <f>'[1]OMM_Unit Matrix'!C131</f>
        <v>9</v>
      </c>
      <c r="D131" s="89">
        <f>'[1]OMM_Unit Matrix'!D131</f>
        <v>6009</v>
      </c>
      <c r="E131" s="89" t="str">
        <f>'[1]OMM_Unit Matrix'!E131</f>
        <v>NO</v>
      </c>
      <c r="F131" s="132" t="str">
        <f>'[1]OMM_Unit Matrix'!F131</f>
        <v>1B-03</v>
      </c>
      <c r="G131" s="89" t="str">
        <f>'[1]OMM_Unit Matrix'!G131</f>
        <v>ORDERED</v>
      </c>
      <c r="H131" s="89" t="str">
        <f>'[1]OMM_Unit Matrix'!H131</f>
        <v>YES</v>
      </c>
      <c r="I131" s="89">
        <f>'[1]OMM_Unit Matrix'!I131</f>
        <v>0</v>
      </c>
      <c r="J131" s="89" t="str">
        <f>'[1]OMM_Unit Matrix'!J131</f>
        <v>NO</v>
      </c>
      <c r="K131" s="89">
        <f>'[1]OMM_Unit Matrix'!K131</f>
        <v>0</v>
      </c>
      <c r="L131" s="89" t="str">
        <f>'[1]OMM_Unit Matrix'!L131</f>
        <v>NO</v>
      </c>
      <c r="M131" s="89">
        <f>'[1]OMM_Unit Matrix'!M131</f>
        <v>0</v>
      </c>
      <c r="N131" s="89" t="str">
        <f>'[1]OMM_Unit Matrix'!N131</f>
        <v>YES</v>
      </c>
      <c r="O131" s="89">
        <f>'[1]OMM_Unit Matrix'!O131</f>
        <v>0</v>
      </c>
      <c r="P131" s="89" t="str">
        <f>'[1]OMM_Unit Matrix'!P131</f>
        <v>NO</v>
      </c>
      <c r="Q131" s="89">
        <f>'[1]OMM_Unit Matrix'!Q131</f>
        <v>0</v>
      </c>
      <c r="R131" s="89" t="str">
        <f>'[1]OMM_Unit Matrix'!R131</f>
        <v>NO</v>
      </c>
      <c r="S131" s="89">
        <f>'[1]OMM_Unit Matrix'!S131</f>
        <v>0</v>
      </c>
      <c r="T131" s="89" t="str">
        <f>'[1]OMM_Unit Matrix'!T131</f>
        <v>NO</v>
      </c>
      <c r="U131" s="89">
        <f>'[1]OMM_Unit Matrix'!U131</f>
        <v>0</v>
      </c>
      <c r="V131" s="89" t="str">
        <f>'[1]OMM_Unit Matrix'!V131</f>
        <v>YES</v>
      </c>
      <c r="W131" s="89">
        <f>'[1]OMM_Unit Matrix'!W131</f>
        <v>0</v>
      </c>
      <c r="X131" s="89" t="str">
        <f>'[1]OMM_Unit Matrix'!X131</f>
        <v>NO</v>
      </c>
      <c r="Y131" s="89">
        <f>'[1]OMM_Unit Matrix'!Y131</f>
        <v>0</v>
      </c>
      <c r="Z131" s="89" t="str">
        <f>'[1]OMM_Unit Matrix'!Z131</f>
        <v>NO</v>
      </c>
      <c r="AA131" s="89">
        <f>'[1]OMM_Unit Matrix'!AA131</f>
        <v>0</v>
      </c>
      <c r="AB131" s="89" t="str">
        <f>'[1]OMM_Unit Matrix'!AB131</f>
        <v>YES</v>
      </c>
      <c r="AC131" s="89">
        <f>'[1]OMM_Unit Matrix'!AC131</f>
        <v>0</v>
      </c>
      <c r="AD131" s="89" t="str">
        <f>'[1]OMM_Unit Matrix'!AD131</f>
        <v>NO</v>
      </c>
      <c r="AE131" s="89">
        <f>'[1]OMM_Unit Matrix'!AE131</f>
        <v>0</v>
      </c>
      <c r="AF131" s="89" t="str">
        <f>'[1]OMM_Unit Matrix'!AF131</f>
        <v>NO</v>
      </c>
      <c r="AG131" s="89">
        <f>'[1]OMM_Unit Matrix'!AG131</f>
        <v>0</v>
      </c>
      <c r="AH131" s="89" t="str">
        <f>'[1]OMM_Unit Matrix'!AH131</f>
        <v>NO</v>
      </c>
      <c r="AI131" s="89">
        <f>'[1]OMM_Unit Matrix'!AI131</f>
        <v>0</v>
      </c>
      <c r="AJ131" s="89" t="str">
        <f>'[1]OMM_Unit Matrix'!AJ131</f>
        <v>YES</v>
      </c>
      <c r="AK131" s="89">
        <f>'[1]OMM_Unit Matrix'!AK131</f>
        <v>0</v>
      </c>
      <c r="AL131" s="89" t="str">
        <f>'[1]OMM_Unit Matrix'!AL131</f>
        <v>NO</v>
      </c>
      <c r="AM131" s="89">
        <f>'[1]OMM_Unit Matrix'!AM131</f>
        <v>0</v>
      </c>
      <c r="AN131" s="89" t="str">
        <f>'[1]OMM_Unit Matrix'!AN131</f>
        <v>NO</v>
      </c>
      <c r="AO131" s="89">
        <f>'[1]OMM_Unit Matrix'!AO131</f>
        <v>0</v>
      </c>
      <c r="AP131" s="89" t="str">
        <f>'[1]OMM_Unit Matrix'!AP131</f>
        <v>NO</v>
      </c>
      <c r="AQ131" s="270">
        <f>'[1]OMM_Unit Matrix'!AQ131</f>
        <v>0</v>
      </c>
    </row>
    <row r="132" spans="2:43">
      <c r="B132" s="89">
        <f>'[1]OMM_Unit Matrix'!B132</f>
        <v>6</v>
      </c>
      <c r="C132" s="275">
        <f>'[1]OMM_Unit Matrix'!C132</f>
        <v>10</v>
      </c>
      <c r="D132" s="89">
        <f>'[1]OMM_Unit Matrix'!D132</f>
        <v>6010</v>
      </c>
      <c r="E132" s="89" t="str">
        <f>'[1]OMM_Unit Matrix'!E132</f>
        <v>NO</v>
      </c>
      <c r="F132" s="132" t="str">
        <f>'[1]OMM_Unit Matrix'!F132</f>
        <v>2B-03</v>
      </c>
      <c r="G132" s="89" t="str">
        <f>'[1]OMM_Unit Matrix'!G132</f>
        <v>ORDERED</v>
      </c>
      <c r="H132" s="89" t="str">
        <f>'[1]OMM_Unit Matrix'!H132</f>
        <v>YES</v>
      </c>
      <c r="I132" s="89">
        <f>'[1]OMM_Unit Matrix'!I132</f>
        <v>0</v>
      </c>
      <c r="J132" s="89" t="str">
        <f>'[1]OMM_Unit Matrix'!J132</f>
        <v>NO</v>
      </c>
      <c r="K132" s="89">
        <f>'[1]OMM_Unit Matrix'!K132</f>
        <v>0</v>
      </c>
      <c r="L132" s="89" t="str">
        <f>'[1]OMM_Unit Matrix'!L132</f>
        <v>NO</v>
      </c>
      <c r="M132" s="89">
        <f>'[1]OMM_Unit Matrix'!M132</f>
        <v>0</v>
      </c>
      <c r="N132" s="89" t="str">
        <f>'[1]OMM_Unit Matrix'!N132</f>
        <v>YES</v>
      </c>
      <c r="O132" s="89">
        <f>'[1]OMM_Unit Matrix'!O132</f>
        <v>0</v>
      </c>
      <c r="P132" s="89" t="str">
        <f>'[1]OMM_Unit Matrix'!P132</f>
        <v>NO</v>
      </c>
      <c r="Q132" s="89">
        <f>'[1]OMM_Unit Matrix'!Q132</f>
        <v>0</v>
      </c>
      <c r="R132" s="89" t="str">
        <f>'[1]OMM_Unit Matrix'!R132</f>
        <v>NO</v>
      </c>
      <c r="S132" s="89">
        <f>'[1]OMM_Unit Matrix'!S132</f>
        <v>0</v>
      </c>
      <c r="T132" s="89" t="str">
        <f>'[1]OMM_Unit Matrix'!T132</f>
        <v>NO</v>
      </c>
      <c r="U132" s="89">
        <f>'[1]OMM_Unit Matrix'!U132</f>
        <v>0</v>
      </c>
      <c r="V132" s="89" t="str">
        <f>'[1]OMM_Unit Matrix'!V132</f>
        <v>YES</v>
      </c>
      <c r="W132" s="89">
        <f>'[1]OMM_Unit Matrix'!W132</f>
        <v>0</v>
      </c>
      <c r="X132" s="89" t="str">
        <f>'[1]OMM_Unit Matrix'!X132</f>
        <v>NO</v>
      </c>
      <c r="Y132" s="89">
        <f>'[1]OMM_Unit Matrix'!Y132</f>
        <v>0</v>
      </c>
      <c r="Z132" s="89" t="str">
        <f>'[1]OMM_Unit Matrix'!Z132</f>
        <v>NO</v>
      </c>
      <c r="AA132" s="89">
        <f>'[1]OMM_Unit Matrix'!AA132</f>
        <v>0</v>
      </c>
      <c r="AB132" s="89" t="str">
        <f>'[1]OMM_Unit Matrix'!AB132</f>
        <v>YES</v>
      </c>
      <c r="AC132" s="89">
        <f>'[1]OMM_Unit Matrix'!AC132</f>
        <v>0</v>
      </c>
      <c r="AD132" s="89" t="str">
        <f>'[1]OMM_Unit Matrix'!AD132</f>
        <v>YES</v>
      </c>
      <c r="AE132" s="89">
        <f>'[1]OMM_Unit Matrix'!AE132</f>
        <v>0</v>
      </c>
      <c r="AF132" s="89" t="str">
        <f>'[1]OMM_Unit Matrix'!AF132</f>
        <v>NO</v>
      </c>
      <c r="AG132" s="89">
        <f>'[1]OMM_Unit Matrix'!AG132</f>
        <v>0</v>
      </c>
      <c r="AH132" s="89" t="str">
        <f>'[1]OMM_Unit Matrix'!AH132</f>
        <v>NO</v>
      </c>
      <c r="AI132" s="89">
        <f>'[1]OMM_Unit Matrix'!AI132</f>
        <v>0</v>
      </c>
      <c r="AJ132" s="89" t="str">
        <f>'[1]OMM_Unit Matrix'!AJ132</f>
        <v>NO</v>
      </c>
      <c r="AK132" s="89">
        <f>'[1]OMM_Unit Matrix'!AK132</f>
        <v>0</v>
      </c>
      <c r="AL132" s="89" t="str">
        <f>'[1]OMM_Unit Matrix'!AL132</f>
        <v>NO</v>
      </c>
      <c r="AM132" s="89">
        <f>'[1]OMM_Unit Matrix'!AM132</f>
        <v>0</v>
      </c>
      <c r="AN132" s="89" t="str">
        <f>'[1]OMM_Unit Matrix'!AN132</f>
        <v>NO</v>
      </c>
      <c r="AO132" s="89">
        <f>'[1]OMM_Unit Matrix'!AO132</f>
        <v>0</v>
      </c>
      <c r="AP132" s="89" t="str">
        <f>'[1]OMM_Unit Matrix'!AP132</f>
        <v>NO</v>
      </c>
      <c r="AQ132" s="270">
        <f>'[1]OMM_Unit Matrix'!AQ132</f>
        <v>0</v>
      </c>
    </row>
    <row r="133" spans="2:43" hidden="1">
      <c r="B133" s="89">
        <f>'[1]OMM_Unit Matrix'!B133</f>
        <v>6</v>
      </c>
      <c r="C133" s="275">
        <f>'[1]OMM_Unit Matrix'!C133</f>
        <v>11</v>
      </c>
      <c r="D133" s="89">
        <f>'[1]OMM_Unit Matrix'!D133</f>
        <v>6011</v>
      </c>
      <c r="E133" s="89">
        <f>'[1]OMM_Unit Matrix'!E133</f>
        <v>0</v>
      </c>
      <c r="F133" s="89">
        <f>'[1]OMM_Unit Matrix'!F133</f>
        <v>0</v>
      </c>
      <c r="G133" s="89" t="str">
        <f>'[1]OMM_Unit Matrix'!G133</f>
        <v>NOT IN SCOPE</v>
      </c>
      <c r="H133" s="89">
        <f>'[1]OMM_Unit Matrix'!H133</f>
        <v>0</v>
      </c>
      <c r="I133" s="89">
        <f>'[1]OMM_Unit Matrix'!I133</f>
        <v>0</v>
      </c>
      <c r="J133" s="89">
        <f>'[1]OMM_Unit Matrix'!J133</f>
        <v>0</v>
      </c>
      <c r="K133" s="89">
        <f>'[1]OMM_Unit Matrix'!K133</f>
        <v>0</v>
      </c>
      <c r="L133" s="89">
        <f>'[1]OMM_Unit Matrix'!L133</f>
        <v>0</v>
      </c>
      <c r="M133" s="89">
        <f>'[1]OMM_Unit Matrix'!M133</f>
        <v>0</v>
      </c>
      <c r="N133" s="89">
        <f>'[1]OMM_Unit Matrix'!N133</f>
        <v>0</v>
      </c>
      <c r="O133" s="89">
        <f>'[1]OMM_Unit Matrix'!O133</f>
        <v>0</v>
      </c>
      <c r="P133" s="89">
        <f>'[1]OMM_Unit Matrix'!P133</f>
        <v>0</v>
      </c>
      <c r="Q133" s="89">
        <f>'[1]OMM_Unit Matrix'!Q133</f>
        <v>0</v>
      </c>
      <c r="R133" s="89">
        <f>'[1]OMM_Unit Matrix'!R133</f>
        <v>0</v>
      </c>
      <c r="S133" s="89">
        <f>'[1]OMM_Unit Matrix'!S133</f>
        <v>0</v>
      </c>
      <c r="T133" s="89">
        <f>'[1]OMM_Unit Matrix'!T133</f>
        <v>0</v>
      </c>
      <c r="U133" s="89">
        <f>'[1]OMM_Unit Matrix'!U133</f>
        <v>0</v>
      </c>
      <c r="V133" s="89">
        <f>'[1]OMM_Unit Matrix'!V133</f>
        <v>0</v>
      </c>
      <c r="W133" s="89">
        <f>'[1]OMM_Unit Matrix'!W133</f>
        <v>0</v>
      </c>
      <c r="X133" s="89">
        <f>'[1]OMM_Unit Matrix'!X133</f>
        <v>0</v>
      </c>
      <c r="Y133" s="89">
        <f>'[1]OMM_Unit Matrix'!Y133</f>
        <v>0</v>
      </c>
      <c r="Z133" s="89">
        <f>'[1]OMM_Unit Matrix'!Z133</f>
        <v>0</v>
      </c>
      <c r="AA133" s="89">
        <f>'[1]OMM_Unit Matrix'!AA133</f>
        <v>0</v>
      </c>
      <c r="AB133" s="89">
        <f>'[1]OMM_Unit Matrix'!AB133</f>
        <v>0</v>
      </c>
      <c r="AC133" s="89">
        <f>'[1]OMM_Unit Matrix'!AC133</f>
        <v>0</v>
      </c>
      <c r="AD133" s="89">
        <f>'[1]OMM_Unit Matrix'!AD133</f>
        <v>0</v>
      </c>
      <c r="AE133" s="89">
        <f>'[1]OMM_Unit Matrix'!AE133</f>
        <v>0</v>
      </c>
      <c r="AF133" s="89">
        <f>'[1]OMM_Unit Matrix'!AF133</f>
        <v>0</v>
      </c>
      <c r="AG133" s="89">
        <f>'[1]OMM_Unit Matrix'!AG133</f>
        <v>0</v>
      </c>
      <c r="AH133" s="89">
        <f>'[1]OMM_Unit Matrix'!AH133</f>
        <v>0</v>
      </c>
      <c r="AI133" s="89">
        <f>'[1]OMM_Unit Matrix'!AI133</f>
        <v>0</v>
      </c>
      <c r="AJ133" s="89">
        <f>'[1]OMM_Unit Matrix'!AJ133</f>
        <v>0</v>
      </c>
      <c r="AK133" s="89">
        <f>'[1]OMM_Unit Matrix'!AK133</f>
        <v>0</v>
      </c>
      <c r="AL133" s="89">
        <f>'[1]OMM_Unit Matrix'!AL133</f>
        <v>0</v>
      </c>
      <c r="AM133" s="89">
        <f>'[1]OMM_Unit Matrix'!AM133</f>
        <v>0</v>
      </c>
      <c r="AN133" s="89">
        <f>'[1]OMM_Unit Matrix'!AN133</f>
        <v>0</v>
      </c>
      <c r="AO133" s="89">
        <f>'[1]OMM_Unit Matrix'!AO133</f>
        <v>0</v>
      </c>
      <c r="AP133" s="89">
        <f>'[1]OMM_Unit Matrix'!AP133</f>
        <v>0</v>
      </c>
      <c r="AQ133" s="270">
        <f>'[1]OMM_Unit Matrix'!AQ133</f>
        <v>0</v>
      </c>
    </row>
    <row r="134" spans="2:43" hidden="1">
      <c r="B134" s="89">
        <f>'[1]OMM_Unit Matrix'!B134</f>
        <v>6</v>
      </c>
      <c r="C134" s="275">
        <f>'[1]OMM_Unit Matrix'!C134</f>
        <v>12</v>
      </c>
      <c r="D134" s="89">
        <f>'[1]OMM_Unit Matrix'!D134</f>
        <v>6012</v>
      </c>
      <c r="E134" s="89">
        <f>'[1]OMM_Unit Matrix'!E134</f>
        <v>0</v>
      </c>
      <c r="F134" s="89">
        <f>'[1]OMM_Unit Matrix'!F134</f>
        <v>0</v>
      </c>
      <c r="G134" s="89" t="str">
        <f>'[1]OMM_Unit Matrix'!G134</f>
        <v>NOT IN SCOPE</v>
      </c>
      <c r="H134" s="89">
        <f>'[1]OMM_Unit Matrix'!H134</f>
        <v>0</v>
      </c>
      <c r="I134" s="89">
        <f>'[1]OMM_Unit Matrix'!I134</f>
        <v>0</v>
      </c>
      <c r="J134" s="89">
        <f>'[1]OMM_Unit Matrix'!J134</f>
        <v>0</v>
      </c>
      <c r="K134" s="89">
        <f>'[1]OMM_Unit Matrix'!K134</f>
        <v>0</v>
      </c>
      <c r="L134" s="89">
        <f>'[1]OMM_Unit Matrix'!L134</f>
        <v>0</v>
      </c>
      <c r="M134" s="89">
        <f>'[1]OMM_Unit Matrix'!M134</f>
        <v>0</v>
      </c>
      <c r="N134" s="89">
        <f>'[1]OMM_Unit Matrix'!N134</f>
        <v>0</v>
      </c>
      <c r="O134" s="89">
        <f>'[1]OMM_Unit Matrix'!O134</f>
        <v>0</v>
      </c>
      <c r="P134" s="89">
        <f>'[1]OMM_Unit Matrix'!P134</f>
        <v>0</v>
      </c>
      <c r="Q134" s="89">
        <f>'[1]OMM_Unit Matrix'!Q134</f>
        <v>0</v>
      </c>
      <c r="R134" s="89">
        <f>'[1]OMM_Unit Matrix'!R134</f>
        <v>0</v>
      </c>
      <c r="S134" s="89">
        <f>'[1]OMM_Unit Matrix'!S134</f>
        <v>0</v>
      </c>
      <c r="T134" s="89">
        <f>'[1]OMM_Unit Matrix'!T134</f>
        <v>0</v>
      </c>
      <c r="U134" s="89">
        <f>'[1]OMM_Unit Matrix'!U134</f>
        <v>0</v>
      </c>
      <c r="V134" s="89">
        <f>'[1]OMM_Unit Matrix'!V134</f>
        <v>0</v>
      </c>
      <c r="W134" s="89">
        <f>'[1]OMM_Unit Matrix'!W134</f>
        <v>0</v>
      </c>
      <c r="X134" s="89">
        <f>'[1]OMM_Unit Matrix'!X134</f>
        <v>0</v>
      </c>
      <c r="Y134" s="89">
        <f>'[1]OMM_Unit Matrix'!Y134</f>
        <v>0</v>
      </c>
      <c r="Z134" s="89">
        <f>'[1]OMM_Unit Matrix'!Z134</f>
        <v>0</v>
      </c>
      <c r="AA134" s="89">
        <f>'[1]OMM_Unit Matrix'!AA134</f>
        <v>0</v>
      </c>
      <c r="AB134" s="89">
        <f>'[1]OMM_Unit Matrix'!AB134</f>
        <v>0</v>
      </c>
      <c r="AC134" s="89">
        <f>'[1]OMM_Unit Matrix'!AC134</f>
        <v>0</v>
      </c>
      <c r="AD134" s="89">
        <f>'[1]OMM_Unit Matrix'!AD134</f>
        <v>0</v>
      </c>
      <c r="AE134" s="89">
        <f>'[1]OMM_Unit Matrix'!AE134</f>
        <v>0</v>
      </c>
      <c r="AF134" s="89">
        <f>'[1]OMM_Unit Matrix'!AF134</f>
        <v>0</v>
      </c>
      <c r="AG134" s="89">
        <f>'[1]OMM_Unit Matrix'!AG134</f>
        <v>0</v>
      </c>
      <c r="AH134" s="89">
        <f>'[1]OMM_Unit Matrix'!AH134</f>
        <v>0</v>
      </c>
      <c r="AI134" s="89">
        <f>'[1]OMM_Unit Matrix'!AI134</f>
        <v>0</v>
      </c>
      <c r="AJ134" s="89">
        <f>'[1]OMM_Unit Matrix'!AJ134</f>
        <v>0</v>
      </c>
      <c r="AK134" s="89">
        <f>'[1]OMM_Unit Matrix'!AK134</f>
        <v>0</v>
      </c>
      <c r="AL134" s="89">
        <f>'[1]OMM_Unit Matrix'!AL134</f>
        <v>0</v>
      </c>
      <c r="AM134" s="89">
        <f>'[1]OMM_Unit Matrix'!AM134</f>
        <v>0</v>
      </c>
      <c r="AN134" s="89">
        <f>'[1]OMM_Unit Matrix'!AN134</f>
        <v>0</v>
      </c>
      <c r="AO134" s="89">
        <f>'[1]OMM_Unit Matrix'!AO134</f>
        <v>0</v>
      </c>
      <c r="AP134" s="89">
        <f>'[1]OMM_Unit Matrix'!AP134</f>
        <v>0</v>
      </c>
      <c r="AQ134" s="270">
        <f>'[1]OMM_Unit Matrix'!AQ134</f>
        <v>0</v>
      </c>
    </row>
    <row r="135" spans="2:43" hidden="1">
      <c r="B135" s="89">
        <f>'[1]OMM_Unit Matrix'!B135</f>
        <v>6</v>
      </c>
      <c r="C135" s="275">
        <f>'[1]OMM_Unit Matrix'!C135</f>
        <v>13</v>
      </c>
      <c r="D135" s="89">
        <f>'[1]OMM_Unit Matrix'!D135</f>
        <v>6013</v>
      </c>
      <c r="E135" s="89">
        <f>'[1]OMM_Unit Matrix'!E135</f>
        <v>0</v>
      </c>
      <c r="F135" s="89">
        <f>'[1]OMM_Unit Matrix'!F135</f>
        <v>0</v>
      </c>
      <c r="G135" s="89" t="str">
        <f>'[1]OMM_Unit Matrix'!G135</f>
        <v>NOT IN SCOPE</v>
      </c>
      <c r="H135" s="89">
        <f>'[1]OMM_Unit Matrix'!H135</f>
        <v>0</v>
      </c>
      <c r="I135" s="89">
        <f>'[1]OMM_Unit Matrix'!I135</f>
        <v>0</v>
      </c>
      <c r="J135" s="89">
        <f>'[1]OMM_Unit Matrix'!J135</f>
        <v>0</v>
      </c>
      <c r="K135" s="89">
        <f>'[1]OMM_Unit Matrix'!K135</f>
        <v>0</v>
      </c>
      <c r="L135" s="89">
        <f>'[1]OMM_Unit Matrix'!L135</f>
        <v>0</v>
      </c>
      <c r="M135" s="89">
        <f>'[1]OMM_Unit Matrix'!M135</f>
        <v>0</v>
      </c>
      <c r="N135" s="89">
        <f>'[1]OMM_Unit Matrix'!N135</f>
        <v>0</v>
      </c>
      <c r="O135" s="89">
        <f>'[1]OMM_Unit Matrix'!O135</f>
        <v>0</v>
      </c>
      <c r="P135" s="89">
        <f>'[1]OMM_Unit Matrix'!P135</f>
        <v>0</v>
      </c>
      <c r="Q135" s="89">
        <f>'[1]OMM_Unit Matrix'!Q135</f>
        <v>0</v>
      </c>
      <c r="R135" s="89">
        <f>'[1]OMM_Unit Matrix'!R135</f>
        <v>0</v>
      </c>
      <c r="S135" s="89">
        <f>'[1]OMM_Unit Matrix'!S135</f>
        <v>0</v>
      </c>
      <c r="T135" s="89">
        <f>'[1]OMM_Unit Matrix'!T135</f>
        <v>0</v>
      </c>
      <c r="U135" s="89">
        <f>'[1]OMM_Unit Matrix'!U135</f>
        <v>0</v>
      </c>
      <c r="V135" s="89">
        <f>'[1]OMM_Unit Matrix'!V135</f>
        <v>0</v>
      </c>
      <c r="W135" s="89">
        <f>'[1]OMM_Unit Matrix'!W135</f>
        <v>0</v>
      </c>
      <c r="X135" s="89">
        <f>'[1]OMM_Unit Matrix'!X135</f>
        <v>0</v>
      </c>
      <c r="Y135" s="89">
        <f>'[1]OMM_Unit Matrix'!Y135</f>
        <v>0</v>
      </c>
      <c r="Z135" s="89">
        <f>'[1]OMM_Unit Matrix'!Z135</f>
        <v>0</v>
      </c>
      <c r="AA135" s="89">
        <f>'[1]OMM_Unit Matrix'!AA135</f>
        <v>0</v>
      </c>
      <c r="AB135" s="89">
        <f>'[1]OMM_Unit Matrix'!AB135</f>
        <v>0</v>
      </c>
      <c r="AC135" s="89">
        <f>'[1]OMM_Unit Matrix'!AC135</f>
        <v>0</v>
      </c>
      <c r="AD135" s="89">
        <f>'[1]OMM_Unit Matrix'!AD135</f>
        <v>0</v>
      </c>
      <c r="AE135" s="89">
        <f>'[1]OMM_Unit Matrix'!AE135</f>
        <v>0</v>
      </c>
      <c r="AF135" s="89">
        <f>'[1]OMM_Unit Matrix'!AF135</f>
        <v>0</v>
      </c>
      <c r="AG135" s="89">
        <f>'[1]OMM_Unit Matrix'!AG135</f>
        <v>0</v>
      </c>
      <c r="AH135" s="89">
        <f>'[1]OMM_Unit Matrix'!AH135</f>
        <v>0</v>
      </c>
      <c r="AI135" s="89">
        <f>'[1]OMM_Unit Matrix'!AI135</f>
        <v>0</v>
      </c>
      <c r="AJ135" s="89">
        <f>'[1]OMM_Unit Matrix'!AJ135</f>
        <v>0</v>
      </c>
      <c r="AK135" s="89">
        <f>'[1]OMM_Unit Matrix'!AK135</f>
        <v>0</v>
      </c>
      <c r="AL135" s="89">
        <f>'[1]OMM_Unit Matrix'!AL135</f>
        <v>0</v>
      </c>
      <c r="AM135" s="89">
        <f>'[1]OMM_Unit Matrix'!AM135</f>
        <v>0</v>
      </c>
      <c r="AN135" s="89">
        <f>'[1]OMM_Unit Matrix'!AN135</f>
        <v>0</v>
      </c>
      <c r="AO135" s="89">
        <f>'[1]OMM_Unit Matrix'!AO135</f>
        <v>0</v>
      </c>
      <c r="AP135" s="89">
        <f>'[1]OMM_Unit Matrix'!AP135</f>
        <v>0</v>
      </c>
      <c r="AQ135" s="270">
        <f>'[1]OMM_Unit Matrix'!AQ135</f>
        <v>0</v>
      </c>
    </row>
    <row r="136" spans="2:43" hidden="1">
      <c r="B136" s="89">
        <f>'[1]OMM_Unit Matrix'!B136</f>
        <v>6</v>
      </c>
      <c r="C136" s="275">
        <f>'[1]OMM_Unit Matrix'!C136</f>
        <v>14</v>
      </c>
      <c r="D136" s="89">
        <f>'[1]OMM_Unit Matrix'!D136</f>
        <v>6014</v>
      </c>
      <c r="E136" s="89">
        <f>'[1]OMM_Unit Matrix'!E136</f>
        <v>0</v>
      </c>
      <c r="F136" s="89">
        <f>'[1]OMM_Unit Matrix'!F136</f>
        <v>0</v>
      </c>
      <c r="G136" s="89" t="str">
        <f>'[1]OMM_Unit Matrix'!G136</f>
        <v>NOT IN SCOPE</v>
      </c>
      <c r="H136" s="89">
        <f>'[1]OMM_Unit Matrix'!H136</f>
        <v>0</v>
      </c>
      <c r="I136" s="89">
        <f>'[1]OMM_Unit Matrix'!I136</f>
        <v>0</v>
      </c>
      <c r="J136" s="89">
        <f>'[1]OMM_Unit Matrix'!J136</f>
        <v>0</v>
      </c>
      <c r="K136" s="89">
        <f>'[1]OMM_Unit Matrix'!K136</f>
        <v>0</v>
      </c>
      <c r="L136" s="89">
        <f>'[1]OMM_Unit Matrix'!L136</f>
        <v>0</v>
      </c>
      <c r="M136" s="89">
        <f>'[1]OMM_Unit Matrix'!M136</f>
        <v>0</v>
      </c>
      <c r="N136" s="89">
        <f>'[1]OMM_Unit Matrix'!N136</f>
        <v>0</v>
      </c>
      <c r="O136" s="89">
        <f>'[1]OMM_Unit Matrix'!O136</f>
        <v>0</v>
      </c>
      <c r="P136" s="89">
        <f>'[1]OMM_Unit Matrix'!P136</f>
        <v>0</v>
      </c>
      <c r="Q136" s="89">
        <f>'[1]OMM_Unit Matrix'!Q136</f>
        <v>0</v>
      </c>
      <c r="R136" s="89">
        <f>'[1]OMM_Unit Matrix'!R136</f>
        <v>0</v>
      </c>
      <c r="S136" s="89">
        <f>'[1]OMM_Unit Matrix'!S136</f>
        <v>0</v>
      </c>
      <c r="T136" s="89">
        <f>'[1]OMM_Unit Matrix'!T136</f>
        <v>0</v>
      </c>
      <c r="U136" s="89">
        <f>'[1]OMM_Unit Matrix'!U136</f>
        <v>0</v>
      </c>
      <c r="V136" s="89">
        <f>'[1]OMM_Unit Matrix'!V136</f>
        <v>0</v>
      </c>
      <c r="W136" s="89">
        <f>'[1]OMM_Unit Matrix'!W136</f>
        <v>0</v>
      </c>
      <c r="X136" s="89">
        <f>'[1]OMM_Unit Matrix'!X136</f>
        <v>0</v>
      </c>
      <c r="Y136" s="89">
        <f>'[1]OMM_Unit Matrix'!Y136</f>
        <v>0</v>
      </c>
      <c r="Z136" s="89">
        <f>'[1]OMM_Unit Matrix'!Z136</f>
        <v>0</v>
      </c>
      <c r="AA136" s="89">
        <f>'[1]OMM_Unit Matrix'!AA136</f>
        <v>0</v>
      </c>
      <c r="AB136" s="89">
        <f>'[1]OMM_Unit Matrix'!AB136</f>
        <v>0</v>
      </c>
      <c r="AC136" s="89">
        <f>'[1]OMM_Unit Matrix'!AC136</f>
        <v>0</v>
      </c>
      <c r="AD136" s="89">
        <f>'[1]OMM_Unit Matrix'!AD136</f>
        <v>0</v>
      </c>
      <c r="AE136" s="89">
        <f>'[1]OMM_Unit Matrix'!AE136</f>
        <v>0</v>
      </c>
      <c r="AF136" s="89">
        <f>'[1]OMM_Unit Matrix'!AF136</f>
        <v>0</v>
      </c>
      <c r="AG136" s="89">
        <f>'[1]OMM_Unit Matrix'!AG136</f>
        <v>0</v>
      </c>
      <c r="AH136" s="89">
        <f>'[1]OMM_Unit Matrix'!AH136</f>
        <v>0</v>
      </c>
      <c r="AI136" s="89">
        <f>'[1]OMM_Unit Matrix'!AI136</f>
        <v>0</v>
      </c>
      <c r="AJ136" s="89">
        <f>'[1]OMM_Unit Matrix'!AJ136</f>
        <v>0</v>
      </c>
      <c r="AK136" s="89">
        <f>'[1]OMM_Unit Matrix'!AK136</f>
        <v>0</v>
      </c>
      <c r="AL136" s="89">
        <f>'[1]OMM_Unit Matrix'!AL136</f>
        <v>0</v>
      </c>
      <c r="AM136" s="89">
        <f>'[1]OMM_Unit Matrix'!AM136</f>
        <v>0</v>
      </c>
      <c r="AN136" s="89">
        <f>'[1]OMM_Unit Matrix'!AN136</f>
        <v>0</v>
      </c>
      <c r="AO136" s="89">
        <f>'[1]OMM_Unit Matrix'!AO136</f>
        <v>0</v>
      </c>
      <c r="AP136" s="89">
        <f>'[1]OMM_Unit Matrix'!AP136</f>
        <v>0</v>
      </c>
      <c r="AQ136" s="270">
        <f>'[1]OMM_Unit Matrix'!AQ136</f>
        <v>0</v>
      </c>
    </row>
    <row r="137" spans="2:43" hidden="1">
      <c r="B137" s="89">
        <f>'[1]OMM_Unit Matrix'!B137</f>
        <v>6</v>
      </c>
      <c r="C137" s="275">
        <f>'[1]OMM_Unit Matrix'!C137</f>
        <v>15</v>
      </c>
      <c r="D137" s="89">
        <f>'[1]OMM_Unit Matrix'!D137</f>
        <v>6015</v>
      </c>
      <c r="E137" s="89">
        <f>'[1]OMM_Unit Matrix'!E137</f>
        <v>0</v>
      </c>
      <c r="F137" s="89">
        <f>'[1]OMM_Unit Matrix'!F137</f>
        <v>0</v>
      </c>
      <c r="G137" s="89" t="str">
        <f>'[1]OMM_Unit Matrix'!G137</f>
        <v>NOT IN SCOPE</v>
      </c>
      <c r="H137" s="89">
        <f>'[1]OMM_Unit Matrix'!H137</f>
        <v>0</v>
      </c>
      <c r="I137" s="89">
        <f>'[1]OMM_Unit Matrix'!I137</f>
        <v>0</v>
      </c>
      <c r="J137" s="89">
        <f>'[1]OMM_Unit Matrix'!J137</f>
        <v>0</v>
      </c>
      <c r="K137" s="89">
        <f>'[1]OMM_Unit Matrix'!K137</f>
        <v>0</v>
      </c>
      <c r="L137" s="89">
        <f>'[1]OMM_Unit Matrix'!L137</f>
        <v>0</v>
      </c>
      <c r="M137" s="89">
        <f>'[1]OMM_Unit Matrix'!M137</f>
        <v>0</v>
      </c>
      <c r="N137" s="89">
        <f>'[1]OMM_Unit Matrix'!N137</f>
        <v>0</v>
      </c>
      <c r="O137" s="89">
        <f>'[1]OMM_Unit Matrix'!O137</f>
        <v>0</v>
      </c>
      <c r="P137" s="89">
        <f>'[1]OMM_Unit Matrix'!P137</f>
        <v>0</v>
      </c>
      <c r="Q137" s="89">
        <f>'[1]OMM_Unit Matrix'!Q137</f>
        <v>0</v>
      </c>
      <c r="R137" s="89">
        <f>'[1]OMM_Unit Matrix'!R137</f>
        <v>0</v>
      </c>
      <c r="S137" s="89">
        <f>'[1]OMM_Unit Matrix'!S137</f>
        <v>0</v>
      </c>
      <c r="T137" s="89">
        <f>'[1]OMM_Unit Matrix'!T137</f>
        <v>0</v>
      </c>
      <c r="U137" s="89">
        <f>'[1]OMM_Unit Matrix'!U137</f>
        <v>0</v>
      </c>
      <c r="V137" s="89">
        <f>'[1]OMM_Unit Matrix'!V137</f>
        <v>0</v>
      </c>
      <c r="W137" s="89">
        <f>'[1]OMM_Unit Matrix'!W137</f>
        <v>0</v>
      </c>
      <c r="X137" s="89">
        <f>'[1]OMM_Unit Matrix'!X137</f>
        <v>0</v>
      </c>
      <c r="Y137" s="89">
        <f>'[1]OMM_Unit Matrix'!Y137</f>
        <v>0</v>
      </c>
      <c r="Z137" s="89">
        <f>'[1]OMM_Unit Matrix'!Z137</f>
        <v>0</v>
      </c>
      <c r="AA137" s="89">
        <f>'[1]OMM_Unit Matrix'!AA137</f>
        <v>0</v>
      </c>
      <c r="AB137" s="89">
        <f>'[1]OMM_Unit Matrix'!AB137</f>
        <v>0</v>
      </c>
      <c r="AC137" s="89">
        <f>'[1]OMM_Unit Matrix'!AC137</f>
        <v>0</v>
      </c>
      <c r="AD137" s="89">
        <f>'[1]OMM_Unit Matrix'!AD137</f>
        <v>0</v>
      </c>
      <c r="AE137" s="89">
        <f>'[1]OMM_Unit Matrix'!AE137</f>
        <v>0</v>
      </c>
      <c r="AF137" s="89">
        <f>'[1]OMM_Unit Matrix'!AF137</f>
        <v>0</v>
      </c>
      <c r="AG137" s="89">
        <f>'[1]OMM_Unit Matrix'!AG137</f>
        <v>0</v>
      </c>
      <c r="AH137" s="89">
        <f>'[1]OMM_Unit Matrix'!AH137</f>
        <v>0</v>
      </c>
      <c r="AI137" s="89">
        <f>'[1]OMM_Unit Matrix'!AI137</f>
        <v>0</v>
      </c>
      <c r="AJ137" s="89">
        <f>'[1]OMM_Unit Matrix'!AJ137</f>
        <v>0</v>
      </c>
      <c r="AK137" s="89">
        <f>'[1]OMM_Unit Matrix'!AK137</f>
        <v>0</v>
      </c>
      <c r="AL137" s="89">
        <f>'[1]OMM_Unit Matrix'!AL137</f>
        <v>0</v>
      </c>
      <c r="AM137" s="89">
        <f>'[1]OMM_Unit Matrix'!AM137</f>
        <v>0</v>
      </c>
      <c r="AN137" s="89">
        <f>'[1]OMM_Unit Matrix'!AN137</f>
        <v>0</v>
      </c>
      <c r="AO137" s="89">
        <f>'[1]OMM_Unit Matrix'!AO137</f>
        <v>0</v>
      </c>
      <c r="AP137" s="89">
        <f>'[1]OMM_Unit Matrix'!AP137</f>
        <v>0</v>
      </c>
      <c r="AQ137" s="270">
        <f>'[1]OMM_Unit Matrix'!AQ137</f>
        <v>0</v>
      </c>
    </row>
    <row r="138" spans="2:43" hidden="1">
      <c r="B138" s="89">
        <f>'[1]OMM_Unit Matrix'!B138</f>
        <v>6</v>
      </c>
      <c r="C138" s="275">
        <f>'[1]OMM_Unit Matrix'!C138</f>
        <v>16</v>
      </c>
      <c r="D138" s="89">
        <f>'[1]OMM_Unit Matrix'!D138</f>
        <v>6016</v>
      </c>
      <c r="E138" s="89">
        <f>'[1]OMM_Unit Matrix'!E138</f>
        <v>0</v>
      </c>
      <c r="F138" s="89">
        <f>'[1]OMM_Unit Matrix'!F138</f>
        <v>0</v>
      </c>
      <c r="G138" s="89" t="str">
        <f>'[1]OMM_Unit Matrix'!G138</f>
        <v>NOT IN SCOPE</v>
      </c>
      <c r="H138" s="89">
        <f>'[1]OMM_Unit Matrix'!H138</f>
        <v>0</v>
      </c>
      <c r="I138" s="89">
        <f>'[1]OMM_Unit Matrix'!I138</f>
        <v>0</v>
      </c>
      <c r="J138" s="89">
        <f>'[1]OMM_Unit Matrix'!J138</f>
        <v>0</v>
      </c>
      <c r="K138" s="89">
        <f>'[1]OMM_Unit Matrix'!K138</f>
        <v>0</v>
      </c>
      <c r="L138" s="89">
        <f>'[1]OMM_Unit Matrix'!L138</f>
        <v>0</v>
      </c>
      <c r="M138" s="89">
        <f>'[1]OMM_Unit Matrix'!M138</f>
        <v>0</v>
      </c>
      <c r="N138" s="89">
        <f>'[1]OMM_Unit Matrix'!N138</f>
        <v>0</v>
      </c>
      <c r="O138" s="89">
        <f>'[1]OMM_Unit Matrix'!O138</f>
        <v>0</v>
      </c>
      <c r="P138" s="89">
        <f>'[1]OMM_Unit Matrix'!P138</f>
        <v>0</v>
      </c>
      <c r="Q138" s="89">
        <f>'[1]OMM_Unit Matrix'!Q138</f>
        <v>0</v>
      </c>
      <c r="R138" s="89">
        <f>'[1]OMM_Unit Matrix'!R138</f>
        <v>0</v>
      </c>
      <c r="S138" s="89">
        <f>'[1]OMM_Unit Matrix'!S138</f>
        <v>0</v>
      </c>
      <c r="T138" s="89">
        <f>'[1]OMM_Unit Matrix'!T138</f>
        <v>0</v>
      </c>
      <c r="U138" s="89">
        <f>'[1]OMM_Unit Matrix'!U138</f>
        <v>0</v>
      </c>
      <c r="V138" s="89">
        <f>'[1]OMM_Unit Matrix'!V138</f>
        <v>0</v>
      </c>
      <c r="W138" s="89">
        <f>'[1]OMM_Unit Matrix'!W138</f>
        <v>0</v>
      </c>
      <c r="X138" s="89">
        <f>'[1]OMM_Unit Matrix'!X138</f>
        <v>0</v>
      </c>
      <c r="Y138" s="89">
        <f>'[1]OMM_Unit Matrix'!Y138</f>
        <v>0</v>
      </c>
      <c r="Z138" s="89">
        <f>'[1]OMM_Unit Matrix'!Z138</f>
        <v>0</v>
      </c>
      <c r="AA138" s="89">
        <f>'[1]OMM_Unit Matrix'!AA138</f>
        <v>0</v>
      </c>
      <c r="AB138" s="89">
        <f>'[1]OMM_Unit Matrix'!AB138</f>
        <v>0</v>
      </c>
      <c r="AC138" s="89">
        <f>'[1]OMM_Unit Matrix'!AC138</f>
        <v>0</v>
      </c>
      <c r="AD138" s="89">
        <f>'[1]OMM_Unit Matrix'!AD138</f>
        <v>0</v>
      </c>
      <c r="AE138" s="89">
        <f>'[1]OMM_Unit Matrix'!AE138</f>
        <v>0</v>
      </c>
      <c r="AF138" s="89">
        <f>'[1]OMM_Unit Matrix'!AF138</f>
        <v>0</v>
      </c>
      <c r="AG138" s="89">
        <f>'[1]OMM_Unit Matrix'!AG138</f>
        <v>0</v>
      </c>
      <c r="AH138" s="89">
        <f>'[1]OMM_Unit Matrix'!AH138</f>
        <v>0</v>
      </c>
      <c r="AI138" s="89">
        <f>'[1]OMM_Unit Matrix'!AI138</f>
        <v>0</v>
      </c>
      <c r="AJ138" s="89">
        <f>'[1]OMM_Unit Matrix'!AJ138</f>
        <v>0</v>
      </c>
      <c r="AK138" s="89">
        <f>'[1]OMM_Unit Matrix'!AK138</f>
        <v>0</v>
      </c>
      <c r="AL138" s="89">
        <f>'[1]OMM_Unit Matrix'!AL138</f>
        <v>0</v>
      </c>
      <c r="AM138" s="89">
        <f>'[1]OMM_Unit Matrix'!AM138</f>
        <v>0</v>
      </c>
      <c r="AN138" s="89">
        <f>'[1]OMM_Unit Matrix'!AN138</f>
        <v>0</v>
      </c>
      <c r="AO138" s="89">
        <f>'[1]OMM_Unit Matrix'!AO138</f>
        <v>0</v>
      </c>
      <c r="AP138" s="89">
        <f>'[1]OMM_Unit Matrix'!AP138</f>
        <v>0</v>
      </c>
      <c r="AQ138" s="270">
        <f>'[1]OMM_Unit Matrix'!AQ138</f>
        <v>0</v>
      </c>
    </row>
    <row r="139" spans="2:43">
      <c r="B139" s="89">
        <f>'[1]OMM_Unit Matrix'!B139</f>
        <v>6</v>
      </c>
      <c r="C139" s="275">
        <f>'[1]OMM_Unit Matrix'!C139</f>
        <v>17</v>
      </c>
      <c r="D139" s="89">
        <f>'[1]OMM_Unit Matrix'!D139</f>
        <v>6017</v>
      </c>
      <c r="E139" s="89" t="str">
        <f>'[1]OMM_Unit Matrix'!E139</f>
        <v>YES</v>
      </c>
      <c r="F139" s="132">
        <f>'[1]OMM_Unit Matrix'!F139</f>
        <v>6017.18</v>
      </c>
      <c r="G139" s="89" t="str">
        <f>'[1]OMM_Unit Matrix'!G139</f>
        <v>ORDERED</v>
      </c>
      <c r="H139" s="89" t="str">
        <f>'[1]OMM_Unit Matrix'!H139</f>
        <v>NO</v>
      </c>
      <c r="I139" s="89">
        <f>'[1]OMM_Unit Matrix'!I139</f>
        <v>0</v>
      </c>
      <c r="J139" s="89" t="str">
        <f>'[1]OMM_Unit Matrix'!J139</f>
        <v>NO</v>
      </c>
      <c r="K139" s="89">
        <f>'[1]OMM_Unit Matrix'!K139</f>
        <v>0</v>
      </c>
      <c r="L139" s="89" t="str">
        <f>'[1]OMM_Unit Matrix'!L139</f>
        <v>NO</v>
      </c>
      <c r="M139" s="89">
        <f>'[1]OMM_Unit Matrix'!M139</f>
        <v>0</v>
      </c>
      <c r="N139" s="89" t="str">
        <f>'[1]OMM_Unit Matrix'!N139</f>
        <v>YES</v>
      </c>
      <c r="O139" s="89">
        <f>'[1]OMM_Unit Matrix'!O139</f>
        <v>0</v>
      </c>
      <c r="P139" s="89" t="str">
        <f>'[1]OMM_Unit Matrix'!P139</f>
        <v>NO</v>
      </c>
      <c r="Q139" s="89">
        <f>'[1]OMM_Unit Matrix'!Q139</f>
        <v>0</v>
      </c>
      <c r="R139" s="89" t="str">
        <f>'[1]OMM_Unit Matrix'!R139</f>
        <v>NO</v>
      </c>
      <c r="S139" s="89">
        <f>'[1]OMM_Unit Matrix'!S139</f>
        <v>0</v>
      </c>
      <c r="T139" s="89" t="str">
        <f>'[1]OMM_Unit Matrix'!T139</f>
        <v>NO</v>
      </c>
      <c r="U139" s="89">
        <f>'[1]OMM_Unit Matrix'!U139</f>
        <v>0</v>
      </c>
      <c r="V139" s="89" t="str">
        <f>'[1]OMM_Unit Matrix'!V139</f>
        <v>YES</v>
      </c>
      <c r="W139" s="89">
        <f>'[1]OMM_Unit Matrix'!W139</f>
        <v>0</v>
      </c>
      <c r="X139" s="89" t="str">
        <f>'[1]OMM_Unit Matrix'!X139</f>
        <v>NO</v>
      </c>
      <c r="Y139" s="89">
        <f>'[1]OMM_Unit Matrix'!Y139</f>
        <v>0</v>
      </c>
      <c r="Z139" s="89" t="str">
        <f>'[1]OMM_Unit Matrix'!Z139</f>
        <v>NO</v>
      </c>
      <c r="AA139" s="89">
        <f>'[1]OMM_Unit Matrix'!AA139</f>
        <v>0</v>
      </c>
      <c r="AB139" s="89" t="str">
        <f>'[1]OMM_Unit Matrix'!AB139</f>
        <v>YES</v>
      </c>
      <c r="AC139" s="89">
        <f>'[1]OMM_Unit Matrix'!AC139</f>
        <v>0</v>
      </c>
      <c r="AD139" s="89" t="str">
        <f>'[1]OMM_Unit Matrix'!AD139</f>
        <v>YES</v>
      </c>
      <c r="AE139" s="89">
        <f>'[1]OMM_Unit Matrix'!AE139</f>
        <v>0</v>
      </c>
      <c r="AF139" s="89" t="str">
        <f>'[1]OMM_Unit Matrix'!AF139</f>
        <v>YES</v>
      </c>
      <c r="AG139" s="89">
        <f>'[1]OMM_Unit Matrix'!AG139</f>
        <v>0</v>
      </c>
      <c r="AH139" s="89" t="str">
        <f>'[1]OMM_Unit Matrix'!AH139</f>
        <v>YES</v>
      </c>
      <c r="AI139" s="89">
        <f>'[1]OMM_Unit Matrix'!AI139</f>
        <v>0</v>
      </c>
      <c r="AJ139" s="89" t="str">
        <f>'[1]OMM_Unit Matrix'!AJ139</f>
        <v>NO</v>
      </c>
      <c r="AK139" s="89">
        <f>'[1]OMM_Unit Matrix'!AK139</f>
        <v>0</v>
      </c>
      <c r="AL139" s="89" t="str">
        <f>'[1]OMM_Unit Matrix'!AL139</f>
        <v>YES</v>
      </c>
      <c r="AM139" s="89">
        <f>'[1]OMM_Unit Matrix'!AM139</f>
        <v>0</v>
      </c>
      <c r="AN139" s="89" t="str">
        <f>'[1]OMM_Unit Matrix'!AN139</f>
        <v>NO</v>
      </c>
      <c r="AO139" s="89">
        <f>'[1]OMM_Unit Matrix'!AO139</f>
        <v>0</v>
      </c>
      <c r="AP139" s="89" t="str">
        <f>'[1]OMM_Unit Matrix'!AP139</f>
        <v>NO</v>
      </c>
      <c r="AQ139" s="270">
        <f>'[1]OMM_Unit Matrix'!AQ139</f>
        <v>0</v>
      </c>
    </row>
    <row r="140" spans="2:43">
      <c r="B140" s="89">
        <f>'[1]OMM_Unit Matrix'!B140</f>
        <v>6</v>
      </c>
      <c r="C140" s="275">
        <f>'[1]OMM_Unit Matrix'!C140</f>
        <v>18</v>
      </c>
      <c r="D140" s="89">
        <f>'[1]OMM_Unit Matrix'!D140</f>
        <v>6018</v>
      </c>
      <c r="E140" s="89" t="str">
        <f>'[1]OMM_Unit Matrix'!E140</f>
        <v>YES</v>
      </c>
      <c r="F140" s="132">
        <f>'[1]OMM_Unit Matrix'!F140</f>
        <v>6017.18</v>
      </c>
      <c r="G140" s="89" t="str">
        <f>'[1]OMM_Unit Matrix'!G140</f>
        <v>ORDERED</v>
      </c>
      <c r="H140" s="89" t="str">
        <f>'[1]OMM_Unit Matrix'!H140</f>
        <v>NO</v>
      </c>
      <c r="I140" s="89">
        <f>'[1]OMM_Unit Matrix'!I140</f>
        <v>0</v>
      </c>
      <c r="J140" s="89" t="str">
        <f>'[1]OMM_Unit Matrix'!J140</f>
        <v>NO</v>
      </c>
      <c r="K140" s="89">
        <f>'[1]OMM_Unit Matrix'!K140</f>
        <v>0</v>
      </c>
      <c r="L140" s="89" t="str">
        <f>'[1]OMM_Unit Matrix'!L140</f>
        <v>NO</v>
      </c>
      <c r="M140" s="89">
        <f>'[1]OMM_Unit Matrix'!M140</f>
        <v>0</v>
      </c>
      <c r="N140" s="89" t="str">
        <f>'[1]OMM_Unit Matrix'!N140</f>
        <v>NO</v>
      </c>
      <c r="O140" s="89">
        <f>'[1]OMM_Unit Matrix'!O140</f>
        <v>0</v>
      </c>
      <c r="P140" s="89" t="str">
        <f>'[1]OMM_Unit Matrix'!P140</f>
        <v>NO</v>
      </c>
      <c r="Q140" s="89">
        <f>'[1]OMM_Unit Matrix'!Q140</f>
        <v>0</v>
      </c>
      <c r="R140" s="89" t="str">
        <f>'[1]OMM_Unit Matrix'!R140</f>
        <v>NO</v>
      </c>
      <c r="S140" s="89">
        <f>'[1]OMM_Unit Matrix'!S140</f>
        <v>0</v>
      </c>
      <c r="T140" s="89" t="str">
        <f>'[1]OMM_Unit Matrix'!T140</f>
        <v>NO</v>
      </c>
      <c r="U140" s="89">
        <f>'[1]OMM_Unit Matrix'!U140</f>
        <v>0</v>
      </c>
      <c r="V140" s="89" t="str">
        <f>'[1]OMM_Unit Matrix'!V140</f>
        <v>NO</v>
      </c>
      <c r="W140" s="89">
        <f>'[1]OMM_Unit Matrix'!W140</f>
        <v>0</v>
      </c>
      <c r="X140" s="89" t="str">
        <f>'[1]OMM_Unit Matrix'!X140</f>
        <v>NO</v>
      </c>
      <c r="Y140" s="89">
        <f>'[1]OMM_Unit Matrix'!Y140</f>
        <v>0</v>
      </c>
      <c r="Z140" s="89" t="str">
        <f>'[1]OMM_Unit Matrix'!Z140</f>
        <v>NO</v>
      </c>
      <c r="AA140" s="89">
        <f>'[1]OMM_Unit Matrix'!AA140</f>
        <v>0</v>
      </c>
      <c r="AB140" s="89" t="str">
        <f>'[1]OMM_Unit Matrix'!AB140</f>
        <v>NO</v>
      </c>
      <c r="AC140" s="89">
        <f>'[1]OMM_Unit Matrix'!AC140</f>
        <v>0</v>
      </c>
      <c r="AD140" s="89" t="str">
        <f>'[1]OMM_Unit Matrix'!AD140</f>
        <v>NO</v>
      </c>
      <c r="AE140" s="89">
        <f>'[1]OMM_Unit Matrix'!AE140</f>
        <v>0</v>
      </c>
      <c r="AF140" s="89" t="str">
        <f>'[1]OMM_Unit Matrix'!AF140</f>
        <v>NO</v>
      </c>
      <c r="AG140" s="89">
        <f>'[1]OMM_Unit Matrix'!AG140</f>
        <v>0</v>
      </c>
      <c r="AH140" s="89" t="str">
        <f>'[1]OMM_Unit Matrix'!AH140</f>
        <v>NO</v>
      </c>
      <c r="AI140" s="89">
        <f>'[1]OMM_Unit Matrix'!AI140</f>
        <v>0</v>
      </c>
      <c r="AJ140" s="89" t="str">
        <f>'[1]OMM_Unit Matrix'!AJ140</f>
        <v>NO</v>
      </c>
      <c r="AK140" s="89">
        <f>'[1]OMM_Unit Matrix'!AK140</f>
        <v>0</v>
      </c>
      <c r="AL140" s="89" t="str">
        <f>'[1]OMM_Unit Matrix'!AL140</f>
        <v>NO</v>
      </c>
      <c r="AM140" s="89">
        <f>'[1]OMM_Unit Matrix'!AM140</f>
        <v>0</v>
      </c>
      <c r="AN140" s="89" t="str">
        <f>'[1]OMM_Unit Matrix'!AN140</f>
        <v>NO</v>
      </c>
      <c r="AO140" s="89">
        <f>'[1]OMM_Unit Matrix'!AO140</f>
        <v>0</v>
      </c>
      <c r="AP140" s="89" t="str">
        <f>'[1]OMM_Unit Matrix'!AP140</f>
        <v>NO</v>
      </c>
      <c r="AQ140" s="270">
        <f>'[1]OMM_Unit Matrix'!AQ140</f>
        <v>0</v>
      </c>
    </row>
    <row r="141" spans="2:43">
      <c r="B141" s="89">
        <f>'[1]OMM_Unit Matrix'!B141</f>
        <v>6</v>
      </c>
      <c r="C141" s="275">
        <f>'[1]OMM_Unit Matrix'!C141</f>
        <v>19</v>
      </c>
      <c r="D141" s="89">
        <f>'[1]OMM_Unit Matrix'!D141</f>
        <v>6019</v>
      </c>
      <c r="E141" s="89" t="str">
        <f>'[1]OMM_Unit Matrix'!E141</f>
        <v>YES</v>
      </c>
      <c r="F141" s="132">
        <f>'[1]OMM_Unit Matrix'!F141</f>
        <v>6019.2</v>
      </c>
      <c r="G141" s="89" t="str">
        <f>'[1]OMM_Unit Matrix'!G141</f>
        <v>ORDERED</v>
      </c>
      <c r="H141" s="89" t="str">
        <f>'[1]OMM_Unit Matrix'!H141</f>
        <v>YES</v>
      </c>
      <c r="I141" s="89">
        <f>'[1]OMM_Unit Matrix'!I141</f>
        <v>0</v>
      </c>
      <c r="J141" s="89" t="str">
        <f>'[1]OMM_Unit Matrix'!J141</f>
        <v>NO</v>
      </c>
      <c r="K141" s="89">
        <f>'[1]OMM_Unit Matrix'!K141</f>
        <v>0</v>
      </c>
      <c r="L141" s="89" t="str">
        <f>'[1]OMM_Unit Matrix'!L141</f>
        <v>NO</v>
      </c>
      <c r="M141" s="89">
        <f>'[1]OMM_Unit Matrix'!M141</f>
        <v>0</v>
      </c>
      <c r="N141" s="89" t="str">
        <f>'[1]OMM_Unit Matrix'!N141</f>
        <v>YES</v>
      </c>
      <c r="O141" s="89">
        <f>'[1]OMM_Unit Matrix'!O141</f>
        <v>0</v>
      </c>
      <c r="P141" s="89" t="str">
        <f>'[1]OMM_Unit Matrix'!P141</f>
        <v>NO</v>
      </c>
      <c r="Q141" s="89">
        <f>'[1]OMM_Unit Matrix'!Q141</f>
        <v>0</v>
      </c>
      <c r="R141" s="89" t="str">
        <f>'[1]OMM_Unit Matrix'!R141</f>
        <v>YES</v>
      </c>
      <c r="S141" s="89">
        <f>'[1]OMM_Unit Matrix'!S141</f>
        <v>0</v>
      </c>
      <c r="T141" s="89" t="str">
        <f>'[1]OMM_Unit Matrix'!T141</f>
        <v>NO</v>
      </c>
      <c r="U141" s="89">
        <f>'[1]OMM_Unit Matrix'!U141</f>
        <v>0</v>
      </c>
      <c r="V141" s="89" t="str">
        <f>'[1]OMM_Unit Matrix'!V141</f>
        <v>YES</v>
      </c>
      <c r="W141" s="89">
        <f>'[1]OMM_Unit Matrix'!W141</f>
        <v>0</v>
      </c>
      <c r="X141" s="89" t="str">
        <f>'[1]OMM_Unit Matrix'!X141</f>
        <v>NO</v>
      </c>
      <c r="Y141" s="89">
        <f>'[1]OMM_Unit Matrix'!Y141</f>
        <v>0</v>
      </c>
      <c r="Z141" s="89" t="str">
        <f>'[1]OMM_Unit Matrix'!Z141</f>
        <v>YES</v>
      </c>
      <c r="AA141" s="89">
        <f>'[1]OMM_Unit Matrix'!AA141</f>
        <v>0</v>
      </c>
      <c r="AB141" s="89" t="str">
        <f>'[1]OMM_Unit Matrix'!AB141</f>
        <v>YES</v>
      </c>
      <c r="AC141" s="89">
        <f>'[1]OMM_Unit Matrix'!AC141</f>
        <v>0</v>
      </c>
      <c r="AD141" s="89" t="str">
        <f>'[1]OMM_Unit Matrix'!AD141</f>
        <v>YES</v>
      </c>
      <c r="AE141" s="89">
        <f>'[1]OMM_Unit Matrix'!AE141</f>
        <v>0</v>
      </c>
      <c r="AF141" s="89" t="str">
        <f>'[1]OMM_Unit Matrix'!AF141</f>
        <v>NO</v>
      </c>
      <c r="AG141" s="89">
        <f>'[1]OMM_Unit Matrix'!AG141</f>
        <v>0</v>
      </c>
      <c r="AH141" s="89" t="str">
        <f>'[1]OMM_Unit Matrix'!AH141</f>
        <v>NO</v>
      </c>
      <c r="AI141" s="89">
        <f>'[1]OMM_Unit Matrix'!AI141</f>
        <v>0</v>
      </c>
      <c r="AJ141" s="89" t="str">
        <f>'[1]OMM_Unit Matrix'!AJ141</f>
        <v>NO</v>
      </c>
      <c r="AK141" s="89">
        <f>'[1]OMM_Unit Matrix'!AK141</f>
        <v>0</v>
      </c>
      <c r="AL141" s="89" t="str">
        <f>'[1]OMM_Unit Matrix'!AL141</f>
        <v>YES</v>
      </c>
      <c r="AM141" s="89">
        <f>'[1]OMM_Unit Matrix'!AM141</f>
        <v>0</v>
      </c>
      <c r="AN141" s="89" t="str">
        <f>'[1]OMM_Unit Matrix'!AN141</f>
        <v>NO</v>
      </c>
      <c r="AO141" s="89">
        <f>'[1]OMM_Unit Matrix'!AO141</f>
        <v>0</v>
      </c>
      <c r="AP141" s="89" t="str">
        <f>'[1]OMM_Unit Matrix'!AP141</f>
        <v>NO</v>
      </c>
      <c r="AQ141" s="270">
        <f>'[1]OMM_Unit Matrix'!AQ141</f>
        <v>0</v>
      </c>
    </row>
    <row r="142" spans="2:43">
      <c r="B142" s="89">
        <f>'[1]OMM_Unit Matrix'!B142</f>
        <v>6</v>
      </c>
      <c r="C142" s="275">
        <f>'[1]OMM_Unit Matrix'!C142</f>
        <v>20</v>
      </c>
      <c r="D142" s="89">
        <f>'[1]OMM_Unit Matrix'!D142</f>
        <v>6020</v>
      </c>
      <c r="E142" s="89" t="str">
        <f>'[1]OMM_Unit Matrix'!E142</f>
        <v>YES</v>
      </c>
      <c r="F142" s="132">
        <f>'[1]OMM_Unit Matrix'!F142</f>
        <v>6019.2</v>
      </c>
      <c r="G142" s="89" t="str">
        <f>'[1]OMM_Unit Matrix'!G142</f>
        <v>ORDERED</v>
      </c>
      <c r="H142" s="89" t="str">
        <f>'[1]OMM_Unit Matrix'!H142</f>
        <v>NO</v>
      </c>
      <c r="I142" s="89">
        <f>'[1]OMM_Unit Matrix'!I142</f>
        <v>0</v>
      </c>
      <c r="J142" s="89" t="str">
        <f>'[1]OMM_Unit Matrix'!J142</f>
        <v>NO</v>
      </c>
      <c r="K142" s="89">
        <f>'[1]OMM_Unit Matrix'!K142</f>
        <v>0</v>
      </c>
      <c r="L142" s="89" t="str">
        <f>'[1]OMM_Unit Matrix'!L142</f>
        <v>NO</v>
      </c>
      <c r="M142" s="89">
        <f>'[1]OMM_Unit Matrix'!M142</f>
        <v>0</v>
      </c>
      <c r="N142" s="89" t="str">
        <f>'[1]OMM_Unit Matrix'!N142</f>
        <v>NO</v>
      </c>
      <c r="O142" s="89">
        <f>'[1]OMM_Unit Matrix'!O142</f>
        <v>0</v>
      </c>
      <c r="P142" s="89" t="str">
        <f>'[1]OMM_Unit Matrix'!P142</f>
        <v>NO</v>
      </c>
      <c r="Q142" s="89">
        <f>'[1]OMM_Unit Matrix'!Q142</f>
        <v>0</v>
      </c>
      <c r="R142" s="89" t="str">
        <f>'[1]OMM_Unit Matrix'!R142</f>
        <v>NO</v>
      </c>
      <c r="S142" s="89">
        <f>'[1]OMM_Unit Matrix'!S142</f>
        <v>0</v>
      </c>
      <c r="T142" s="89" t="str">
        <f>'[1]OMM_Unit Matrix'!T142</f>
        <v>NO</v>
      </c>
      <c r="U142" s="89">
        <f>'[1]OMM_Unit Matrix'!U142</f>
        <v>0</v>
      </c>
      <c r="V142" s="89" t="str">
        <f>'[1]OMM_Unit Matrix'!V142</f>
        <v>NO</v>
      </c>
      <c r="W142" s="89">
        <f>'[1]OMM_Unit Matrix'!W142</f>
        <v>0</v>
      </c>
      <c r="X142" s="89" t="str">
        <f>'[1]OMM_Unit Matrix'!X142</f>
        <v>NO</v>
      </c>
      <c r="Y142" s="89">
        <f>'[1]OMM_Unit Matrix'!Y142</f>
        <v>0</v>
      </c>
      <c r="Z142" s="89" t="str">
        <f>'[1]OMM_Unit Matrix'!Z142</f>
        <v>NO</v>
      </c>
      <c r="AA142" s="89">
        <f>'[1]OMM_Unit Matrix'!AA142</f>
        <v>0</v>
      </c>
      <c r="AB142" s="89" t="str">
        <f>'[1]OMM_Unit Matrix'!AB142</f>
        <v>NO</v>
      </c>
      <c r="AC142" s="89">
        <f>'[1]OMM_Unit Matrix'!AC142</f>
        <v>0</v>
      </c>
      <c r="AD142" s="89" t="str">
        <f>'[1]OMM_Unit Matrix'!AD142</f>
        <v>NO</v>
      </c>
      <c r="AE142" s="89">
        <f>'[1]OMM_Unit Matrix'!AE142</f>
        <v>0</v>
      </c>
      <c r="AF142" s="89" t="str">
        <f>'[1]OMM_Unit Matrix'!AF142</f>
        <v>NO</v>
      </c>
      <c r="AG142" s="89">
        <f>'[1]OMM_Unit Matrix'!AG142</f>
        <v>0</v>
      </c>
      <c r="AH142" s="89" t="str">
        <f>'[1]OMM_Unit Matrix'!AH142</f>
        <v>NO</v>
      </c>
      <c r="AI142" s="89">
        <f>'[1]OMM_Unit Matrix'!AI142</f>
        <v>0</v>
      </c>
      <c r="AJ142" s="89" t="str">
        <f>'[1]OMM_Unit Matrix'!AJ142</f>
        <v>NO</v>
      </c>
      <c r="AK142" s="89">
        <f>'[1]OMM_Unit Matrix'!AK142</f>
        <v>0</v>
      </c>
      <c r="AL142" s="89" t="str">
        <f>'[1]OMM_Unit Matrix'!AL142</f>
        <v>NO</v>
      </c>
      <c r="AM142" s="89">
        <f>'[1]OMM_Unit Matrix'!AM142</f>
        <v>0</v>
      </c>
      <c r="AN142" s="89" t="str">
        <f>'[1]OMM_Unit Matrix'!AN142</f>
        <v>NO</v>
      </c>
      <c r="AO142" s="89">
        <f>'[1]OMM_Unit Matrix'!AO142</f>
        <v>0</v>
      </c>
      <c r="AP142" s="89" t="str">
        <f>'[1]OMM_Unit Matrix'!AP142</f>
        <v>NO</v>
      </c>
      <c r="AQ142" s="270">
        <f>'[1]OMM_Unit Matrix'!AQ142</f>
        <v>0</v>
      </c>
    </row>
    <row r="143" spans="2:43" hidden="1">
      <c r="B143" s="89">
        <f>'[1]OMM_Unit Matrix'!B143</f>
        <v>6</v>
      </c>
      <c r="C143" s="275">
        <f>'[1]OMM_Unit Matrix'!C143</f>
        <v>21</v>
      </c>
      <c r="D143" s="89">
        <f>'[1]OMM_Unit Matrix'!D143</f>
        <v>6021</v>
      </c>
      <c r="E143" s="89">
        <f>'[1]OMM_Unit Matrix'!E143</f>
        <v>0</v>
      </c>
      <c r="F143" s="89">
        <f>'[1]OMM_Unit Matrix'!F143</f>
        <v>0</v>
      </c>
      <c r="G143" s="89" t="str">
        <f>'[1]OMM_Unit Matrix'!G143</f>
        <v>NOT IN SCOPE</v>
      </c>
      <c r="H143" s="89">
        <f>'[1]OMM_Unit Matrix'!H143</f>
        <v>0</v>
      </c>
      <c r="I143" s="89">
        <f>'[1]OMM_Unit Matrix'!I143</f>
        <v>0</v>
      </c>
      <c r="J143" s="89">
        <f>'[1]OMM_Unit Matrix'!J143</f>
        <v>0</v>
      </c>
      <c r="K143" s="89">
        <f>'[1]OMM_Unit Matrix'!K143</f>
        <v>0</v>
      </c>
      <c r="L143" s="89">
        <f>'[1]OMM_Unit Matrix'!L143</f>
        <v>0</v>
      </c>
      <c r="M143" s="89">
        <f>'[1]OMM_Unit Matrix'!M143</f>
        <v>0</v>
      </c>
      <c r="N143" s="89">
        <f>'[1]OMM_Unit Matrix'!N143</f>
        <v>0</v>
      </c>
      <c r="O143" s="89">
        <f>'[1]OMM_Unit Matrix'!O143</f>
        <v>0</v>
      </c>
      <c r="P143" s="89">
        <f>'[1]OMM_Unit Matrix'!P143</f>
        <v>0</v>
      </c>
      <c r="Q143" s="89">
        <f>'[1]OMM_Unit Matrix'!Q143</f>
        <v>0</v>
      </c>
      <c r="R143" s="89">
        <f>'[1]OMM_Unit Matrix'!R143</f>
        <v>0</v>
      </c>
      <c r="S143" s="89">
        <f>'[1]OMM_Unit Matrix'!S143</f>
        <v>0</v>
      </c>
      <c r="T143" s="89">
        <f>'[1]OMM_Unit Matrix'!T143</f>
        <v>0</v>
      </c>
      <c r="U143" s="89">
        <f>'[1]OMM_Unit Matrix'!U143</f>
        <v>0</v>
      </c>
      <c r="V143" s="89">
        <f>'[1]OMM_Unit Matrix'!V143</f>
        <v>0</v>
      </c>
      <c r="W143" s="89">
        <f>'[1]OMM_Unit Matrix'!W143</f>
        <v>0</v>
      </c>
      <c r="X143" s="89">
        <f>'[1]OMM_Unit Matrix'!X143</f>
        <v>0</v>
      </c>
      <c r="Y143" s="89">
        <f>'[1]OMM_Unit Matrix'!Y143</f>
        <v>0</v>
      </c>
      <c r="Z143" s="89">
        <f>'[1]OMM_Unit Matrix'!Z143</f>
        <v>0</v>
      </c>
      <c r="AA143" s="89">
        <f>'[1]OMM_Unit Matrix'!AA143</f>
        <v>0</v>
      </c>
      <c r="AB143" s="89">
        <f>'[1]OMM_Unit Matrix'!AB143</f>
        <v>0</v>
      </c>
      <c r="AC143" s="89">
        <f>'[1]OMM_Unit Matrix'!AC143</f>
        <v>0</v>
      </c>
      <c r="AD143" s="89">
        <f>'[1]OMM_Unit Matrix'!AD143</f>
        <v>0</v>
      </c>
      <c r="AE143" s="89">
        <f>'[1]OMM_Unit Matrix'!AE143</f>
        <v>0</v>
      </c>
      <c r="AF143" s="89">
        <f>'[1]OMM_Unit Matrix'!AF143</f>
        <v>0</v>
      </c>
      <c r="AG143" s="89">
        <f>'[1]OMM_Unit Matrix'!AG143</f>
        <v>0</v>
      </c>
      <c r="AH143" s="89">
        <f>'[1]OMM_Unit Matrix'!AH143</f>
        <v>0</v>
      </c>
      <c r="AI143" s="89">
        <f>'[1]OMM_Unit Matrix'!AI143</f>
        <v>0</v>
      </c>
      <c r="AJ143" s="89">
        <f>'[1]OMM_Unit Matrix'!AJ143</f>
        <v>0</v>
      </c>
      <c r="AK143" s="89">
        <f>'[1]OMM_Unit Matrix'!AK143</f>
        <v>0</v>
      </c>
      <c r="AL143" s="89">
        <f>'[1]OMM_Unit Matrix'!AL143</f>
        <v>0</v>
      </c>
      <c r="AM143" s="89">
        <f>'[1]OMM_Unit Matrix'!AM143</f>
        <v>0</v>
      </c>
      <c r="AN143" s="89">
        <f>'[1]OMM_Unit Matrix'!AN143</f>
        <v>0</v>
      </c>
      <c r="AO143" s="89">
        <f>'[1]OMM_Unit Matrix'!AO143</f>
        <v>0</v>
      </c>
      <c r="AP143" s="89">
        <f>'[1]OMM_Unit Matrix'!AP143</f>
        <v>0</v>
      </c>
      <c r="AQ143" s="270">
        <f>'[1]OMM_Unit Matrix'!AQ143</f>
        <v>0</v>
      </c>
    </row>
    <row r="144" spans="2:43" hidden="1">
      <c r="B144" s="89">
        <f>'[1]OMM_Unit Matrix'!B144</f>
        <v>6</v>
      </c>
      <c r="C144" s="275">
        <f>'[1]OMM_Unit Matrix'!C144</f>
        <v>22</v>
      </c>
      <c r="D144" s="89">
        <f>'[1]OMM_Unit Matrix'!D144</f>
        <v>6022</v>
      </c>
      <c r="E144" s="89">
        <f>'[1]OMM_Unit Matrix'!E144</f>
        <v>0</v>
      </c>
      <c r="F144" s="89">
        <f>'[1]OMM_Unit Matrix'!F144</f>
        <v>0</v>
      </c>
      <c r="G144" s="89" t="str">
        <f>'[1]OMM_Unit Matrix'!G144</f>
        <v>NOT IN SCOPE</v>
      </c>
      <c r="H144" s="89">
        <f>'[1]OMM_Unit Matrix'!H144</f>
        <v>0</v>
      </c>
      <c r="I144" s="89">
        <f>'[1]OMM_Unit Matrix'!I144</f>
        <v>0</v>
      </c>
      <c r="J144" s="89">
        <f>'[1]OMM_Unit Matrix'!J144</f>
        <v>0</v>
      </c>
      <c r="K144" s="89">
        <f>'[1]OMM_Unit Matrix'!K144</f>
        <v>0</v>
      </c>
      <c r="L144" s="89">
        <f>'[1]OMM_Unit Matrix'!L144</f>
        <v>0</v>
      </c>
      <c r="M144" s="89">
        <f>'[1]OMM_Unit Matrix'!M144</f>
        <v>0</v>
      </c>
      <c r="N144" s="89">
        <f>'[1]OMM_Unit Matrix'!N144</f>
        <v>0</v>
      </c>
      <c r="O144" s="89">
        <f>'[1]OMM_Unit Matrix'!O144</f>
        <v>0</v>
      </c>
      <c r="P144" s="89">
        <f>'[1]OMM_Unit Matrix'!P144</f>
        <v>0</v>
      </c>
      <c r="Q144" s="89">
        <f>'[1]OMM_Unit Matrix'!Q144</f>
        <v>0</v>
      </c>
      <c r="R144" s="89">
        <f>'[1]OMM_Unit Matrix'!R144</f>
        <v>0</v>
      </c>
      <c r="S144" s="89">
        <f>'[1]OMM_Unit Matrix'!S144</f>
        <v>0</v>
      </c>
      <c r="T144" s="89">
        <f>'[1]OMM_Unit Matrix'!T144</f>
        <v>0</v>
      </c>
      <c r="U144" s="89">
        <f>'[1]OMM_Unit Matrix'!U144</f>
        <v>0</v>
      </c>
      <c r="V144" s="89">
        <f>'[1]OMM_Unit Matrix'!V144</f>
        <v>0</v>
      </c>
      <c r="W144" s="89">
        <f>'[1]OMM_Unit Matrix'!W144</f>
        <v>0</v>
      </c>
      <c r="X144" s="89">
        <f>'[1]OMM_Unit Matrix'!X144</f>
        <v>0</v>
      </c>
      <c r="Y144" s="89">
        <f>'[1]OMM_Unit Matrix'!Y144</f>
        <v>0</v>
      </c>
      <c r="Z144" s="89">
        <f>'[1]OMM_Unit Matrix'!Z144</f>
        <v>0</v>
      </c>
      <c r="AA144" s="89">
        <f>'[1]OMM_Unit Matrix'!AA144</f>
        <v>0</v>
      </c>
      <c r="AB144" s="89">
        <f>'[1]OMM_Unit Matrix'!AB144</f>
        <v>0</v>
      </c>
      <c r="AC144" s="89">
        <f>'[1]OMM_Unit Matrix'!AC144</f>
        <v>0</v>
      </c>
      <c r="AD144" s="89">
        <f>'[1]OMM_Unit Matrix'!AD144</f>
        <v>0</v>
      </c>
      <c r="AE144" s="89">
        <f>'[1]OMM_Unit Matrix'!AE144</f>
        <v>0</v>
      </c>
      <c r="AF144" s="89">
        <f>'[1]OMM_Unit Matrix'!AF144</f>
        <v>0</v>
      </c>
      <c r="AG144" s="89">
        <f>'[1]OMM_Unit Matrix'!AG144</f>
        <v>0</v>
      </c>
      <c r="AH144" s="89">
        <f>'[1]OMM_Unit Matrix'!AH144</f>
        <v>0</v>
      </c>
      <c r="AI144" s="89">
        <f>'[1]OMM_Unit Matrix'!AI144</f>
        <v>0</v>
      </c>
      <c r="AJ144" s="89">
        <f>'[1]OMM_Unit Matrix'!AJ144</f>
        <v>0</v>
      </c>
      <c r="AK144" s="89">
        <f>'[1]OMM_Unit Matrix'!AK144</f>
        <v>0</v>
      </c>
      <c r="AL144" s="89">
        <f>'[1]OMM_Unit Matrix'!AL144</f>
        <v>0</v>
      </c>
      <c r="AM144" s="89">
        <f>'[1]OMM_Unit Matrix'!AM144</f>
        <v>0</v>
      </c>
      <c r="AN144" s="89">
        <f>'[1]OMM_Unit Matrix'!AN144</f>
        <v>0</v>
      </c>
      <c r="AO144" s="89">
        <f>'[1]OMM_Unit Matrix'!AO144</f>
        <v>0</v>
      </c>
      <c r="AP144" s="89">
        <f>'[1]OMM_Unit Matrix'!AP144</f>
        <v>0</v>
      </c>
      <c r="AQ144" s="270">
        <f>'[1]OMM_Unit Matrix'!AQ144</f>
        <v>0</v>
      </c>
    </row>
    <row r="145" spans="2:43" hidden="1">
      <c r="B145" s="89">
        <f>'[1]OMM_Unit Matrix'!B145</f>
        <v>6</v>
      </c>
      <c r="C145" s="275">
        <f>'[1]OMM_Unit Matrix'!C145</f>
        <v>23</v>
      </c>
      <c r="D145" s="89">
        <f>'[1]OMM_Unit Matrix'!D145</f>
        <v>6023</v>
      </c>
      <c r="E145" s="89">
        <f>'[1]OMM_Unit Matrix'!E145</f>
        <v>0</v>
      </c>
      <c r="F145" s="89">
        <f>'[1]OMM_Unit Matrix'!F145</f>
        <v>0</v>
      </c>
      <c r="G145" s="89" t="str">
        <f>'[1]OMM_Unit Matrix'!G145</f>
        <v>NOT IN SCOPE</v>
      </c>
      <c r="H145" s="89">
        <f>'[1]OMM_Unit Matrix'!H145</f>
        <v>0</v>
      </c>
      <c r="I145" s="89">
        <f>'[1]OMM_Unit Matrix'!I145</f>
        <v>0</v>
      </c>
      <c r="J145" s="89">
        <f>'[1]OMM_Unit Matrix'!J145</f>
        <v>0</v>
      </c>
      <c r="K145" s="89">
        <f>'[1]OMM_Unit Matrix'!K145</f>
        <v>0</v>
      </c>
      <c r="L145" s="89">
        <f>'[1]OMM_Unit Matrix'!L145</f>
        <v>0</v>
      </c>
      <c r="M145" s="89">
        <f>'[1]OMM_Unit Matrix'!M145</f>
        <v>0</v>
      </c>
      <c r="N145" s="89">
        <f>'[1]OMM_Unit Matrix'!N145</f>
        <v>0</v>
      </c>
      <c r="O145" s="89">
        <f>'[1]OMM_Unit Matrix'!O145</f>
        <v>0</v>
      </c>
      <c r="P145" s="89">
        <f>'[1]OMM_Unit Matrix'!P145</f>
        <v>0</v>
      </c>
      <c r="Q145" s="89">
        <f>'[1]OMM_Unit Matrix'!Q145</f>
        <v>0</v>
      </c>
      <c r="R145" s="89">
        <f>'[1]OMM_Unit Matrix'!R145</f>
        <v>0</v>
      </c>
      <c r="S145" s="89">
        <f>'[1]OMM_Unit Matrix'!S145</f>
        <v>0</v>
      </c>
      <c r="T145" s="89">
        <f>'[1]OMM_Unit Matrix'!T145</f>
        <v>0</v>
      </c>
      <c r="U145" s="89">
        <f>'[1]OMM_Unit Matrix'!U145</f>
        <v>0</v>
      </c>
      <c r="V145" s="89">
        <f>'[1]OMM_Unit Matrix'!V145</f>
        <v>0</v>
      </c>
      <c r="W145" s="89">
        <f>'[1]OMM_Unit Matrix'!W145</f>
        <v>0</v>
      </c>
      <c r="X145" s="89">
        <f>'[1]OMM_Unit Matrix'!X145</f>
        <v>0</v>
      </c>
      <c r="Y145" s="89">
        <f>'[1]OMM_Unit Matrix'!Y145</f>
        <v>0</v>
      </c>
      <c r="Z145" s="89">
        <f>'[1]OMM_Unit Matrix'!Z145</f>
        <v>0</v>
      </c>
      <c r="AA145" s="89">
        <f>'[1]OMM_Unit Matrix'!AA145</f>
        <v>0</v>
      </c>
      <c r="AB145" s="89">
        <f>'[1]OMM_Unit Matrix'!AB145</f>
        <v>0</v>
      </c>
      <c r="AC145" s="89">
        <f>'[1]OMM_Unit Matrix'!AC145</f>
        <v>0</v>
      </c>
      <c r="AD145" s="89">
        <f>'[1]OMM_Unit Matrix'!AD145</f>
        <v>0</v>
      </c>
      <c r="AE145" s="89">
        <f>'[1]OMM_Unit Matrix'!AE145</f>
        <v>0</v>
      </c>
      <c r="AF145" s="89">
        <f>'[1]OMM_Unit Matrix'!AF145</f>
        <v>0</v>
      </c>
      <c r="AG145" s="89">
        <f>'[1]OMM_Unit Matrix'!AG145</f>
        <v>0</v>
      </c>
      <c r="AH145" s="89">
        <f>'[1]OMM_Unit Matrix'!AH145</f>
        <v>0</v>
      </c>
      <c r="AI145" s="89">
        <f>'[1]OMM_Unit Matrix'!AI145</f>
        <v>0</v>
      </c>
      <c r="AJ145" s="89">
        <f>'[1]OMM_Unit Matrix'!AJ145</f>
        <v>0</v>
      </c>
      <c r="AK145" s="89">
        <f>'[1]OMM_Unit Matrix'!AK145</f>
        <v>0</v>
      </c>
      <c r="AL145" s="89">
        <f>'[1]OMM_Unit Matrix'!AL145</f>
        <v>0</v>
      </c>
      <c r="AM145" s="89">
        <f>'[1]OMM_Unit Matrix'!AM145</f>
        <v>0</v>
      </c>
      <c r="AN145" s="89">
        <f>'[1]OMM_Unit Matrix'!AN145</f>
        <v>0</v>
      </c>
      <c r="AO145" s="89">
        <f>'[1]OMM_Unit Matrix'!AO145</f>
        <v>0</v>
      </c>
      <c r="AP145" s="89">
        <f>'[1]OMM_Unit Matrix'!AP145</f>
        <v>0</v>
      </c>
      <c r="AQ145" s="270">
        <f>'[1]OMM_Unit Matrix'!AQ145</f>
        <v>0</v>
      </c>
    </row>
    <row r="146" spans="2:43" hidden="1">
      <c r="B146" s="89">
        <f>'[1]OMM_Unit Matrix'!B146</f>
        <v>6</v>
      </c>
      <c r="C146" s="275">
        <f>'[1]OMM_Unit Matrix'!C146</f>
        <v>24</v>
      </c>
      <c r="D146" s="89">
        <f>'[1]OMM_Unit Matrix'!D146</f>
        <v>6024</v>
      </c>
      <c r="E146" s="89">
        <f>'[1]OMM_Unit Matrix'!E146</f>
        <v>0</v>
      </c>
      <c r="F146" s="89">
        <f>'[1]OMM_Unit Matrix'!F146</f>
        <v>0</v>
      </c>
      <c r="G146" s="89" t="str">
        <f>'[1]OMM_Unit Matrix'!G146</f>
        <v>NOT IN SCOPE</v>
      </c>
      <c r="H146" s="89">
        <f>'[1]OMM_Unit Matrix'!H146</f>
        <v>0</v>
      </c>
      <c r="I146" s="89">
        <f>'[1]OMM_Unit Matrix'!I146</f>
        <v>0</v>
      </c>
      <c r="J146" s="89">
        <f>'[1]OMM_Unit Matrix'!J146</f>
        <v>0</v>
      </c>
      <c r="K146" s="89">
        <f>'[1]OMM_Unit Matrix'!K146</f>
        <v>0</v>
      </c>
      <c r="L146" s="89">
        <f>'[1]OMM_Unit Matrix'!L146</f>
        <v>0</v>
      </c>
      <c r="M146" s="89">
        <f>'[1]OMM_Unit Matrix'!M146</f>
        <v>0</v>
      </c>
      <c r="N146" s="89">
        <f>'[1]OMM_Unit Matrix'!N146</f>
        <v>0</v>
      </c>
      <c r="O146" s="89">
        <f>'[1]OMM_Unit Matrix'!O146</f>
        <v>0</v>
      </c>
      <c r="P146" s="89">
        <f>'[1]OMM_Unit Matrix'!P146</f>
        <v>0</v>
      </c>
      <c r="Q146" s="89">
        <f>'[1]OMM_Unit Matrix'!Q146</f>
        <v>0</v>
      </c>
      <c r="R146" s="89">
        <f>'[1]OMM_Unit Matrix'!R146</f>
        <v>0</v>
      </c>
      <c r="S146" s="89">
        <f>'[1]OMM_Unit Matrix'!S146</f>
        <v>0</v>
      </c>
      <c r="T146" s="89">
        <f>'[1]OMM_Unit Matrix'!T146</f>
        <v>0</v>
      </c>
      <c r="U146" s="89">
        <f>'[1]OMM_Unit Matrix'!U146</f>
        <v>0</v>
      </c>
      <c r="V146" s="89">
        <f>'[1]OMM_Unit Matrix'!V146</f>
        <v>0</v>
      </c>
      <c r="W146" s="89">
        <f>'[1]OMM_Unit Matrix'!W146</f>
        <v>0</v>
      </c>
      <c r="X146" s="89">
        <f>'[1]OMM_Unit Matrix'!X146</f>
        <v>0</v>
      </c>
      <c r="Y146" s="89">
        <f>'[1]OMM_Unit Matrix'!Y146</f>
        <v>0</v>
      </c>
      <c r="Z146" s="89">
        <f>'[1]OMM_Unit Matrix'!Z146</f>
        <v>0</v>
      </c>
      <c r="AA146" s="89">
        <f>'[1]OMM_Unit Matrix'!AA146</f>
        <v>0</v>
      </c>
      <c r="AB146" s="89">
        <f>'[1]OMM_Unit Matrix'!AB146</f>
        <v>0</v>
      </c>
      <c r="AC146" s="89">
        <f>'[1]OMM_Unit Matrix'!AC146</f>
        <v>0</v>
      </c>
      <c r="AD146" s="89">
        <f>'[1]OMM_Unit Matrix'!AD146</f>
        <v>0</v>
      </c>
      <c r="AE146" s="89">
        <f>'[1]OMM_Unit Matrix'!AE146</f>
        <v>0</v>
      </c>
      <c r="AF146" s="89">
        <f>'[1]OMM_Unit Matrix'!AF146</f>
        <v>0</v>
      </c>
      <c r="AG146" s="89">
        <f>'[1]OMM_Unit Matrix'!AG146</f>
        <v>0</v>
      </c>
      <c r="AH146" s="89">
        <f>'[1]OMM_Unit Matrix'!AH146</f>
        <v>0</v>
      </c>
      <c r="AI146" s="89">
        <f>'[1]OMM_Unit Matrix'!AI146</f>
        <v>0</v>
      </c>
      <c r="AJ146" s="89">
        <f>'[1]OMM_Unit Matrix'!AJ146</f>
        <v>0</v>
      </c>
      <c r="AK146" s="89">
        <f>'[1]OMM_Unit Matrix'!AK146</f>
        <v>0</v>
      </c>
      <c r="AL146" s="89">
        <f>'[1]OMM_Unit Matrix'!AL146</f>
        <v>0</v>
      </c>
      <c r="AM146" s="89">
        <f>'[1]OMM_Unit Matrix'!AM146</f>
        <v>0</v>
      </c>
      <c r="AN146" s="89">
        <f>'[1]OMM_Unit Matrix'!AN146</f>
        <v>0</v>
      </c>
      <c r="AO146" s="89">
        <f>'[1]OMM_Unit Matrix'!AO146</f>
        <v>0</v>
      </c>
      <c r="AP146" s="89">
        <f>'[1]OMM_Unit Matrix'!AP146</f>
        <v>0</v>
      </c>
      <c r="AQ146" s="270">
        <f>'[1]OMM_Unit Matrix'!AQ146</f>
        <v>0</v>
      </c>
    </row>
    <row r="147" spans="2:43">
      <c r="B147" s="89">
        <f>'[1]OMM_Unit Matrix'!B147</f>
        <v>6</v>
      </c>
      <c r="C147" s="275">
        <f>'[1]OMM_Unit Matrix'!C147</f>
        <v>25</v>
      </c>
      <c r="D147" s="89">
        <f>'[1]OMM_Unit Matrix'!D147</f>
        <v>6025</v>
      </c>
      <c r="E147" s="89" t="str">
        <f>'[1]OMM_Unit Matrix'!E147</f>
        <v>NO</v>
      </c>
      <c r="F147" s="132" t="str">
        <f>'[1]OMM_Unit Matrix'!F147</f>
        <v>2B-09</v>
      </c>
      <c r="G147" s="89" t="str">
        <f>'[1]OMM_Unit Matrix'!G147</f>
        <v>ORDERED</v>
      </c>
      <c r="H147" s="89" t="str">
        <f>'[1]OMM_Unit Matrix'!H147</f>
        <v>YES</v>
      </c>
      <c r="I147" s="89">
        <f>'[1]OMM_Unit Matrix'!I147</f>
        <v>0</v>
      </c>
      <c r="J147" s="89" t="str">
        <f>'[1]OMM_Unit Matrix'!J147</f>
        <v>NO</v>
      </c>
      <c r="K147" s="89">
        <f>'[1]OMM_Unit Matrix'!K147</f>
        <v>0</v>
      </c>
      <c r="L147" s="89" t="str">
        <f>'[1]OMM_Unit Matrix'!L147</f>
        <v>NO</v>
      </c>
      <c r="M147" s="89">
        <f>'[1]OMM_Unit Matrix'!M147</f>
        <v>0</v>
      </c>
      <c r="N147" s="89" t="str">
        <f>'[1]OMM_Unit Matrix'!N147</f>
        <v>YES</v>
      </c>
      <c r="O147" s="89">
        <f>'[1]OMM_Unit Matrix'!O147</f>
        <v>0</v>
      </c>
      <c r="P147" s="89" t="str">
        <f>'[1]OMM_Unit Matrix'!P147</f>
        <v>NO</v>
      </c>
      <c r="Q147" s="89">
        <f>'[1]OMM_Unit Matrix'!Q147</f>
        <v>0</v>
      </c>
      <c r="R147" s="89" t="str">
        <f>'[1]OMM_Unit Matrix'!R147</f>
        <v>NO</v>
      </c>
      <c r="S147" s="89">
        <f>'[1]OMM_Unit Matrix'!S147</f>
        <v>0</v>
      </c>
      <c r="T147" s="89" t="str">
        <f>'[1]OMM_Unit Matrix'!T147</f>
        <v>NO</v>
      </c>
      <c r="U147" s="89">
        <f>'[1]OMM_Unit Matrix'!U147</f>
        <v>0</v>
      </c>
      <c r="V147" s="89" t="str">
        <f>'[1]OMM_Unit Matrix'!V147</f>
        <v>YES</v>
      </c>
      <c r="W147" s="89">
        <f>'[1]OMM_Unit Matrix'!W147</f>
        <v>0</v>
      </c>
      <c r="X147" s="89" t="str">
        <f>'[1]OMM_Unit Matrix'!X147</f>
        <v>NO</v>
      </c>
      <c r="Y147" s="89">
        <f>'[1]OMM_Unit Matrix'!Y147</f>
        <v>0</v>
      </c>
      <c r="Z147" s="89" t="str">
        <f>'[1]OMM_Unit Matrix'!Z147</f>
        <v>NO</v>
      </c>
      <c r="AA147" s="89">
        <f>'[1]OMM_Unit Matrix'!AA147</f>
        <v>0</v>
      </c>
      <c r="AB147" s="89" t="str">
        <f>'[1]OMM_Unit Matrix'!AB147</f>
        <v>YES</v>
      </c>
      <c r="AC147" s="89">
        <f>'[1]OMM_Unit Matrix'!AC147</f>
        <v>0</v>
      </c>
      <c r="AD147" s="89" t="str">
        <f>'[1]OMM_Unit Matrix'!AD147</f>
        <v>YES</v>
      </c>
      <c r="AE147" s="89">
        <f>'[1]OMM_Unit Matrix'!AE147</f>
        <v>0</v>
      </c>
      <c r="AF147" s="89" t="str">
        <f>'[1]OMM_Unit Matrix'!AF147</f>
        <v>NO</v>
      </c>
      <c r="AG147" s="89">
        <f>'[1]OMM_Unit Matrix'!AG147</f>
        <v>0</v>
      </c>
      <c r="AH147" s="89" t="str">
        <f>'[1]OMM_Unit Matrix'!AH147</f>
        <v>NO</v>
      </c>
      <c r="AI147" s="89">
        <f>'[1]OMM_Unit Matrix'!AI147</f>
        <v>0</v>
      </c>
      <c r="AJ147" s="89" t="str">
        <f>'[1]OMM_Unit Matrix'!AJ147</f>
        <v>NO</v>
      </c>
      <c r="AK147" s="89">
        <f>'[1]OMM_Unit Matrix'!AK147</f>
        <v>0</v>
      </c>
      <c r="AL147" s="89" t="str">
        <f>'[1]OMM_Unit Matrix'!AL147</f>
        <v>YES</v>
      </c>
      <c r="AM147" s="89">
        <f>'[1]OMM_Unit Matrix'!AM147</f>
        <v>0</v>
      </c>
      <c r="AN147" s="89" t="str">
        <f>'[1]OMM_Unit Matrix'!AN147</f>
        <v>NO</v>
      </c>
      <c r="AO147" s="89">
        <f>'[1]OMM_Unit Matrix'!AO147</f>
        <v>0</v>
      </c>
      <c r="AP147" s="89" t="str">
        <f>'[1]OMM_Unit Matrix'!AP147</f>
        <v>NO</v>
      </c>
      <c r="AQ147" s="270">
        <f>'[1]OMM_Unit Matrix'!AQ147</f>
        <v>0</v>
      </c>
    </row>
    <row r="148" spans="2:43" hidden="1">
      <c r="B148" s="89">
        <f>'[1]OMM_Unit Matrix'!B148</f>
        <v>6</v>
      </c>
      <c r="C148" s="275">
        <f>'[1]OMM_Unit Matrix'!C148</f>
        <v>26</v>
      </c>
      <c r="D148" s="89">
        <f>'[1]OMM_Unit Matrix'!D148</f>
        <v>6026</v>
      </c>
      <c r="E148" s="89">
        <f>'[1]OMM_Unit Matrix'!E148</f>
        <v>0</v>
      </c>
      <c r="F148" s="89">
        <f>'[1]OMM_Unit Matrix'!F148</f>
        <v>0</v>
      </c>
      <c r="G148" s="89" t="str">
        <f>'[1]OMM_Unit Matrix'!G148</f>
        <v>NOT IN SCOPE</v>
      </c>
      <c r="H148" s="89">
        <f>'[1]OMM_Unit Matrix'!H148</f>
        <v>0</v>
      </c>
      <c r="I148" s="89">
        <f>'[1]OMM_Unit Matrix'!I148</f>
        <v>0</v>
      </c>
      <c r="J148" s="89">
        <f>'[1]OMM_Unit Matrix'!J148</f>
        <v>0</v>
      </c>
      <c r="K148" s="89">
        <f>'[1]OMM_Unit Matrix'!K148</f>
        <v>0</v>
      </c>
      <c r="L148" s="89">
        <f>'[1]OMM_Unit Matrix'!L148</f>
        <v>0</v>
      </c>
      <c r="M148" s="89">
        <f>'[1]OMM_Unit Matrix'!M148</f>
        <v>0</v>
      </c>
      <c r="N148" s="89">
        <f>'[1]OMM_Unit Matrix'!N148</f>
        <v>0</v>
      </c>
      <c r="O148" s="89">
        <f>'[1]OMM_Unit Matrix'!O148</f>
        <v>0</v>
      </c>
      <c r="P148" s="89">
        <f>'[1]OMM_Unit Matrix'!P148</f>
        <v>0</v>
      </c>
      <c r="Q148" s="89">
        <f>'[1]OMM_Unit Matrix'!Q148</f>
        <v>0</v>
      </c>
      <c r="R148" s="89">
        <f>'[1]OMM_Unit Matrix'!R148</f>
        <v>0</v>
      </c>
      <c r="S148" s="89">
        <f>'[1]OMM_Unit Matrix'!S148</f>
        <v>0</v>
      </c>
      <c r="T148" s="89">
        <f>'[1]OMM_Unit Matrix'!T148</f>
        <v>0</v>
      </c>
      <c r="U148" s="89">
        <f>'[1]OMM_Unit Matrix'!U148</f>
        <v>0</v>
      </c>
      <c r="V148" s="89">
        <f>'[1]OMM_Unit Matrix'!V148</f>
        <v>0</v>
      </c>
      <c r="W148" s="89">
        <f>'[1]OMM_Unit Matrix'!W148</f>
        <v>0</v>
      </c>
      <c r="X148" s="89">
        <f>'[1]OMM_Unit Matrix'!X148</f>
        <v>0</v>
      </c>
      <c r="Y148" s="89">
        <f>'[1]OMM_Unit Matrix'!Y148</f>
        <v>0</v>
      </c>
      <c r="Z148" s="89">
        <f>'[1]OMM_Unit Matrix'!Z148</f>
        <v>0</v>
      </c>
      <c r="AA148" s="89">
        <f>'[1]OMM_Unit Matrix'!AA148</f>
        <v>0</v>
      </c>
      <c r="AB148" s="89">
        <f>'[1]OMM_Unit Matrix'!AB148</f>
        <v>0</v>
      </c>
      <c r="AC148" s="89">
        <f>'[1]OMM_Unit Matrix'!AC148</f>
        <v>0</v>
      </c>
      <c r="AD148" s="89">
        <f>'[1]OMM_Unit Matrix'!AD148</f>
        <v>0</v>
      </c>
      <c r="AE148" s="89">
        <f>'[1]OMM_Unit Matrix'!AE148</f>
        <v>0</v>
      </c>
      <c r="AF148" s="89">
        <f>'[1]OMM_Unit Matrix'!AF148</f>
        <v>0</v>
      </c>
      <c r="AG148" s="89">
        <f>'[1]OMM_Unit Matrix'!AG148</f>
        <v>0</v>
      </c>
      <c r="AH148" s="89">
        <f>'[1]OMM_Unit Matrix'!AH148</f>
        <v>0</v>
      </c>
      <c r="AI148" s="89">
        <f>'[1]OMM_Unit Matrix'!AI148</f>
        <v>0</v>
      </c>
      <c r="AJ148" s="89">
        <f>'[1]OMM_Unit Matrix'!AJ148</f>
        <v>0</v>
      </c>
      <c r="AK148" s="89">
        <f>'[1]OMM_Unit Matrix'!AK148</f>
        <v>0</v>
      </c>
      <c r="AL148" s="89">
        <f>'[1]OMM_Unit Matrix'!AL148</f>
        <v>0</v>
      </c>
      <c r="AM148" s="89">
        <f>'[1]OMM_Unit Matrix'!AM148</f>
        <v>0</v>
      </c>
      <c r="AN148" s="89">
        <f>'[1]OMM_Unit Matrix'!AN148</f>
        <v>0</v>
      </c>
      <c r="AO148" s="89">
        <f>'[1]OMM_Unit Matrix'!AO148</f>
        <v>0</v>
      </c>
      <c r="AP148" s="89">
        <f>'[1]OMM_Unit Matrix'!AP148</f>
        <v>0</v>
      </c>
      <c r="AQ148" s="270">
        <f>'[1]OMM_Unit Matrix'!AQ148</f>
        <v>0</v>
      </c>
    </row>
    <row r="149" spans="2:43" hidden="1">
      <c r="B149" s="89">
        <f>'[1]OMM_Unit Matrix'!B149</f>
        <v>6</v>
      </c>
      <c r="C149" s="275">
        <f>'[1]OMM_Unit Matrix'!C149</f>
        <v>27</v>
      </c>
      <c r="D149" s="89">
        <f>'[1]OMM_Unit Matrix'!D149</f>
        <v>6027</v>
      </c>
      <c r="E149" s="89">
        <f>'[1]OMM_Unit Matrix'!E149</f>
        <v>0</v>
      </c>
      <c r="F149" s="89">
        <f>'[1]OMM_Unit Matrix'!F149</f>
        <v>0</v>
      </c>
      <c r="G149" s="89" t="str">
        <f>'[1]OMM_Unit Matrix'!G149</f>
        <v>NOT IN SCOPE</v>
      </c>
      <c r="H149" s="89">
        <f>'[1]OMM_Unit Matrix'!H149</f>
        <v>0</v>
      </c>
      <c r="I149" s="89">
        <f>'[1]OMM_Unit Matrix'!I149</f>
        <v>0</v>
      </c>
      <c r="J149" s="89">
        <f>'[1]OMM_Unit Matrix'!J149</f>
        <v>0</v>
      </c>
      <c r="K149" s="89">
        <f>'[1]OMM_Unit Matrix'!K149</f>
        <v>0</v>
      </c>
      <c r="L149" s="89">
        <f>'[1]OMM_Unit Matrix'!L149</f>
        <v>0</v>
      </c>
      <c r="M149" s="89">
        <f>'[1]OMM_Unit Matrix'!M149</f>
        <v>0</v>
      </c>
      <c r="N149" s="89">
        <f>'[1]OMM_Unit Matrix'!N149</f>
        <v>0</v>
      </c>
      <c r="O149" s="89">
        <f>'[1]OMM_Unit Matrix'!O149</f>
        <v>0</v>
      </c>
      <c r="P149" s="89">
        <f>'[1]OMM_Unit Matrix'!P149</f>
        <v>0</v>
      </c>
      <c r="Q149" s="89">
        <f>'[1]OMM_Unit Matrix'!Q149</f>
        <v>0</v>
      </c>
      <c r="R149" s="89">
        <f>'[1]OMM_Unit Matrix'!R149</f>
        <v>0</v>
      </c>
      <c r="S149" s="89">
        <f>'[1]OMM_Unit Matrix'!S149</f>
        <v>0</v>
      </c>
      <c r="T149" s="89">
        <f>'[1]OMM_Unit Matrix'!T149</f>
        <v>0</v>
      </c>
      <c r="U149" s="89">
        <f>'[1]OMM_Unit Matrix'!U149</f>
        <v>0</v>
      </c>
      <c r="V149" s="89">
        <f>'[1]OMM_Unit Matrix'!V149</f>
        <v>0</v>
      </c>
      <c r="W149" s="89">
        <f>'[1]OMM_Unit Matrix'!W149</f>
        <v>0</v>
      </c>
      <c r="X149" s="89">
        <f>'[1]OMM_Unit Matrix'!X149</f>
        <v>0</v>
      </c>
      <c r="Y149" s="89">
        <f>'[1]OMM_Unit Matrix'!Y149</f>
        <v>0</v>
      </c>
      <c r="Z149" s="89">
        <f>'[1]OMM_Unit Matrix'!Z149</f>
        <v>0</v>
      </c>
      <c r="AA149" s="89">
        <f>'[1]OMM_Unit Matrix'!AA149</f>
        <v>0</v>
      </c>
      <c r="AB149" s="89">
        <f>'[1]OMM_Unit Matrix'!AB149</f>
        <v>0</v>
      </c>
      <c r="AC149" s="89">
        <f>'[1]OMM_Unit Matrix'!AC149</f>
        <v>0</v>
      </c>
      <c r="AD149" s="89">
        <f>'[1]OMM_Unit Matrix'!AD149</f>
        <v>0</v>
      </c>
      <c r="AE149" s="89">
        <f>'[1]OMM_Unit Matrix'!AE149</f>
        <v>0</v>
      </c>
      <c r="AF149" s="89">
        <f>'[1]OMM_Unit Matrix'!AF149</f>
        <v>0</v>
      </c>
      <c r="AG149" s="89">
        <f>'[1]OMM_Unit Matrix'!AG149</f>
        <v>0</v>
      </c>
      <c r="AH149" s="89">
        <f>'[1]OMM_Unit Matrix'!AH149</f>
        <v>0</v>
      </c>
      <c r="AI149" s="89">
        <f>'[1]OMM_Unit Matrix'!AI149</f>
        <v>0</v>
      </c>
      <c r="AJ149" s="89">
        <f>'[1]OMM_Unit Matrix'!AJ149</f>
        <v>0</v>
      </c>
      <c r="AK149" s="89">
        <f>'[1]OMM_Unit Matrix'!AK149</f>
        <v>0</v>
      </c>
      <c r="AL149" s="89">
        <f>'[1]OMM_Unit Matrix'!AL149</f>
        <v>0</v>
      </c>
      <c r="AM149" s="89">
        <f>'[1]OMM_Unit Matrix'!AM149</f>
        <v>0</v>
      </c>
      <c r="AN149" s="89">
        <f>'[1]OMM_Unit Matrix'!AN149</f>
        <v>0</v>
      </c>
      <c r="AO149" s="89">
        <f>'[1]OMM_Unit Matrix'!AO149</f>
        <v>0</v>
      </c>
      <c r="AP149" s="89">
        <f>'[1]OMM_Unit Matrix'!AP149</f>
        <v>0</v>
      </c>
      <c r="AQ149" s="270">
        <f>'[1]OMM_Unit Matrix'!AQ149</f>
        <v>0</v>
      </c>
    </row>
    <row r="150" spans="2:43" hidden="1">
      <c r="B150" s="89">
        <f>'[1]OMM_Unit Matrix'!B150</f>
        <v>6</v>
      </c>
      <c r="C150" s="275">
        <f>'[1]OMM_Unit Matrix'!C150</f>
        <v>28</v>
      </c>
      <c r="D150" s="89">
        <f>'[1]OMM_Unit Matrix'!D150</f>
        <v>6028</v>
      </c>
      <c r="E150" s="89">
        <f>'[1]OMM_Unit Matrix'!E150</f>
        <v>0</v>
      </c>
      <c r="F150" s="89">
        <f>'[1]OMM_Unit Matrix'!F150</f>
        <v>0</v>
      </c>
      <c r="G150" s="89" t="str">
        <f>'[1]OMM_Unit Matrix'!G150</f>
        <v>NOT IN SCOPE</v>
      </c>
      <c r="H150" s="89">
        <f>'[1]OMM_Unit Matrix'!H150</f>
        <v>0</v>
      </c>
      <c r="I150" s="89">
        <f>'[1]OMM_Unit Matrix'!I150</f>
        <v>0</v>
      </c>
      <c r="J150" s="89">
        <f>'[1]OMM_Unit Matrix'!J150</f>
        <v>0</v>
      </c>
      <c r="K150" s="89">
        <f>'[1]OMM_Unit Matrix'!K150</f>
        <v>0</v>
      </c>
      <c r="L150" s="89">
        <f>'[1]OMM_Unit Matrix'!L150</f>
        <v>0</v>
      </c>
      <c r="M150" s="89">
        <f>'[1]OMM_Unit Matrix'!M150</f>
        <v>0</v>
      </c>
      <c r="N150" s="89">
        <f>'[1]OMM_Unit Matrix'!N150</f>
        <v>0</v>
      </c>
      <c r="O150" s="89">
        <f>'[1]OMM_Unit Matrix'!O150</f>
        <v>0</v>
      </c>
      <c r="P150" s="89">
        <f>'[1]OMM_Unit Matrix'!P150</f>
        <v>0</v>
      </c>
      <c r="Q150" s="89">
        <f>'[1]OMM_Unit Matrix'!Q150</f>
        <v>0</v>
      </c>
      <c r="R150" s="89">
        <f>'[1]OMM_Unit Matrix'!R150</f>
        <v>0</v>
      </c>
      <c r="S150" s="89">
        <f>'[1]OMM_Unit Matrix'!S150</f>
        <v>0</v>
      </c>
      <c r="T150" s="89">
        <f>'[1]OMM_Unit Matrix'!T150</f>
        <v>0</v>
      </c>
      <c r="U150" s="89">
        <f>'[1]OMM_Unit Matrix'!U150</f>
        <v>0</v>
      </c>
      <c r="V150" s="89">
        <f>'[1]OMM_Unit Matrix'!V150</f>
        <v>0</v>
      </c>
      <c r="W150" s="89">
        <f>'[1]OMM_Unit Matrix'!W150</f>
        <v>0</v>
      </c>
      <c r="X150" s="89">
        <f>'[1]OMM_Unit Matrix'!X150</f>
        <v>0</v>
      </c>
      <c r="Y150" s="89">
        <f>'[1]OMM_Unit Matrix'!Y150</f>
        <v>0</v>
      </c>
      <c r="Z150" s="89">
        <f>'[1]OMM_Unit Matrix'!Z150</f>
        <v>0</v>
      </c>
      <c r="AA150" s="89">
        <f>'[1]OMM_Unit Matrix'!AA150</f>
        <v>0</v>
      </c>
      <c r="AB150" s="89">
        <f>'[1]OMM_Unit Matrix'!AB150</f>
        <v>0</v>
      </c>
      <c r="AC150" s="89">
        <f>'[1]OMM_Unit Matrix'!AC150</f>
        <v>0</v>
      </c>
      <c r="AD150" s="89">
        <f>'[1]OMM_Unit Matrix'!AD150</f>
        <v>0</v>
      </c>
      <c r="AE150" s="89">
        <f>'[1]OMM_Unit Matrix'!AE150</f>
        <v>0</v>
      </c>
      <c r="AF150" s="89">
        <f>'[1]OMM_Unit Matrix'!AF150</f>
        <v>0</v>
      </c>
      <c r="AG150" s="89">
        <f>'[1]OMM_Unit Matrix'!AG150</f>
        <v>0</v>
      </c>
      <c r="AH150" s="89">
        <f>'[1]OMM_Unit Matrix'!AH150</f>
        <v>0</v>
      </c>
      <c r="AI150" s="89">
        <f>'[1]OMM_Unit Matrix'!AI150</f>
        <v>0</v>
      </c>
      <c r="AJ150" s="89">
        <f>'[1]OMM_Unit Matrix'!AJ150</f>
        <v>0</v>
      </c>
      <c r="AK150" s="89">
        <f>'[1]OMM_Unit Matrix'!AK150</f>
        <v>0</v>
      </c>
      <c r="AL150" s="89">
        <f>'[1]OMM_Unit Matrix'!AL150</f>
        <v>0</v>
      </c>
      <c r="AM150" s="89">
        <f>'[1]OMM_Unit Matrix'!AM150</f>
        <v>0</v>
      </c>
      <c r="AN150" s="89">
        <f>'[1]OMM_Unit Matrix'!AN150</f>
        <v>0</v>
      </c>
      <c r="AO150" s="89">
        <f>'[1]OMM_Unit Matrix'!AO150</f>
        <v>0</v>
      </c>
      <c r="AP150" s="89">
        <f>'[1]OMM_Unit Matrix'!AP150</f>
        <v>0</v>
      </c>
      <c r="AQ150" s="270">
        <f>'[1]OMM_Unit Matrix'!AQ150</f>
        <v>0</v>
      </c>
    </row>
    <row r="151" spans="2:43" hidden="1">
      <c r="B151" s="89">
        <f>'[1]OMM_Unit Matrix'!B151</f>
        <v>7</v>
      </c>
      <c r="C151" s="275">
        <f>'[1]OMM_Unit Matrix'!C151</f>
        <v>1</v>
      </c>
      <c r="D151" s="89">
        <f>'[1]OMM_Unit Matrix'!D151</f>
        <v>7001</v>
      </c>
      <c r="E151" s="89">
        <f>'[1]OMM_Unit Matrix'!E151</f>
        <v>0</v>
      </c>
      <c r="F151" s="89">
        <f>'[1]OMM_Unit Matrix'!F151</f>
        <v>0</v>
      </c>
      <c r="G151" s="89" t="str">
        <f>'[1]OMM_Unit Matrix'!G151</f>
        <v>NOT IN SCOPE</v>
      </c>
      <c r="H151" s="89">
        <f>'[1]OMM_Unit Matrix'!H151</f>
        <v>0</v>
      </c>
      <c r="I151" s="89">
        <f>'[1]OMM_Unit Matrix'!I151</f>
        <v>0</v>
      </c>
      <c r="J151" s="89">
        <f>'[1]OMM_Unit Matrix'!J151</f>
        <v>0</v>
      </c>
      <c r="K151" s="89">
        <f>'[1]OMM_Unit Matrix'!K151</f>
        <v>0</v>
      </c>
      <c r="L151" s="89">
        <f>'[1]OMM_Unit Matrix'!L151</f>
        <v>0</v>
      </c>
      <c r="M151" s="89">
        <f>'[1]OMM_Unit Matrix'!M151</f>
        <v>0</v>
      </c>
      <c r="N151" s="89">
        <f>'[1]OMM_Unit Matrix'!N151</f>
        <v>0</v>
      </c>
      <c r="O151" s="89">
        <f>'[1]OMM_Unit Matrix'!O151</f>
        <v>0</v>
      </c>
      <c r="P151" s="89">
        <f>'[1]OMM_Unit Matrix'!P151</f>
        <v>0</v>
      </c>
      <c r="Q151" s="89">
        <f>'[1]OMM_Unit Matrix'!Q151</f>
        <v>0</v>
      </c>
      <c r="R151" s="89">
        <f>'[1]OMM_Unit Matrix'!R151</f>
        <v>0</v>
      </c>
      <c r="S151" s="89">
        <f>'[1]OMM_Unit Matrix'!S151</f>
        <v>0</v>
      </c>
      <c r="T151" s="89">
        <f>'[1]OMM_Unit Matrix'!T151</f>
        <v>0</v>
      </c>
      <c r="U151" s="89">
        <f>'[1]OMM_Unit Matrix'!U151</f>
        <v>0</v>
      </c>
      <c r="V151" s="89">
        <f>'[1]OMM_Unit Matrix'!V151</f>
        <v>0</v>
      </c>
      <c r="W151" s="89">
        <f>'[1]OMM_Unit Matrix'!W151</f>
        <v>0</v>
      </c>
      <c r="X151" s="89">
        <f>'[1]OMM_Unit Matrix'!X151</f>
        <v>0</v>
      </c>
      <c r="Y151" s="89">
        <f>'[1]OMM_Unit Matrix'!Y151</f>
        <v>0</v>
      </c>
      <c r="Z151" s="89">
        <f>'[1]OMM_Unit Matrix'!Z151</f>
        <v>0</v>
      </c>
      <c r="AA151" s="89">
        <f>'[1]OMM_Unit Matrix'!AA151</f>
        <v>0</v>
      </c>
      <c r="AB151" s="89">
        <f>'[1]OMM_Unit Matrix'!AB151</f>
        <v>0</v>
      </c>
      <c r="AC151" s="89">
        <f>'[1]OMM_Unit Matrix'!AC151</f>
        <v>0</v>
      </c>
      <c r="AD151" s="89">
        <f>'[1]OMM_Unit Matrix'!AD151</f>
        <v>0</v>
      </c>
      <c r="AE151" s="89">
        <f>'[1]OMM_Unit Matrix'!AE151</f>
        <v>0</v>
      </c>
      <c r="AF151" s="89">
        <f>'[1]OMM_Unit Matrix'!AF151</f>
        <v>0</v>
      </c>
      <c r="AG151" s="89">
        <f>'[1]OMM_Unit Matrix'!AG151</f>
        <v>0</v>
      </c>
      <c r="AH151" s="89">
        <f>'[1]OMM_Unit Matrix'!AH151</f>
        <v>0</v>
      </c>
      <c r="AI151" s="89">
        <f>'[1]OMM_Unit Matrix'!AI151</f>
        <v>0</v>
      </c>
      <c r="AJ151" s="89">
        <f>'[1]OMM_Unit Matrix'!AJ151</f>
        <v>0</v>
      </c>
      <c r="AK151" s="89">
        <f>'[1]OMM_Unit Matrix'!AK151</f>
        <v>0</v>
      </c>
      <c r="AL151" s="89">
        <f>'[1]OMM_Unit Matrix'!AL151</f>
        <v>0</v>
      </c>
      <c r="AM151" s="89">
        <f>'[1]OMM_Unit Matrix'!AM151</f>
        <v>0</v>
      </c>
      <c r="AN151" s="89">
        <f>'[1]OMM_Unit Matrix'!AN151</f>
        <v>0</v>
      </c>
      <c r="AO151" s="89">
        <f>'[1]OMM_Unit Matrix'!AO151</f>
        <v>0</v>
      </c>
      <c r="AP151" s="89">
        <f>'[1]OMM_Unit Matrix'!AP151</f>
        <v>0</v>
      </c>
      <c r="AQ151" s="270">
        <f>'[1]OMM_Unit Matrix'!AQ151</f>
        <v>0</v>
      </c>
    </row>
    <row r="152" spans="2:43" hidden="1">
      <c r="B152" s="89">
        <f>'[1]OMM_Unit Matrix'!B152</f>
        <v>7</v>
      </c>
      <c r="C152" s="275">
        <f>'[1]OMM_Unit Matrix'!C152</f>
        <v>2</v>
      </c>
      <c r="D152" s="89">
        <f>'[1]OMM_Unit Matrix'!D152</f>
        <v>7002</v>
      </c>
      <c r="E152" s="89">
        <f>'[1]OMM_Unit Matrix'!E152</f>
        <v>0</v>
      </c>
      <c r="F152" s="89">
        <f>'[1]OMM_Unit Matrix'!F152</f>
        <v>0</v>
      </c>
      <c r="G152" s="89" t="str">
        <f>'[1]OMM_Unit Matrix'!G152</f>
        <v>NOT IN SCOPE</v>
      </c>
      <c r="H152" s="89">
        <f>'[1]OMM_Unit Matrix'!H152</f>
        <v>0</v>
      </c>
      <c r="I152" s="89">
        <f>'[1]OMM_Unit Matrix'!I152</f>
        <v>0</v>
      </c>
      <c r="J152" s="89">
        <f>'[1]OMM_Unit Matrix'!J152</f>
        <v>0</v>
      </c>
      <c r="K152" s="89">
        <f>'[1]OMM_Unit Matrix'!K152</f>
        <v>0</v>
      </c>
      <c r="L152" s="89">
        <f>'[1]OMM_Unit Matrix'!L152</f>
        <v>0</v>
      </c>
      <c r="M152" s="89">
        <f>'[1]OMM_Unit Matrix'!M152</f>
        <v>0</v>
      </c>
      <c r="N152" s="89">
        <f>'[1]OMM_Unit Matrix'!N152</f>
        <v>0</v>
      </c>
      <c r="O152" s="89">
        <f>'[1]OMM_Unit Matrix'!O152</f>
        <v>0</v>
      </c>
      <c r="P152" s="89">
        <f>'[1]OMM_Unit Matrix'!P152</f>
        <v>0</v>
      </c>
      <c r="Q152" s="89">
        <f>'[1]OMM_Unit Matrix'!Q152</f>
        <v>0</v>
      </c>
      <c r="R152" s="89">
        <f>'[1]OMM_Unit Matrix'!R152</f>
        <v>0</v>
      </c>
      <c r="S152" s="89">
        <f>'[1]OMM_Unit Matrix'!S152</f>
        <v>0</v>
      </c>
      <c r="T152" s="89">
        <f>'[1]OMM_Unit Matrix'!T152</f>
        <v>0</v>
      </c>
      <c r="U152" s="89">
        <f>'[1]OMM_Unit Matrix'!U152</f>
        <v>0</v>
      </c>
      <c r="V152" s="89">
        <f>'[1]OMM_Unit Matrix'!V152</f>
        <v>0</v>
      </c>
      <c r="W152" s="89">
        <f>'[1]OMM_Unit Matrix'!W152</f>
        <v>0</v>
      </c>
      <c r="X152" s="89">
        <f>'[1]OMM_Unit Matrix'!X152</f>
        <v>0</v>
      </c>
      <c r="Y152" s="89">
        <f>'[1]OMM_Unit Matrix'!Y152</f>
        <v>0</v>
      </c>
      <c r="Z152" s="89">
        <f>'[1]OMM_Unit Matrix'!Z152</f>
        <v>0</v>
      </c>
      <c r="AA152" s="89">
        <f>'[1]OMM_Unit Matrix'!AA152</f>
        <v>0</v>
      </c>
      <c r="AB152" s="89">
        <f>'[1]OMM_Unit Matrix'!AB152</f>
        <v>0</v>
      </c>
      <c r="AC152" s="89">
        <f>'[1]OMM_Unit Matrix'!AC152</f>
        <v>0</v>
      </c>
      <c r="AD152" s="89">
        <f>'[1]OMM_Unit Matrix'!AD152</f>
        <v>0</v>
      </c>
      <c r="AE152" s="89">
        <f>'[1]OMM_Unit Matrix'!AE152</f>
        <v>0</v>
      </c>
      <c r="AF152" s="89">
        <f>'[1]OMM_Unit Matrix'!AF152</f>
        <v>0</v>
      </c>
      <c r="AG152" s="89">
        <f>'[1]OMM_Unit Matrix'!AG152</f>
        <v>0</v>
      </c>
      <c r="AH152" s="89">
        <f>'[1]OMM_Unit Matrix'!AH152</f>
        <v>0</v>
      </c>
      <c r="AI152" s="89">
        <f>'[1]OMM_Unit Matrix'!AI152</f>
        <v>0</v>
      </c>
      <c r="AJ152" s="89">
        <f>'[1]OMM_Unit Matrix'!AJ152</f>
        <v>0</v>
      </c>
      <c r="AK152" s="89">
        <f>'[1]OMM_Unit Matrix'!AK152</f>
        <v>0</v>
      </c>
      <c r="AL152" s="89">
        <f>'[1]OMM_Unit Matrix'!AL152</f>
        <v>0</v>
      </c>
      <c r="AM152" s="89">
        <f>'[1]OMM_Unit Matrix'!AM152</f>
        <v>0</v>
      </c>
      <c r="AN152" s="89">
        <f>'[1]OMM_Unit Matrix'!AN152</f>
        <v>0</v>
      </c>
      <c r="AO152" s="89">
        <f>'[1]OMM_Unit Matrix'!AO152</f>
        <v>0</v>
      </c>
      <c r="AP152" s="89">
        <f>'[1]OMM_Unit Matrix'!AP152</f>
        <v>0</v>
      </c>
      <c r="AQ152" s="270">
        <f>'[1]OMM_Unit Matrix'!AQ152</f>
        <v>0</v>
      </c>
    </row>
    <row r="153" spans="2:43" hidden="1">
      <c r="B153" s="89">
        <f>'[1]OMM_Unit Matrix'!B153</f>
        <v>7</v>
      </c>
      <c r="C153" s="275">
        <f>'[1]OMM_Unit Matrix'!C153</f>
        <v>3</v>
      </c>
      <c r="D153" s="89">
        <f>'[1]OMM_Unit Matrix'!D153</f>
        <v>7003</v>
      </c>
      <c r="E153" s="89">
        <f>'[1]OMM_Unit Matrix'!E153</f>
        <v>0</v>
      </c>
      <c r="F153" s="89">
        <f>'[1]OMM_Unit Matrix'!F153</f>
        <v>0</v>
      </c>
      <c r="G153" s="89" t="str">
        <f>'[1]OMM_Unit Matrix'!G153</f>
        <v>NOT IN SCOPE</v>
      </c>
      <c r="H153" s="89">
        <f>'[1]OMM_Unit Matrix'!H153</f>
        <v>0</v>
      </c>
      <c r="I153" s="89">
        <f>'[1]OMM_Unit Matrix'!I153</f>
        <v>0</v>
      </c>
      <c r="J153" s="89">
        <f>'[1]OMM_Unit Matrix'!J153</f>
        <v>0</v>
      </c>
      <c r="K153" s="89">
        <f>'[1]OMM_Unit Matrix'!K153</f>
        <v>0</v>
      </c>
      <c r="L153" s="89">
        <f>'[1]OMM_Unit Matrix'!L153</f>
        <v>0</v>
      </c>
      <c r="M153" s="89">
        <f>'[1]OMM_Unit Matrix'!M153</f>
        <v>0</v>
      </c>
      <c r="N153" s="89">
        <f>'[1]OMM_Unit Matrix'!N153</f>
        <v>0</v>
      </c>
      <c r="O153" s="89">
        <f>'[1]OMM_Unit Matrix'!O153</f>
        <v>0</v>
      </c>
      <c r="P153" s="89">
        <f>'[1]OMM_Unit Matrix'!P153</f>
        <v>0</v>
      </c>
      <c r="Q153" s="89">
        <f>'[1]OMM_Unit Matrix'!Q153</f>
        <v>0</v>
      </c>
      <c r="R153" s="89">
        <f>'[1]OMM_Unit Matrix'!R153</f>
        <v>0</v>
      </c>
      <c r="S153" s="89">
        <f>'[1]OMM_Unit Matrix'!S153</f>
        <v>0</v>
      </c>
      <c r="T153" s="89">
        <f>'[1]OMM_Unit Matrix'!T153</f>
        <v>0</v>
      </c>
      <c r="U153" s="89">
        <f>'[1]OMM_Unit Matrix'!U153</f>
        <v>0</v>
      </c>
      <c r="V153" s="89">
        <f>'[1]OMM_Unit Matrix'!V153</f>
        <v>0</v>
      </c>
      <c r="W153" s="89">
        <f>'[1]OMM_Unit Matrix'!W153</f>
        <v>0</v>
      </c>
      <c r="X153" s="89">
        <f>'[1]OMM_Unit Matrix'!X153</f>
        <v>0</v>
      </c>
      <c r="Y153" s="89">
        <f>'[1]OMM_Unit Matrix'!Y153</f>
        <v>0</v>
      </c>
      <c r="Z153" s="89">
        <f>'[1]OMM_Unit Matrix'!Z153</f>
        <v>0</v>
      </c>
      <c r="AA153" s="89">
        <f>'[1]OMM_Unit Matrix'!AA153</f>
        <v>0</v>
      </c>
      <c r="AB153" s="89">
        <f>'[1]OMM_Unit Matrix'!AB153</f>
        <v>0</v>
      </c>
      <c r="AC153" s="89">
        <f>'[1]OMM_Unit Matrix'!AC153</f>
        <v>0</v>
      </c>
      <c r="AD153" s="89">
        <f>'[1]OMM_Unit Matrix'!AD153</f>
        <v>0</v>
      </c>
      <c r="AE153" s="89">
        <f>'[1]OMM_Unit Matrix'!AE153</f>
        <v>0</v>
      </c>
      <c r="AF153" s="89">
        <f>'[1]OMM_Unit Matrix'!AF153</f>
        <v>0</v>
      </c>
      <c r="AG153" s="89">
        <f>'[1]OMM_Unit Matrix'!AG153</f>
        <v>0</v>
      </c>
      <c r="AH153" s="89">
        <f>'[1]OMM_Unit Matrix'!AH153</f>
        <v>0</v>
      </c>
      <c r="AI153" s="89">
        <f>'[1]OMM_Unit Matrix'!AI153</f>
        <v>0</v>
      </c>
      <c r="AJ153" s="89">
        <f>'[1]OMM_Unit Matrix'!AJ153</f>
        <v>0</v>
      </c>
      <c r="AK153" s="89">
        <f>'[1]OMM_Unit Matrix'!AK153</f>
        <v>0</v>
      </c>
      <c r="AL153" s="89">
        <f>'[1]OMM_Unit Matrix'!AL153</f>
        <v>0</v>
      </c>
      <c r="AM153" s="89">
        <f>'[1]OMM_Unit Matrix'!AM153</f>
        <v>0</v>
      </c>
      <c r="AN153" s="89">
        <f>'[1]OMM_Unit Matrix'!AN153</f>
        <v>0</v>
      </c>
      <c r="AO153" s="89">
        <f>'[1]OMM_Unit Matrix'!AO153</f>
        <v>0</v>
      </c>
      <c r="AP153" s="89">
        <f>'[1]OMM_Unit Matrix'!AP153</f>
        <v>0</v>
      </c>
      <c r="AQ153" s="270">
        <f>'[1]OMM_Unit Matrix'!AQ153</f>
        <v>0</v>
      </c>
    </row>
    <row r="154" spans="2:43" hidden="1">
      <c r="B154" s="89">
        <f>'[1]OMM_Unit Matrix'!B154</f>
        <v>7</v>
      </c>
      <c r="C154" s="275">
        <f>'[1]OMM_Unit Matrix'!C154</f>
        <v>4</v>
      </c>
      <c r="D154" s="89">
        <f>'[1]OMM_Unit Matrix'!D154</f>
        <v>7004</v>
      </c>
      <c r="E154" s="89">
        <f>'[1]OMM_Unit Matrix'!E154</f>
        <v>0</v>
      </c>
      <c r="F154" s="89">
        <f>'[1]OMM_Unit Matrix'!F154</f>
        <v>0</v>
      </c>
      <c r="G154" s="89" t="str">
        <f>'[1]OMM_Unit Matrix'!G154</f>
        <v>NOT IN SCOPE</v>
      </c>
      <c r="H154" s="89">
        <f>'[1]OMM_Unit Matrix'!H154</f>
        <v>0</v>
      </c>
      <c r="I154" s="89">
        <f>'[1]OMM_Unit Matrix'!I154</f>
        <v>0</v>
      </c>
      <c r="J154" s="89">
        <f>'[1]OMM_Unit Matrix'!J154</f>
        <v>0</v>
      </c>
      <c r="K154" s="89">
        <f>'[1]OMM_Unit Matrix'!K154</f>
        <v>0</v>
      </c>
      <c r="L154" s="89">
        <f>'[1]OMM_Unit Matrix'!L154</f>
        <v>0</v>
      </c>
      <c r="M154" s="89">
        <f>'[1]OMM_Unit Matrix'!M154</f>
        <v>0</v>
      </c>
      <c r="N154" s="89">
        <f>'[1]OMM_Unit Matrix'!N154</f>
        <v>0</v>
      </c>
      <c r="O154" s="89">
        <f>'[1]OMM_Unit Matrix'!O154</f>
        <v>0</v>
      </c>
      <c r="P154" s="89">
        <f>'[1]OMM_Unit Matrix'!P154</f>
        <v>0</v>
      </c>
      <c r="Q154" s="89">
        <f>'[1]OMM_Unit Matrix'!Q154</f>
        <v>0</v>
      </c>
      <c r="R154" s="89">
        <f>'[1]OMM_Unit Matrix'!R154</f>
        <v>0</v>
      </c>
      <c r="S154" s="89">
        <f>'[1]OMM_Unit Matrix'!S154</f>
        <v>0</v>
      </c>
      <c r="T154" s="89">
        <f>'[1]OMM_Unit Matrix'!T154</f>
        <v>0</v>
      </c>
      <c r="U154" s="89">
        <f>'[1]OMM_Unit Matrix'!U154</f>
        <v>0</v>
      </c>
      <c r="V154" s="89">
        <f>'[1]OMM_Unit Matrix'!V154</f>
        <v>0</v>
      </c>
      <c r="W154" s="89">
        <f>'[1]OMM_Unit Matrix'!W154</f>
        <v>0</v>
      </c>
      <c r="X154" s="89">
        <f>'[1]OMM_Unit Matrix'!X154</f>
        <v>0</v>
      </c>
      <c r="Y154" s="89">
        <f>'[1]OMM_Unit Matrix'!Y154</f>
        <v>0</v>
      </c>
      <c r="Z154" s="89">
        <f>'[1]OMM_Unit Matrix'!Z154</f>
        <v>0</v>
      </c>
      <c r="AA154" s="89">
        <f>'[1]OMM_Unit Matrix'!AA154</f>
        <v>0</v>
      </c>
      <c r="AB154" s="89">
        <f>'[1]OMM_Unit Matrix'!AB154</f>
        <v>0</v>
      </c>
      <c r="AC154" s="89">
        <f>'[1]OMM_Unit Matrix'!AC154</f>
        <v>0</v>
      </c>
      <c r="AD154" s="89">
        <f>'[1]OMM_Unit Matrix'!AD154</f>
        <v>0</v>
      </c>
      <c r="AE154" s="89">
        <f>'[1]OMM_Unit Matrix'!AE154</f>
        <v>0</v>
      </c>
      <c r="AF154" s="89">
        <f>'[1]OMM_Unit Matrix'!AF154</f>
        <v>0</v>
      </c>
      <c r="AG154" s="89">
        <f>'[1]OMM_Unit Matrix'!AG154</f>
        <v>0</v>
      </c>
      <c r="AH154" s="89">
        <f>'[1]OMM_Unit Matrix'!AH154</f>
        <v>0</v>
      </c>
      <c r="AI154" s="89">
        <f>'[1]OMM_Unit Matrix'!AI154</f>
        <v>0</v>
      </c>
      <c r="AJ154" s="89">
        <f>'[1]OMM_Unit Matrix'!AJ154</f>
        <v>0</v>
      </c>
      <c r="AK154" s="89">
        <f>'[1]OMM_Unit Matrix'!AK154</f>
        <v>0</v>
      </c>
      <c r="AL154" s="89">
        <f>'[1]OMM_Unit Matrix'!AL154</f>
        <v>0</v>
      </c>
      <c r="AM154" s="89">
        <f>'[1]OMM_Unit Matrix'!AM154</f>
        <v>0</v>
      </c>
      <c r="AN154" s="89">
        <f>'[1]OMM_Unit Matrix'!AN154</f>
        <v>0</v>
      </c>
      <c r="AO154" s="89">
        <f>'[1]OMM_Unit Matrix'!AO154</f>
        <v>0</v>
      </c>
      <c r="AP154" s="89">
        <f>'[1]OMM_Unit Matrix'!AP154</f>
        <v>0</v>
      </c>
      <c r="AQ154" s="270">
        <f>'[1]OMM_Unit Matrix'!AQ154</f>
        <v>0</v>
      </c>
    </row>
    <row r="155" spans="2:43" hidden="1">
      <c r="B155" s="89">
        <f>'[1]OMM_Unit Matrix'!B155</f>
        <v>7</v>
      </c>
      <c r="C155" s="275">
        <f>'[1]OMM_Unit Matrix'!C155</f>
        <v>5</v>
      </c>
      <c r="D155" s="89">
        <f>'[1]OMM_Unit Matrix'!D155</f>
        <v>7005</v>
      </c>
      <c r="E155" s="89">
        <f>'[1]OMM_Unit Matrix'!E155</f>
        <v>0</v>
      </c>
      <c r="F155" s="89">
        <f>'[1]OMM_Unit Matrix'!F155</f>
        <v>0</v>
      </c>
      <c r="G155" s="89" t="str">
        <f>'[1]OMM_Unit Matrix'!G155</f>
        <v>NOT IN SCOPE</v>
      </c>
      <c r="H155" s="89">
        <f>'[1]OMM_Unit Matrix'!H155</f>
        <v>0</v>
      </c>
      <c r="I155" s="89">
        <f>'[1]OMM_Unit Matrix'!I155</f>
        <v>0</v>
      </c>
      <c r="J155" s="89">
        <f>'[1]OMM_Unit Matrix'!J155</f>
        <v>0</v>
      </c>
      <c r="K155" s="89">
        <f>'[1]OMM_Unit Matrix'!K155</f>
        <v>0</v>
      </c>
      <c r="L155" s="89">
        <f>'[1]OMM_Unit Matrix'!L155</f>
        <v>0</v>
      </c>
      <c r="M155" s="89">
        <f>'[1]OMM_Unit Matrix'!M155</f>
        <v>0</v>
      </c>
      <c r="N155" s="89">
        <f>'[1]OMM_Unit Matrix'!N155</f>
        <v>0</v>
      </c>
      <c r="O155" s="89">
        <f>'[1]OMM_Unit Matrix'!O155</f>
        <v>0</v>
      </c>
      <c r="P155" s="89">
        <f>'[1]OMM_Unit Matrix'!P155</f>
        <v>0</v>
      </c>
      <c r="Q155" s="89">
        <f>'[1]OMM_Unit Matrix'!Q155</f>
        <v>0</v>
      </c>
      <c r="R155" s="89">
        <f>'[1]OMM_Unit Matrix'!R155</f>
        <v>0</v>
      </c>
      <c r="S155" s="89">
        <f>'[1]OMM_Unit Matrix'!S155</f>
        <v>0</v>
      </c>
      <c r="T155" s="89">
        <f>'[1]OMM_Unit Matrix'!T155</f>
        <v>0</v>
      </c>
      <c r="U155" s="89">
        <f>'[1]OMM_Unit Matrix'!U155</f>
        <v>0</v>
      </c>
      <c r="V155" s="89">
        <f>'[1]OMM_Unit Matrix'!V155</f>
        <v>0</v>
      </c>
      <c r="W155" s="89">
        <f>'[1]OMM_Unit Matrix'!W155</f>
        <v>0</v>
      </c>
      <c r="X155" s="89">
        <f>'[1]OMM_Unit Matrix'!X155</f>
        <v>0</v>
      </c>
      <c r="Y155" s="89">
        <f>'[1]OMM_Unit Matrix'!Y155</f>
        <v>0</v>
      </c>
      <c r="Z155" s="89">
        <f>'[1]OMM_Unit Matrix'!Z155</f>
        <v>0</v>
      </c>
      <c r="AA155" s="89">
        <f>'[1]OMM_Unit Matrix'!AA155</f>
        <v>0</v>
      </c>
      <c r="AB155" s="89">
        <f>'[1]OMM_Unit Matrix'!AB155</f>
        <v>0</v>
      </c>
      <c r="AC155" s="89">
        <f>'[1]OMM_Unit Matrix'!AC155</f>
        <v>0</v>
      </c>
      <c r="AD155" s="89">
        <f>'[1]OMM_Unit Matrix'!AD155</f>
        <v>0</v>
      </c>
      <c r="AE155" s="89">
        <f>'[1]OMM_Unit Matrix'!AE155</f>
        <v>0</v>
      </c>
      <c r="AF155" s="89">
        <f>'[1]OMM_Unit Matrix'!AF155</f>
        <v>0</v>
      </c>
      <c r="AG155" s="89">
        <f>'[1]OMM_Unit Matrix'!AG155</f>
        <v>0</v>
      </c>
      <c r="AH155" s="89">
        <f>'[1]OMM_Unit Matrix'!AH155</f>
        <v>0</v>
      </c>
      <c r="AI155" s="89">
        <f>'[1]OMM_Unit Matrix'!AI155</f>
        <v>0</v>
      </c>
      <c r="AJ155" s="89">
        <f>'[1]OMM_Unit Matrix'!AJ155</f>
        <v>0</v>
      </c>
      <c r="AK155" s="89">
        <f>'[1]OMM_Unit Matrix'!AK155</f>
        <v>0</v>
      </c>
      <c r="AL155" s="89">
        <f>'[1]OMM_Unit Matrix'!AL155</f>
        <v>0</v>
      </c>
      <c r="AM155" s="89">
        <f>'[1]OMM_Unit Matrix'!AM155</f>
        <v>0</v>
      </c>
      <c r="AN155" s="89">
        <f>'[1]OMM_Unit Matrix'!AN155</f>
        <v>0</v>
      </c>
      <c r="AO155" s="89">
        <f>'[1]OMM_Unit Matrix'!AO155</f>
        <v>0</v>
      </c>
      <c r="AP155" s="89">
        <f>'[1]OMM_Unit Matrix'!AP155</f>
        <v>0</v>
      </c>
      <c r="AQ155" s="270">
        <f>'[1]OMM_Unit Matrix'!AQ155</f>
        <v>0</v>
      </c>
    </row>
    <row r="156" spans="2:43">
      <c r="B156" s="89">
        <f>'[1]OMM_Unit Matrix'!B156</f>
        <v>7</v>
      </c>
      <c r="C156" s="275">
        <f>'[1]OMM_Unit Matrix'!C156</f>
        <v>6</v>
      </c>
      <c r="D156" s="89">
        <f>'[1]OMM_Unit Matrix'!D156</f>
        <v>7006</v>
      </c>
      <c r="E156" s="89" t="str">
        <f>'[1]OMM_Unit Matrix'!E156</f>
        <v>YES</v>
      </c>
      <c r="F156" s="132">
        <f>'[1]OMM_Unit Matrix'!F156</f>
        <v>7006.07</v>
      </c>
      <c r="G156" s="89" t="str">
        <f>'[1]OMM_Unit Matrix'!G156</f>
        <v>PENDING</v>
      </c>
      <c r="H156" s="89">
        <f>'[1]OMM_Unit Matrix'!H156</f>
        <v>0</v>
      </c>
      <c r="I156" s="89">
        <f>'[1]OMM_Unit Matrix'!I156</f>
        <v>0</v>
      </c>
      <c r="J156" s="89">
        <f>'[1]OMM_Unit Matrix'!J156</f>
        <v>0</v>
      </c>
      <c r="K156" s="89">
        <f>'[1]OMM_Unit Matrix'!K156</f>
        <v>0</v>
      </c>
      <c r="L156" s="89">
        <f>'[1]OMM_Unit Matrix'!L156</f>
        <v>0</v>
      </c>
      <c r="M156" s="89">
        <f>'[1]OMM_Unit Matrix'!M156</f>
        <v>0</v>
      </c>
      <c r="N156" s="89">
        <f>'[1]OMM_Unit Matrix'!N156</f>
        <v>0</v>
      </c>
      <c r="O156" s="89">
        <f>'[1]OMM_Unit Matrix'!O156</f>
        <v>0</v>
      </c>
      <c r="P156" s="89">
        <f>'[1]OMM_Unit Matrix'!P156</f>
        <v>0</v>
      </c>
      <c r="Q156" s="89">
        <f>'[1]OMM_Unit Matrix'!Q156</f>
        <v>0</v>
      </c>
      <c r="R156" s="89">
        <f>'[1]OMM_Unit Matrix'!R156</f>
        <v>0</v>
      </c>
      <c r="S156" s="89">
        <f>'[1]OMM_Unit Matrix'!S156</f>
        <v>0</v>
      </c>
      <c r="T156" s="89">
        <f>'[1]OMM_Unit Matrix'!T156</f>
        <v>0</v>
      </c>
      <c r="U156" s="89">
        <f>'[1]OMM_Unit Matrix'!U156</f>
        <v>0</v>
      </c>
      <c r="V156" s="89">
        <f>'[1]OMM_Unit Matrix'!V156</f>
        <v>0</v>
      </c>
      <c r="W156" s="89">
        <f>'[1]OMM_Unit Matrix'!W156</f>
        <v>0</v>
      </c>
      <c r="X156" s="89">
        <f>'[1]OMM_Unit Matrix'!X156</f>
        <v>0</v>
      </c>
      <c r="Y156" s="89">
        <f>'[1]OMM_Unit Matrix'!Y156</f>
        <v>0</v>
      </c>
      <c r="Z156" s="89">
        <f>'[1]OMM_Unit Matrix'!Z156</f>
        <v>0</v>
      </c>
      <c r="AA156" s="89">
        <f>'[1]OMM_Unit Matrix'!AA156</f>
        <v>0</v>
      </c>
      <c r="AB156" s="89">
        <f>'[1]OMM_Unit Matrix'!AB156</f>
        <v>0</v>
      </c>
      <c r="AC156" s="89">
        <f>'[1]OMM_Unit Matrix'!AC156</f>
        <v>0</v>
      </c>
      <c r="AD156" s="89">
        <f>'[1]OMM_Unit Matrix'!AD156</f>
        <v>0</v>
      </c>
      <c r="AE156" s="89">
        <f>'[1]OMM_Unit Matrix'!AE156</f>
        <v>0</v>
      </c>
      <c r="AF156" s="89">
        <f>'[1]OMM_Unit Matrix'!AF156</f>
        <v>0</v>
      </c>
      <c r="AG156" s="89">
        <f>'[1]OMM_Unit Matrix'!AG156</f>
        <v>0</v>
      </c>
      <c r="AH156" s="89">
        <f>'[1]OMM_Unit Matrix'!AH156</f>
        <v>0</v>
      </c>
      <c r="AI156" s="89">
        <f>'[1]OMM_Unit Matrix'!AI156</f>
        <v>0</v>
      </c>
      <c r="AJ156" s="89">
        <f>'[1]OMM_Unit Matrix'!AJ156</f>
        <v>0</v>
      </c>
      <c r="AK156" s="89">
        <f>'[1]OMM_Unit Matrix'!AK156</f>
        <v>0</v>
      </c>
      <c r="AL156" s="89">
        <f>'[1]OMM_Unit Matrix'!AL156</f>
        <v>0</v>
      </c>
      <c r="AM156" s="89">
        <f>'[1]OMM_Unit Matrix'!AM156</f>
        <v>0</v>
      </c>
      <c r="AN156" s="89">
        <f>'[1]OMM_Unit Matrix'!AN156</f>
        <v>0</v>
      </c>
      <c r="AO156" s="89">
        <f>'[1]OMM_Unit Matrix'!AO156</f>
        <v>0</v>
      </c>
      <c r="AP156" s="89">
        <f>'[1]OMM_Unit Matrix'!AP156</f>
        <v>0</v>
      </c>
      <c r="AQ156" s="270">
        <f>'[1]OMM_Unit Matrix'!AQ156</f>
        <v>0</v>
      </c>
    </row>
    <row r="157" spans="2:43">
      <c r="B157" s="89">
        <f>'[1]OMM_Unit Matrix'!B157</f>
        <v>7</v>
      </c>
      <c r="C157" s="275">
        <f>'[1]OMM_Unit Matrix'!C157</f>
        <v>7</v>
      </c>
      <c r="D157" s="89">
        <f>'[1]OMM_Unit Matrix'!D157</f>
        <v>7007</v>
      </c>
      <c r="E157" s="89" t="str">
        <f>'[1]OMM_Unit Matrix'!E157</f>
        <v>YES</v>
      </c>
      <c r="F157" s="132">
        <f>'[1]OMM_Unit Matrix'!F157</f>
        <v>7006.07</v>
      </c>
      <c r="G157" s="89" t="str">
        <f>'[1]OMM_Unit Matrix'!G157</f>
        <v>PENDING</v>
      </c>
      <c r="H157" s="89">
        <f>'[1]OMM_Unit Matrix'!H157</f>
        <v>0</v>
      </c>
      <c r="I157" s="89">
        <f>'[1]OMM_Unit Matrix'!I157</f>
        <v>0</v>
      </c>
      <c r="J157" s="89">
        <f>'[1]OMM_Unit Matrix'!J157</f>
        <v>0</v>
      </c>
      <c r="K157" s="89">
        <f>'[1]OMM_Unit Matrix'!K157</f>
        <v>0</v>
      </c>
      <c r="L157" s="89">
        <f>'[1]OMM_Unit Matrix'!L157</f>
        <v>0</v>
      </c>
      <c r="M157" s="89">
        <f>'[1]OMM_Unit Matrix'!M157</f>
        <v>0</v>
      </c>
      <c r="N157" s="89">
        <f>'[1]OMM_Unit Matrix'!N157</f>
        <v>0</v>
      </c>
      <c r="O157" s="89">
        <f>'[1]OMM_Unit Matrix'!O157</f>
        <v>0</v>
      </c>
      <c r="P157" s="89">
        <f>'[1]OMM_Unit Matrix'!P157</f>
        <v>0</v>
      </c>
      <c r="Q157" s="89">
        <f>'[1]OMM_Unit Matrix'!Q157</f>
        <v>0</v>
      </c>
      <c r="R157" s="89">
        <f>'[1]OMM_Unit Matrix'!R157</f>
        <v>0</v>
      </c>
      <c r="S157" s="89">
        <f>'[1]OMM_Unit Matrix'!S157</f>
        <v>0</v>
      </c>
      <c r="T157" s="89">
        <f>'[1]OMM_Unit Matrix'!T157</f>
        <v>0</v>
      </c>
      <c r="U157" s="89">
        <f>'[1]OMM_Unit Matrix'!U157</f>
        <v>0</v>
      </c>
      <c r="V157" s="89">
        <f>'[1]OMM_Unit Matrix'!V157</f>
        <v>0</v>
      </c>
      <c r="W157" s="89">
        <f>'[1]OMM_Unit Matrix'!W157</f>
        <v>0</v>
      </c>
      <c r="X157" s="89">
        <f>'[1]OMM_Unit Matrix'!X157</f>
        <v>0</v>
      </c>
      <c r="Y157" s="89">
        <f>'[1]OMM_Unit Matrix'!Y157</f>
        <v>0</v>
      </c>
      <c r="Z157" s="89">
        <f>'[1]OMM_Unit Matrix'!Z157</f>
        <v>0</v>
      </c>
      <c r="AA157" s="89">
        <f>'[1]OMM_Unit Matrix'!AA157</f>
        <v>0</v>
      </c>
      <c r="AB157" s="89">
        <f>'[1]OMM_Unit Matrix'!AB157</f>
        <v>0</v>
      </c>
      <c r="AC157" s="89">
        <f>'[1]OMM_Unit Matrix'!AC157</f>
        <v>0</v>
      </c>
      <c r="AD157" s="89">
        <f>'[1]OMM_Unit Matrix'!AD157</f>
        <v>0</v>
      </c>
      <c r="AE157" s="89">
        <f>'[1]OMM_Unit Matrix'!AE157</f>
        <v>0</v>
      </c>
      <c r="AF157" s="89">
        <f>'[1]OMM_Unit Matrix'!AF157</f>
        <v>0</v>
      </c>
      <c r="AG157" s="89">
        <f>'[1]OMM_Unit Matrix'!AG157</f>
        <v>0</v>
      </c>
      <c r="AH157" s="89">
        <f>'[1]OMM_Unit Matrix'!AH157</f>
        <v>0</v>
      </c>
      <c r="AI157" s="89">
        <f>'[1]OMM_Unit Matrix'!AI157</f>
        <v>0</v>
      </c>
      <c r="AJ157" s="89">
        <f>'[1]OMM_Unit Matrix'!AJ157</f>
        <v>0</v>
      </c>
      <c r="AK157" s="89">
        <f>'[1]OMM_Unit Matrix'!AK157</f>
        <v>0</v>
      </c>
      <c r="AL157" s="89">
        <f>'[1]OMM_Unit Matrix'!AL157</f>
        <v>0</v>
      </c>
      <c r="AM157" s="89">
        <f>'[1]OMM_Unit Matrix'!AM157</f>
        <v>0</v>
      </c>
      <c r="AN157" s="89">
        <f>'[1]OMM_Unit Matrix'!AN157</f>
        <v>0</v>
      </c>
      <c r="AO157" s="89">
        <f>'[1]OMM_Unit Matrix'!AO157</f>
        <v>0</v>
      </c>
      <c r="AP157" s="89">
        <f>'[1]OMM_Unit Matrix'!AP157</f>
        <v>0</v>
      </c>
      <c r="AQ157" s="270">
        <f>'[1]OMM_Unit Matrix'!AQ157</f>
        <v>0</v>
      </c>
    </row>
    <row r="158" spans="2:43" hidden="1">
      <c r="B158" s="89">
        <f>'[1]OMM_Unit Matrix'!B158</f>
        <v>7</v>
      </c>
      <c r="C158" s="275">
        <f>'[1]OMM_Unit Matrix'!C158</f>
        <v>8</v>
      </c>
      <c r="D158" s="89">
        <f>'[1]OMM_Unit Matrix'!D158</f>
        <v>7008</v>
      </c>
      <c r="E158" s="89">
        <f>'[1]OMM_Unit Matrix'!E158</f>
        <v>0</v>
      </c>
      <c r="F158" s="89">
        <f>'[1]OMM_Unit Matrix'!F158</f>
        <v>0</v>
      </c>
      <c r="G158" s="89" t="str">
        <f>'[1]OMM_Unit Matrix'!G158</f>
        <v>NOT IN SCOPE</v>
      </c>
      <c r="H158" s="89">
        <f>'[1]OMM_Unit Matrix'!H158</f>
        <v>0</v>
      </c>
      <c r="I158" s="89">
        <f>'[1]OMM_Unit Matrix'!I158</f>
        <v>0</v>
      </c>
      <c r="J158" s="89">
        <f>'[1]OMM_Unit Matrix'!J158</f>
        <v>0</v>
      </c>
      <c r="K158" s="89">
        <f>'[1]OMM_Unit Matrix'!K158</f>
        <v>0</v>
      </c>
      <c r="L158" s="89">
        <f>'[1]OMM_Unit Matrix'!L158</f>
        <v>0</v>
      </c>
      <c r="M158" s="89">
        <f>'[1]OMM_Unit Matrix'!M158</f>
        <v>0</v>
      </c>
      <c r="N158" s="89">
        <f>'[1]OMM_Unit Matrix'!N158</f>
        <v>0</v>
      </c>
      <c r="O158" s="89">
        <f>'[1]OMM_Unit Matrix'!O158</f>
        <v>0</v>
      </c>
      <c r="P158" s="89">
        <f>'[1]OMM_Unit Matrix'!P158</f>
        <v>0</v>
      </c>
      <c r="Q158" s="89">
        <f>'[1]OMM_Unit Matrix'!Q158</f>
        <v>0</v>
      </c>
      <c r="R158" s="89">
        <f>'[1]OMM_Unit Matrix'!R158</f>
        <v>0</v>
      </c>
      <c r="S158" s="89">
        <f>'[1]OMM_Unit Matrix'!S158</f>
        <v>0</v>
      </c>
      <c r="T158" s="89">
        <f>'[1]OMM_Unit Matrix'!T158</f>
        <v>0</v>
      </c>
      <c r="U158" s="89">
        <f>'[1]OMM_Unit Matrix'!U158</f>
        <v>0</v>
      </c>
      <c r="V158" s="89">
        <f>'[1]OMM_Unit Matrix'!V158</f>
        <v>0</v>
      </c>
      <c r="W158" s="89">
        <f>'[1]OMM_Unit Matrix'!W158</f>
        <v>0</v>
      </c>
      <c r="X158" s="89">
        <f>'[1]OMM_Unit Matrix'!X158</f>
        <v>0</v>
      </c>
      <c r="Y158" s="89">
        <f>'[1]OMM_Unit Matrix'!Y158</f>
        <v>0</v>
      </c>
      <c r="Z158" s="89">
        <f>'[1]OMM_Unit Matrix'!Z158</f>
        <v>0</v>
      </c>
      <c r="AA158" s="89">
        <f>'[1]OMM_Unit Matrix'!AA158</f>
        <v>0</v>
      </c>
      <c r="AB158" s="89">
        <f>'[1]OMM_Unit Matrix'!AB158</f>
        <v>0</v>
      </c>
      <c r="AC158" s="89">
        <f>'[1]OMM_Unit Matrix'!AC158</f>
        <v>0</v>
      </c>
      <c r="AD158" s="89">
        <f>'[1]OMM_Unit Matrix'!AD158</f>
        <v>0</v>
      </c>
      <c r="AE158" s="89">
        <f>'[1]OMM_Unit Matrix'!AE158</f>
        <v>0</v>
      </c>
      <c r="AF158" s="89">
        <f>'[1]OMM_Unit Matrix'!AF158</f>
        <v>0</v>
      </c>
      <c r="AG158" s="89">
        <f>'[1]OMM_Unit Matrix'!AG158</f>
        <v>0</v>
      </c>
      <c r="AH158" s="89">
        <f>'[1]OMM_Unit Matrix'!AH158</f>
        <v>0</v>
      </c>
      <c r="AI158" s="89">
        <f>'[1]OMM_Unit Matrix'!AI158</f>
        <v>0</v>
      </c>
      <c r="AJ158" s="89">
        <f>'[1]OMM_Unit Matrix'!AJ158</f>
        <v>0</v>
      </c>
      <c r="AK158" s="89">
        <f>'[1]OMM_Unit Matrix'!AK158</f>
        <v>0</v>
      </c>
      <c r="AL158" s="89">
        <f>'[1]OMM_Unit Matrix'!AL158</f>
        <v>0</v>
      </c>
      <c r="AM158" s="89">
        <f>'[1]OMM_Unit Matrix'!AM158</f>
        <v>0</v>
      </c>
      <c r="AN158" s="89">
        <f>'[1]OMM_Unit Matrix'!AN158</f>
        <v>0</v>
      </c>
      <c r="AO158" s="89">
        <f>'[1]OMM_Unit Matrix'!AO158</f>
        <v>0</v>
      </c>
      <c r="AP158" s="89">
        <f>'[1]OMM_Unit Matrix'!AP158</f>
        <v>0</v>
      </c>
      <c r="AQ158" s="270">
        <f>'[1]OMM_Unit Matrix'!AQ158</f>
        <v>0</v>
      </c>
    </row>
    <row r="159" spans="2:43">
      <c r="B159" s="89">
        <f>'[1]OMM_Unit Matrix'!B159</f>
        <v>7</v>
      </c>
      <c r="C159" s="275">
        <f>'[1]OMM_Unit Matrix'!C159</f>
        <v>9</v>
      </c>
      <c r="D159" s="89">
        <f>'[1]OMM_Unit Matrix'!D159</f>
        <v>7009</v>
      </c>
      <c r="E159" s="89" t="str">
        <f>'[1]OMM_Unit Matrix'!E159</f>
        <v>YES</v>
      </c>
      <c r="F159" s="132">
        <f>'[1]OMM_Unit Matrix'!F159</f>
        <v>7009.1</v>
      </c>
      <c r="G159" s="89" t="str">
        <f>'[1]OMM_Unit Matrix'!G159</f>
        <v>PENDING</v>
      </c>
      <c r="H159" s="89">
        <f>'[1]OMM_Unit Matrix'!H159</f>
        <v>0</v>
      </c>
      <c r="I159" s="89">
        <f>'[1]OMM_Unit Matrix'!I159</f>
        <v>0</v>
      </c>
      <c r="J159" s="89">
        <f>'[1]OMM_Unit Matrix'!J159</f>
        <v>0</v>
      </c>
      <c r="K159" s="89">
        <f>'[1]OMM_Unit Matrix'!K159</f>
        <v>0</v>
      </c>
      <c r="L159" s="89">
        <f>'[1]OMM_Unit Matrix'!L159</f>
        <v>0</v>
      </c>
      <c r="M159" s="89">
        <f>'[1]OMM_Unit Matrix'!M159</f>
        <v>0</v>
      </c>
      <c r="N159" s="89">
        <f>'[1]OMM_Unit Matrix'!N159</f>
        <v>0</v>
      </c>
      <c r="O159" s="89">
        <f>'[1]OMM_Unit Matrix'!O159</f>
        <v>0</v>
      </c>
      <c r="P159" s="89">
        <f>'[1]OMM_Unit Matrix'!P159</f>
        <v>0</v>
      </c>
      <c r="Q159" s="89">
        <f>'[1]OMM_Unit Matrix'!Q159</f>
        <v>0</v>
      </c>
      <c r="R159" s="89">
        <f>'[1]OMM_Unit Matrix'!R159</f>
        <v>0</v>
      </c>
      <c r="S159" s="89">
        <f>'[1]OMM_Unit Matrix'!S159</f>
        <v>0</v>
      </c>
      <c r="T159" s="89">
        <f>'[1]OMM_Unit Matrix'!T159</f>
        <v>0</v>
      </c>
      <c r="U159" s="89">
        <f>'[1]OMM_Unit Matrix'!U159</f>
        <v>0</v>
      </c>
      <c r="V159" s="89">
        <f>'[1]OMM_Unit Matrix'!V159</f>
        <v>0</v>
      </c>
      <c r="W159" s="89">
        <f>'[1]OMM_Unit Matrix'!W159</f>
        <v>0</v>
      </c>
      <c r="X159" s="89">
        <f>'[1]OMM_Unit Matrix'!X159</f>
        <v>0</v>
      </c>
      <c r="Y159" s="89">
        <f>'[1]OMM_Unit Matrix'!Y159</f>
        <v>0</v>
      </c>
      <c r="Z159" s="89">
        <f>'[1]OMM_Unit Matrix'!Z159</f>
        <v>0</v>
      </c>
      <c r="AA159" s="89">
        <f>'[1]OMM_Unit Matrix'!AA159</f>
        <v>0</v>
      </c>
      <c r="AB159" s="89">
        <f>'[1]OMM_Unit Matrix'!AB159</f>
        <v>0</v>
      </c>
      <c r="AC159" s="89">
        <f>'[1]OMM_Unit Matrix'!AC159</f>
        <v>0</v>
      </c>
      <c r="AD159" s="89">
        <f>'[1]OMM_Unit Matrix'!AD159</f>
        <v>0</v>
      </c>
      <c r="AE159" s="89">
        <f>'[1]OMM_Unit Matrix'!AE159</f>
        <v>0</v>
      </c>
      <c r="AF159" s="89">
        <f>'[1]OMM_Unit Matrix'!AF159</f>
        <v>0</v>
      </c>
      <c r="AG159" s="89">
        <f>'[1]OMM_Unit Matrix'!AG159</f>
        <v>0</v>
      </c>
      <c r="AH159" s="89">
        <f>'[1]OMM_Unit Matrix'!AH159</f>
        <v>0</v>
      </c>
      <c r="AI159" s="89">
        <f>'[1]OMM_Unit Matrix'!AI159</f>
        <v>0</v>
      </c>
      <c r="AJ159" s="89">
        <f>'[1]OMM_Unit Matrix'!AJ159</f>
        <v>0</v>
      </c>
      <c r="AK159" s="89">
        <f>'[1]OMM_Unit Matrix'!AK159</f>
        <v>0</v>
      </c>
      <c r="AL159" s="89">
        <f>'[1]OMM_Unit Matrix'!AL159</f>
        <v>0</v>
      </c>
      <c r="AM159" s="89">
        <f>'[1]OMM_Unit Matrix'!AM159</f>
        <v>0</v>
      </c>
      <c r="AN159" s="89">
        <f>'[1]OMM_Unit Matrix'!AN159</f>
        <v>0</v>
      </c>
      <c r="AO159" s="89">
        <f>'[1]OMM_Unit Matrix'!AO159</f>
        <v>0</v>
      </c>
      <c r="AP159" s="89">
        <f>'[1]OMM_Unit Matrix'!AP159</f>
        <v>0</v>
      </c>
      <c r="AQ159" s="270">
        <f>'[1]OMM_Unit Matrix'!AQ159</f>
        <v>0</v>
      </c>
    </row>
    <row r="160" spans="2:43">
      <c r="B160" s="89">
        <f>'[1]OMM_Unit Matrix'!B160</f>
        <v>7</v>
      </c>
      <c r="C160" s="275">
        <f>'[1]OMM_Unit Matrix'!C160</f>
        <v>10</v>
      </c>
      <c r="D160" s="89">
        <f>'[1]OMM_Unit Matrix'!D160</f>
        <v>7010</v>
      </c>
      <c r="E160" s="89" t="str">
        <f>'[1]OMM_Unit Matrix'!E160</f>
        <v>YES</v>
      </c>
      <c r="F160" s="132">
        <f>'[1]OMM_Unit Matrix'!F160</f>
        <v>7009.1</v>
      </c>
      <c r="G160" s="89" t="str">
        <f>'[1]OMM_Unit Matrix'!G160</f>
        <v>PENDING</v>
      </c>
      <c r="H160" s="89">
        <f>'[1]OMM_Unit Matrix'!H160</f>
        <v>0</v>
      </c>
      <c r="I160" s="89">
        <f>'[1]OMM_Unit Matrix'!I160</f>
        <v>0</v>
      </c>
      <c r="J160" s="89">
        <f>'[1]OMM_Unit Matrix'!J160</f>
        <v>0</v>
      </c>
      <c r="K160" s="89">
        <f>'[1]OMM_Unit Matrix'!K160</f>
        <v>0</v>
      </c>
      <c r="L160" s="89">
        <f>'[1]OMM_Unit Matrix'!L160</f>
        <v>0</v>
      </c>
      <c r="M160" s="89">
        <f>'[1]OMM_Unit Matrix'!M160</f>
        <v>0</v>
      </c>
      <c r="N160" s="89">
        <f>'[1]OMM_Unit Matrix'!N160</f>
        <v>0</v>
      </c>
      <c r="O160" s="89">
        <f>'[1]OMM_Unit Matrix'!O160</f>
        <v>0</v>
      </c>
      <c r="P160" s="89">
        <f>'[1]OMM_Unit Matrix'!P160</f>
        <v>0</v>
      </c>
      <c r="Q160" s="89">
        <f>'[1]OMM_Unit Matrix'!Q160</f>
        <v>0</v>
      </c>
      <c r="R160" s="89">
        <f>'[1]OMM_Unit Matrix'!R160</f>
        <v>0</v>
      </c>
      <c r="S160" s="89">
        <f>'[1]OMM_Unit Matrix'!S160</f>
        <v>0</v>
      </c>
      <c r="T160" s="89">
        <f>'[1]OMM_Unit Matrix'!T160</f>
        <v>0</v>
      </c>
      <c r="U160" s="89">
        <f>'[1]OMM_Unit Matrix'!U160</f>
        <v>0</v>
      </c>
      <c r="V160" s="89">
        <f>'[1]OMM_Unit Matrix'!V160</f>
        <v>0</v>
      </c>
      <c r="W160" s="89">
        <f>'[1]OMM_Unit Matrix'!W160</f>
        <v>0</v>
      </c>
      <c r="X160" s="89">
        <f>'[1]OMM_Unit Matrix'!X160</f>
        <v>0</v>
      </c>
      <c r="Y160" s="89">
        <f>'[1]OMM_Unit Matrix'!Y160</f>
        <v>0</v>
      </c>
      <c r="Z160" s="89">
        <f>'[1]OMM_Unit Matrix'!Z160</f>
        <v>0</v>
      </c>
      <c r="AA160" s="89">
        <f>'[1]OMM_Unit Matrix'!AA160</f>
        <v>0</v>
      </c>
      <c r="AB160" s="89">
        <f>'[1]OMM_Unit Matrix'!AB160</f>
        <v>0</v>
      </c>
      <c r="AC160" s="89">
        <f>'[1]OMM_Unit Matrix'!AC160</f>
        <v>0</v>
      </c>
      <c r="AD160" s="89">
        <f>'[1]OMM_Unit Matrix'!AD160</f>
        <v>0</v>
      </c>
      <c r="AE160" s="89">
        <f>'[1]OMM_Unit Matrix'!AE160</f>
        <v>0</v>
      </c>
      <c r="AF160" s="89">
        <f>'[1]OMM_Unit Matrix'!AF160</f>
        <v>0</v>
      </c>
      <c r="AG160" s="89">
        <f>'[1]OMM_Unit Matrix'!AG160</f>
        <v>0</v>
      </c>
      <c r="AH160" s="89">
        <f>'[1]OMM_Unit Matrix'!AH160</f>
        <v>0</v>
      </c>
      <c r="AI160" s="89">
        <f>'[1]OMM_Unit Matrix'!AI160</f>
        <v>0</v>
      </c>
      <c r="AJ160" s="89">
        <f>'[1]OMM_Unit Matrix'!AJ160</f>
        <v>0</v>
      </c>
      <c r="AK160" s="89">
        <f>'[1]OMM_Unit Matrix'!AK160</f>
        <v>0</v>
      </c>
      <c r="AL160" s="89">
        <f>'[1]OMM_Unit Matrix'!AL160</f>
        <v>0</v>
      </c>
      <c r="AM160" s="89">
        <f>'[1]OMM_Unit Matrix'!AM160</f>
        <v>0</v>
      </c>
      <c r="AN160" s="89">
        <f>'[1]OMM_Unit Matrix'!AN160</f>
        <v>0</v>
      </c>
      <c r="AO160" s="89">
        <f>'[1]OMM_Unit Matrix'!AO160</f>
        <v>0</v>
      </c>
      <c r="AP160" s="89">
        <f>'[1]OMM_Unit Matrix'!AP160</f>
        <v>0</v>
      </c>
      <c r="AQ160" s="270">
        <f>'[1]OMM_Unit Matrix'!AQ160</f>
        <v>0</v>
      </c>
    </row>
    <row r="161" spans="2:43">
      <c r="B161" s="89">
        <f>'[1]OMM_Unit Matrix'!B161</f>
        <v>7</v>
      </c>
      <c r="C161" s="275">
        <f>'[1]OMM_Unit Matrix'!C161</f>
        <v>11</v>
      </c>
      <c r="D161" s="89">
        <f>'[1]OMM_Unit Matrix'!D161</f>
        <v>7011</v>
      </c>
      <c r="E161" s="89" t="str">
        <f>'[1]OMM_Unit Matrix'!E161</f>
        <v>NO</v>
      </c>
      <c r="F161" s="132">
        <f>'[1]OMM_Unit Matrix'!F161</f>
        <v>0</v>
      </c>
      <c r="G161" s="89" t="str">
        <f>'[1]OMM_Unit Matrix'!G161</f>
        <v>PENDING</v>
      </c>
      <c r="H161" s="89">
        <f>'[1]OMM_Unit Matrix'!H161</f>
        <v>0</v>
      </c>
      <c r="I161" s="89">
        <f>'[1]OMM_Unit Matrix'!I161</f>
        <v>0</v>
      </c>
      <c r="J161" s="89">
        <f>'[1]OMM_Unit Matrix'!J161</f>
        <v>0</v>
      </c>
      <c r="K161" s="89">
        <f>'[1]OMM_Unit Matrix'!K161</f>
        <v>0</v>
      </c>
      <c r="L161" s="89">
        <f>'[1]OMM_Unit Matrix'!L161</f>
        <v>0</v>
      </c>
      <c r="M161" s="89">
        <f>'[1]OMM_Unit Matrix'!M161</f>
        <v>0</v>
      </c>
      <c r="N161" s="89">
        <f>'[1]OMM_Unit Matrix'!N161</f>
        <v>0</v>
      </c>
      <c r="O161" s="89">
        <f>'[1]OMM_Unit Matrix'!O161</f>
        <v>0</v>
      </c>
      <c r="P161" s="89">
        <f>'[1]OMM_Unit Matrix'!P161</f>
        <v>0</v>
      </c>
      <c r="Q161" s="89">
        <f>'[1]OMM_Unit Matrix'!Q161</f>
        <v>0</v>
      </c>
      <c r="R161" s="89">
        <f>'[1]OMM_Unit Matrix'!R161</f>
        <v>0</v>
      </c>
      <c r="S161" s="89">
        <f>'[1]OMM_Unit Matrix'!S161</f>
        <v>0</v>
      </c>
      <c r="T161" s="89">
        <f>'[1]OMM_Unit Matrix'!T161</f>
        <v>0</v>
      </c>
      <c r="U161" s="89">
        <f>'[1]OMM_Unit Matrix'!U161</f>
        <v>0</v>
      </c>
      <c r="V161" s="89">
        <f>'[1]OMM_Unit Matrix'!V161</f>
        <v>0</v>
      </c>
      <c r="W161" s="89">
        <f>'[1]OMM_Unit Matrix'!W161</f>
        <v>0</v>
      </c>
      <c r="X161" s="89">
        <f>'[1]OMM_Unit Matrix'!X161</f>
        <v>0</v>
      </c>
      <c r="Y161" s="89">
        <f>'[1]OMM_Unit Matrix'!Y161</f>
        <v>0</v>
      </c>
      <c r="Z161" s="89">
        <f>'[1]OMM_Unit Matrix'!Z161</f>
        <v>0</v>
      </c>
      <c r="AA161" s="89">
        <f>'[1]OMM_Unit Matrix'!AA161</f>
        <v>0</v>
      </c>
      <c r="AB161" s="89">
        <f>'[1]OMM_Unit Matrix'!AB161</f>
        <v>0</v>
      </c>
      <c r="AC161" s="89">
        <f>'[1]OMM_Unit Matrix'!AC161</f>
        <v>0</v>
      </c>
      <c r="AD161" s="89">
        <f>'[1]OMM_Unit Matrix'!AD161</f>
        <v>0</v>
      </c>
      <c r="AE161" s="89">
        <f>'[1]OMM_Unit Matrix'!AE161</f>
        <v>0</v>
      </c>
      <c r="AF161" s="89">
        <f>'[1]OMM_Unit Matrix'!AF161</f>
        <v>0</v>
      </c>
      <c r="AG161" s="89">
        <f>'[1]OMM_Unit Matrix'!AG161</f>
        <v>0</v>
      </c>
      <c r="AH161" s="89">
        <f>'[1]OMM_Unit Matrix'!AH161</f>
        <v>0</v>
      </c>
      <c r="AI161" s="89">
        <f>'[1]OMM_Unit Matrix'!AI161</f>
        <v>0</v>
      </c>
      <c r="AJ161" s="89">
        <f>'[1]OMM_Unit Matrix'!AJ161</f>
        <v>0</v>
      </c>
      <c r="AK161" s="89">
        <f>'[1]OMM_Unit Matrix'!AK161</f>
        <v>0</v>
      </c>
      <c r="AL161" s="89">
        <f>'[1]OMM_Unit Matrix'!AL161</f>
        <v>0</v>
      </c>
      <c r="AM161" s="89">
        <f>'[1]OMM_Unit Matrix'!AM161</f>
        <v>0</v>
      </c>
      <c r="AN161" s="89">
        <f>'[1]OMM_Unit Matrix'!AN161</f>
        <v>0</v>
      </c>
      <c r="AO161" s="89">
        <f>'[1]OMM_Unit Matrix'!AO161</f>
        <v>0</v>
      </c>
      <c r="AP161" s="89">
        <f>'[1]OMM_Unit Matrix'!AP161</f>
        <v>0</v>
      </c>
      <c r="AQ161" s="270">
        <f>'[1]OMM_Unit Matrix'!AQ161</f>
        <v>0</v>
      </c>
    </row>
    <row r="162" spans="2:43" hidden="1">
      <c r="B162" s="89">
        <f>'[1]OMM_Unit Matrix'!B162</f>
        <v>7</v>
      </c>
      <c r="C162" s="275">
        <f>'[1]OMM_Unit Matrix'!C162</f>
        <v>12</v>
      </c>
      <c r="D162" s="89">
        <f>'[1]OMM_Unit Matrix'!D162</f>
        <v>7012</v>
      </c>
      <c r="E162" s="89">
        <f>'[1]OMM_Unit Matrix'!E162</f>
        <v>0</v>
      </c>
      <c r="F162" s="89">
        <f>'[1]OMM_Unit Matrix'!F162</f>
        <v>0</v>
      </c>
      <c r="G162" s="89" t="str">
        <f>'[1]OMM_Unit Matrix'!G162</f>
        <v>NOT IN SCOPE</v>
      </c>
      <c r="H162" s="89">
        <f>'[1]OMM_Unit Matrix'!H162</f>
        <v>0</v>
      </c>
      <c r="I162" s="89">
        <f>'[1]OMM_Unit Matrix'!I162</f>
        <v>0</v>
      </c>
      <c r="J162" s="89">
        <f>'[1]OMM_Unit Matrix'!J162</f>
        <v>0</v>
      </c>
      <c r="K162" s="89">
        <f>'[1]OMM_Unit Matrix'!K162</f>
        <v>0</v>
      </c>
      <c r="L162" s="89">
        <f>'[1]OMM_Unit Matrix'!L162</f>
        <v>0</v>
      </c>
      <c r="M162" s="89">
        <f>'[1]OMM_Unit Matrix'!M162</f>
        <v>0</v>
      </c>
      <c r="N162" s="89">
        <f>'[1]OMM_Unit Matrix'!N162</f>
        <v>0</v>
      </c>
      <c r="O162" s="89">
        <f>'[1]OMM_Unit Matrix'!O162</f>
        <v>0</v>
      </c>
      <c r="P162" s="89">
        <f>'[1]OMM_Unit Matrix'!P162</f>
        <v>0</v>
      </c>
      <c r="Q162" s="89">
        <f>'[1]OMM_Unit Matrix'!Q162</f>
        <v>0</v>
      </c>
      <c r="R162" s="89">
        <f>'[1]OMM_Unit Matrix'!R162</f>
        <v>0</v>
      </c>
      <c r="S162" s="89">
        <f>'[1]OMM_Unit Matrix'!S162</f>
        <v>0</v>
      </c>
      <c r="T162" s="89">
        <f>'[1]OMM_Unit Matrix'!T162</f>
        <v>0</v>
      </c>
      <c r="U162" s="89">
        <f>'[1]OMM_Unit Matrix'!U162</f>
        <v>0</v>
      </c>
      <c r="V162" s="89">
        <f>'[1]OMM_Unit Matrix'!V162</f>
        <v>0</v>
      </c>
      <c r="W162" s="89">
        <f>'[1]OMM_Unit Matrix'!W162</f>
        <v>0</v>
      </c>
      <c r="X162" s="89">
        <f>'[1]OMM_Unit Matrix'!X162</f>
        <v>0</v>
      </c>
      <c r="Y162" s="89">
        <f>'[1]OMM_Unit Matrix'!Y162</f>
        <v>0</v>
      </c>
      <c r="Z162" s="89">
        <f>'[1]OMM_Unit Matrix'!Z162</f>
        <v>0</v>
      </c>
      <c r="AA162" s="89">
        <f>'[1]OMM_Unit Matrix'!AA162</f>
        <v>0</v>
      </c>
      <c r="AB162" s="89">
        <f>'[1]OMM_Unit Matrix'!AB162</f>
        <v>0</v>
      </c>
      <c r="AC162" s="89">
        <f>'[1]OMM_Unit Matrix'!AC162</f>
        <v>0</v>
      </c>
      <c r="AD162" s="89">
        <f>'[1]OMM_Unit Matrix'!AD162</f>
        <v>0</v>
      </c>
      <c r="AE162" s="89">
        <f>'[1]OMM_Unit Matrix'!AE162</f>
        <v>0</v>
      </c>
      <c r="AF162" s="89">
        <f>'[1]OMM_Unit Matrix'!AF162</f>
        <v>0</v>
      </c>
      <c r="AG162" s="89">
        <f>'[1]OMM_Unit Matrix'!AG162</f>
        <v>0</v>
      </c>
      <c r="AH162" s="89">
        <f>'[1]OMM_Unit Matrix'!AH162</f>
        <v>0</v>
      </c>
      <c r="AI162" s="89">
        <f>'[1]OMM_Unit Matrix'!AI162</f>
        <v>0</v>
      </c>
      <c r="AJ162" s="89">
        <f>'[1]OMM_Unit Matrix'!AJ162</f>
        <v>0</v>
      </c>
      <c r="AK162" s="89">
        <f>'[1]OMM_Unit Matrix'!AK162</f>
        <v>0</v>
      </c>
      <c r="AL162" s="89">
        <f>'[1]OMM_Unit Matrix'!AL162</f>
        <v>0</v>
      </c>
      <c r="AM162" s="89">
        <f>'[1]OMM_Unit Matrix'!AM162</f>
        <v>0</v>
      </c>
      <c r="AN162" s="89">
        <f>'[1]OMM_Unit Matrix'!AN162</f>
        <v>0</v>
      </c>
      <c r="AO162" s="89">
        <f>'[1]OMM_Unit Matrix'!AO162</f>
        <v>0</v>
      </c>
      <c r="AP162" s="89">
        <f>'[1]OMM_Unit Matrix'!AP162</f>
        <v>0</v>
      </c>
      <c r="AQ162" s="270">
        <f>'[1]OMM_Unit Matrix'!AQ162</f>
        <v>0</v>
      </c>
    </row>
    <row r="163" spans="2:43" hidden="1">
      <c r="B163" s="89">
        <f>'[1]OMM_Unit Matrix'!B163</f>
        <v>7</v>
      </c>
      <c r="C163" s="275">
        <f>'[1]OMM_Unit Matrix'!C163</f>
        <v>13</v>
      </c>
      <c r="D163" s="89">
        <f>'[1]OMM_Unit Matrix'!D163</f>
        <v>7013</v>
      </c>
      <c r="E163" s="89">
        <f>'[1]OMM_Unit Matrix'!E163</f>
        <v>0</v>
      </c>
      <c r="F163" s="89">
        <f>'[1]OMM_Unit Matrix'!F163</f>
        <v>0</v>
      </c>
      <c r="G163" s="89" t="str">
        <f>'[1]OMM_Unit Matrix'!G163</f>
        <v>NOT IN SCOPE</v>
      </c>
      <c r="H163" s="89">
        <f>'[1]OMM_Unit Matrix'!H163</f>
        <v>0</v>
      </c>
      <c r="I163" s="89">
        <f>'[1]OMM_Unit Matrix'!I163</f>
        <v>0</v>
      </c>
      <c r="J163" s="89">
        <f>'[1]OMM_Unit Matrix'!J163</f>
        <v>0</v>
      </c>
      <c r="K163" s="89">
        <f>'[1]OMM_Unit Matrix'!K163</f>
        <v>0</v>
      </c>
      <c r="L163" s="89">
        <f>'[1]OMM_Unit Matrix'!L163</f>
        <v>0</v>
      </c>
      <c r="M163" s="89">
        <f>'[1]OMM_Unit Matrix'!M163</f>
        <v>0</v>
      </c>
      <c r="N163" s="89">
        <f>'[1]OMM_Unit Matrix'!N163</f>
        <v>0</v>
      </c>
      <c r="O163" s="89">
        <f>'[1]OMM_Unit Matrix'!O163</f>
        <v>0</v>
      </c>
      <c r="P163" s="89">
        <f>'[1]OMM_Unit Matrix'!P163</f>
        <v>0</v>
      </c>
      <c r="Q163" s="89">
        <f>'[1]OMM_Unit Matrix'!Q163</f>
        <v>0</v>
      </c>
      <c r="R163" s="89">
        <f>'[1]OMM_Unit Matrix'!R163</f>
        <v>0</v>
      </c>
      <c r="S163" s="89">
        <f>'[1]OMM_Unit Matrix'!S163</f>
        <v>0</v>
      </c>
      <c r="T163" s="89">
        <f>'[1]OMM_Unit Matrix'!T163</f>
        <v>0</v>
      </c>
      <c r="U163" s="89">
        <f>'[1]OMM_Unit Matrix'!U163</f>
        <v>0</v>
      </c>
      <c r="V163" s="89">
        <f>'[1]OMM_Unit Matrix'!V163</f>
        <v>0</v>
      </c>
      <c r="W163" s="89">
        <f>'[1]OMM_Unit Matrix'!W163</f>
        <v>0</v>
      </c>
      <c r="X163" s="89">
        <f>'[1]OMM_Unit Matrix'!X163</f>
        <v>0</v>
      </c>
      <c r="Y163" s="89">
        <f>'[1]OMM_Unit Matrix'!Y163</f>
        <v>0</v>
      </c>
      <c r="Z163" s="89">
        <f>'[1]OMM_Unit Matrix'!Z163</f>
        <v>0</v>
      </c>
      <c r="AA163" s="89">
        <f>'[1]OMM_Unit Matrix'!AA163</f>
        <v>0</v>
      </c>
      <c r="AB163" s="89">
        <f>'[1]OMM_Unit Matrix'!AB163</f>
        <v>0</v>
      </c>
      <c r="AC163" s="89">
        <f>'[1]OMM_Unit Matrix'!AC163</f>
        <v>0</v>
      </c>
      <c r="AD163" s="89">
        <f>'[1]OMM_Unit Matrix'!AD163</f>
        <v>0</v>
      </c>
      <c r="AE163" s="89">
        <f>'[1]OMM_Unit Matrix'!AE163</f>
        <v>0</v>
      </c>
      <c r="AF163" s="89">
        <f>'[1]OMM_Unit Matrix'!AF163</f>
        <v>0</v>
      </c>
      <c r="AG163" s="89">
        <f>'[1]OMM_Unit Matrix'!AG163</f>
        <v>0</v>
      </c>
      <c r="AH163" s="89">
        <f>'[1]OMM_Unit Matrix'!AH163</f>
        <v>0</v>
      </c>
      <c r="AI163" s="89">
        <f>'[1]OMM_Unit Matrix'!AI163</f>
        <v>0</v>
      </c>
      <c r="AJ163" s="89">
        <f>'[1]OMM_Unit Matrix'!AJ163</f>
        <v>0</v>
      </c>
      <c r="AK163" s="89">
        <f>'[1]OMM_Unit Matrix'!AK163</f>
        <v>0</v>
      </c>
      <c r="AL163" s="89">
        <f>'[1]OMM_Unit Matrix'!AL163</f>
        <v>0</v>
      </c>
      <c r="AM163" s="89">
        <f>'[1]OMM_Unit Matrix'!AM163</f>
        <v>0</v>
      </c>
      <c r="AN163" s="89">
        <f>'[1]OMM_Unit Matrix'!AN163</f>
        <v>0</v>
      </c>
      <c r="AO163" s="89">
        <f>'[1]OMM_Unit Matrix'!AO163</f>
        <v>0</v>
      </c>
      <c r="AP163" s="89">
        <f>'[1]OMM_Unit Matrix'!AP163</f>
        <v>0</v>
      </c>
      <c r="AQ163" s="270">
        <f>'[1]OMM_Unit Matrix'!AQ163</f>
        <v>0</v>
      </c>
    </row>
    <row r="164" spans="2:43" hidden="1">
      <c r="B164" s="89">
        <f>'[1]OMM_Unit Matrix'!B164</f>
        <v>7</v>
      </c>
      <c r="C164" s="275">
        <f>'[1]OMM_Unit Matrix'!C164</f>
        <v>14</v>
      </c>
      <c r="D164" s="89">
        <f>'[1]OMM_Unit Matrix'!D164</f>
        <v>7014</v>
      </c>
      <c r="E164" s="89">
        <f>'[1]OMM_Unit Matrix'!E164</f>
        <v>0</v>
      </c>
      <c r="F164" s="89">
        <f>'[1]OMM_Unit Matrix'!F164</f>
        <v>0</v>
      </c>
      <c r="G164" s="89" t="str">
        <f>'[1]OMM_Unit Matrix'!G164</f>
        <v>NOT IN SCOPE</v>
      </c>
      <c r="H164" s="89">
        <f>'[1]OMM_Unit Matrix'!H164</f>
        <v>0</v>
      </c>
      <c r="I164" s="89">
        <f>'[1]OMM_Unit Matrix'!I164</f>
        <v>0</v>
      </c>
      <c r="J164" s="89">
        <f>'[1]OMM_Unit Matrix'!J164</f>
        <v>0</v>
      </c>
      <c r="K164" s="89">
        <f>'[1]OMM_Unit Matrix'!K164</f>
        <v>0</v>
      </c>
      <c r="L164" s="89">
        <f>'[1]OMM_Unit Matrix'!L164</f>
        <v>0</v>
      </c>
      <c r="M164" s="89">
        <f>'[1]OMM_Unit Matrix'!M164</f>
        <v>0</v>
      </c>
      <c r="N164" s="89">
        <f>'[1]OMM_Unit Matrix'!N164</f>
        <v>0</v>
      </c>
      <c r="O164" s="89">
        <f>'[1]OMM_Unit Matrix'!O164</f>
        <v>0</v>
      </c>
      <c r="P164" s="89">
        <f>'[1]OMM_Unit Matrix'!P164</f>
        <v>0</v>
      </c>
      <c r="Q164" s="89">
        <f>'[1]OMM_Unit Matrix'!Q164</f>
        <v>0</v>
      </c>
      <c r="R164" s="89">
        <f>'[1]OMM_Unit Matrix'!R164</f>
        <v>0</v>
      </c>
      <c r="S164" s="89">
        <f>'[1]OMM_Unit Matrix'!S164</f>
        <v>0</v>
      </c>
      <c r="T164" s="89">
        <f>'[1]OMM_Unit Matrix'!T164</f>
        <v>0</v>
      </c>
      <c r="U164" s="89">
        <f>'[1]OMM_Unit Matrix'!U164</f>
        <v>0</v>
      </c>
      <c r="V164" s="89">
        <f>'[1]OMM_Unit Matrix'!V164</f>
        <v>0</v>
      </c>
      <c r="W164" s="89">
        <f>'[1]OMM_Unit Matrix'!W164</f>
        <v>0</v>
      </c>
      <c r="X164" s="89">
        <f>'[1]OMM_Unit Matrix'!X164</f>
        <v>0</v>
      </c>
      <c r="Y164" s="89">
        <f>'[1]OMM_Unit Matrix'!Y164</f>
        <v>0</v>
      </c>
      <c r="Z164" s="89">
        <f>'[1]OMM_Unit Matrix'!Z164</f>
        <v>0</v>
      </c>
      <c r="AA164" s="89">
        <f>'[1]OMM_Unit Matrix'!AA164</f>
        <v>0</v>
      </c>
      <c r="AB164" s="89">
        <f>'[1]OMM_Unit Matrix'!AB164</f>
        <v>0</v>
      </c>
      <c r="AC164" s="89">
        <f>'[1]OMM_Unit Matrix'!AC164</f>
        <v>0</v>
      </c>
      <c r="AD164" s="89">
        <f>'[1]OMM_Unit Matrix'!AD164</f>
        <v>0</v>
      </c>
      <c r="AE164" s="89">
        <f>'[1]OMM_Unit Matrix'!AE164</f>
        <v>0</v>
      </c>
      <c r="AF164" s="89">
        <f>'[1]OMM_Unit Matrix'!AF164</f>
        <v>0</v>
      </c>
      <c r="AG164" s="89">
        <f>'[1]OMM_Unit Matrix'!AG164</f>
        <v>0</v>
      </c>
      <c r="AH164" s="89">
        <f>'[1]OMM_Unit Matrix'!AH164</f>
        <v>0</v>
      </c>
      <c r="AI164" s="89">
        <f>'[1]OMM_Unit Matrix'!AI164</f>
        <v>0</v>
      </c>
      <c r="AJ164" s="89">
        <f>'[1]OMM_Unit Matrix'!AJ164</f>
        <v>0</v>
      </c>
      <c r="AK164" s="89">
        <f>'[1]OMM_Unit Matrix'!AK164</f>
        <v>0</v>
      </c>
      <c r="AL164" s="89">
        <f>'[1]OMM_Unit Matrix'!AL164</f>
        <v>0</v>
      </c>
      <c r="AM164" s="89">
        <f>'[1]OMM_Unit Matrix'!AM164</f>
        <v>0</v>
      </c>
      <c r="AN164" s="89">
        <f>'[1]OMM_Unit Matrix'!AN164</f>
        <v>0</v>
      </c>
      <c r="AO164" s="89">
        <f>'[1]OMM_Unit Matrix'!AO164</f>
        <v>0</v>
      </c>
      <c r="AP164" s="89">
        <f>'[1]OMM_Unit Matrix'!AP164</f>
        <v>0</v>
      </c>
      <c r="AQ164" s="270">
        <f>'[1]OMM_Unit Matrix'!AQ164</f>
        <v>0</v>
      </c>
    </row>
    <row r="165" spans="2:43" hidden="1">
      <c r="B165" s="89">
        <f>'[1]OMM_Unit Matrix'!B165</f>
        <v>7</v>
      </c>
      <c r="C165" s="275">
        <f>'[1]OMM_Unit Matrix'!C165</f>
        <v>15</v>
      </c>
      <c r="D165" s="89">
        <f>'[1]OMM_Unit Matrix'!D165</f>
        <v>7015</v>
      </c>
      <c r="E165" s="89">
        <f>'[1]OMM_Unit Matrix'!E165</f>
        <v>0</v>
      </c>
      <c r="F165" s="89">
        <f>'[1]OMM_Unit Matrix'!F165</f>
        <v>0</v>
      </c>
      <c r="G165" s="89" t="str">
        <f>'[1]OMM_Unit Matrix'!G165</f>
        <v>NOT IN SCOPE</v>
      </c>
      <c r="H165" s="89">
        <f>'[1]OMM_Unit Matrix'!H165</f>
        <v>0</v>
      </c>
      <c r="I165" s="89">
        <f>'[1]OMM_Unit Matrix'!I165</f>
        <v>0</v>
      </c>
      <c r="J165" s="89">
        <f>'[1]OMM_Unit Matrix'!J165</f>
        <v>0</v>
      </c>
      <c r="K165" s="89">
        <f>'[1]OMM_Unit Matrix'!K165</f>
        <v>0</v>
      </c>
      <c r="L165" s="89">
        <f>'[1]OMM_Unit Matrix'!L165</f>
        <v>0</v>
      </c>
      <c r="M165" s="89">
        <f>'[1]OMM_Unit Matrix'!M165</f>
        <v>0</v>
      </c>
      <c r="N165" s="89">
        <f>'[1]OMM_Unit Matrix'!N165</f>
        <v>0</v>
      </c>
      <c r="O165" s="89">
        <f>'[1]OMM_Unit Matrix'!O165</f>
        <v>0</v>
      </c>
      <c r="P165" s="89">
        <f>'[1]OMM_Unit Matrix'!P165</f>
        <v>0</v>
      </c>
      <c r="Q165" s="89">
        <f>'[1]OMM_Unit Matrix'!Q165</f>
        <v>0</v>
      </c>
      <c r="R165" s="89">
        <f>'[1]OMM_Unit Matrix'!R165</f>
        <v>0</v>
      </c>
      <c r="S165" s="89">
        <f>'[1]OMM_Unit Matrix'!S165</f>
        <v>0</v>
      </c>
      <c r="T165" s="89">
        <f>'[1]OMM_Unit Matrix'!T165</f>
        <v>0</v>
      </c>
      <c r="U165" s="89">
        <f>'[1]OMM_Unit Matrix'!U165</f>
        <v>0</v>
      </c>
      <c r="V165" s="89">
        <f>'[1]OMM_Unit Matrix'!V165</f>
        <v>0</v>
      </c>
      <c r="W165" s="89">
        <f>'[1]OMM_Unit Matrix'!W165</f>
        <v>0</v>
      </c>
      <c r="X165" s="89">
        <f>'[1]OMM_Unit Matrix'!X165</f>
        <v>0</v>
      </c>
      <c r="Y165" s="89">
        <f>'[1]OMM_Unit Matrix'!Y165</f>
        <v>0</v>
      </c>
      <c r="Z165" s="89">
        <f>'[1]OMM_Unit Matrix'!Z165</f>
        <v>0</v>
      </c>
      <c r="AA165" s="89">
        <f>'[1]OMM_Unit Matrix'!AA165</f>
        <v>0</v>
      </c>
      <c r="AB165" s="89">
        <f>'[1]OMM_Unit Matrix'!AB165</f>
        <v>0</v>
      </c>
      <c r="AC165" s="89">
        <f>'[1]OMM_Unit Matrix'!AC165</f>
        <v>0</v>
      </c>
      <c r="AD165" s="89">
        <f>'[1]OMM_Unit Matrix'!AD165</f>
        <v>0</v>
      </c>
      <c r="AE165" s="89">
        <f>'[1]OMM_Unit Matrix'!AE165</f>
        <v>0</v>
      </c>
      <c r="AF165" s="89">
        <f>'[1]OMM_Unit Matrix'!AF165</f>
        <v>0</v>
      </c>
      <c r="AG165" s="89">
        <f>'[1]OMM_Unit Matrix'!AG165</f>
        <v>0</v>
      </c>
      <c r="AH165" s="89">
        <f>'[1]OMM_Unit Matrix'!AH165</f>
        <v>0</v>
      </c>
      <c r="AI165" s="89">
        <f>'[1]OMM_Unit Matrix'!AI165</f>
        <v>0</v>
      </c>
      <c r="AJ165" s="89">
        <f>'[1]OMM_Unit Matrix'!AJ165</f>
        <v>0</v>
      </c>
      <c r="AK165" s="89">
        <f>'[1]OMM_Unit Matrix'!AK165</f>
        <v>0</v>
      </c>
      <c r="AL165" s="89">
        <f>'[1]OMM_Unit Matrix'!AL165</f>
        <v>0</v>
      </c>
      <c r="AM165" s="89">
        <f>'[1]OMM_Unit Matrix'!AM165</f>
        <v>0</v>
      </c>
      <c r="AN165" s="89">
        <f>'[1]OMM_Unit Matrix'!AN165</f>
        <v>0</v>
      </c>
      <c r="AO165" s="89">
        <f>'[1]OMM_Unit Matrix'!AO165</f>
        <v>0</v>
      </c>
      <c r="AP165" s="89">
        <f>'[1]OMM_Unit Matrix'!AP165</f>
        <v>0</v>
      </c>
      <c r="AQ165" s="270">
        <f>'[1]OMM_Unit Matrix'!AQ165</f>
        <v>0</v>
      </c>
    </row>
    <row r="166" spans="2:43" hidden="1">
      <c r="B166" s="89">
        <f>'[1]OMM_Unit Matrix'!B166</f>
        <v>7</v>
      </c>
      <c r="C166" s="275">
        <f>'[1]OMM_Unit Matrix'!C166</f>
        <v>16</v>
      </c>
      <c r="D166" s="89">
        <f>'[1]OMM_Unit Matrix'!D166</f>
        <v>7016</v>
      </c>
      <c r="E166" s="89">
        <f>'[1]OMM_Unit Matrix'!E166</f>
        <v>0</v>
      </c>
      <c r="F166" s="89">
        <f>'[1]OMM_Unit Matrix'!F166</f>
        <v>0</v>
      </c>
      <c r="G166" s="89" t="str">
        <f>'[1]OMM_Unit Matrix'!G166</f>
        <v>NOT IN SCOPE</v>
      </c>
      <c r="H166" s="89">
        <f>'[1]OMM_Unit Matrix'!H166</f>
        <v>0</v>
      </c>
      <c r="I166" s="89">
        <f>'[1]OMM_Unit Matrix'!I166</f>
        <v>0</v>
      </c>
      <c r="J166" s="89">
        <f>'[1]OMM_Unit Matrix'!J166</f>
        <v>0</v>
      </c>
      <c r="K166" s="89">
        <f>'[1]OMM_Unit Matrix'!K166</f>
        <v>0</v>
      </c>
      <c r="L166" s="89">
        <f>'[1]OMM_Unit Matrix'!L166</f>
        <v>0</v>
      </c>
      <c r="M166" s="89">
        <f>'[1]OMM_Unit Matrix'!M166</f>
        <v>0</v>
      </c>
      <c r="N166" s="89">
        <f>'[1]OMM_Unit Matrix'!N166</f>
        <v>0</v>
      </c>
      <c r="O166" s="89">
        <f>'[1]OMM_Unit Matrix'!O166</f>
        <v>0</v>
      </c>
      <c r="P166" s="89">
        <f>'[1]OMM_Unit Matrix'!P166</f>
        <v>0</v>
      </c>
      <c r="Q166" s="89">
        <f>'[1]OMM_Unit Matrix'!Q166</f>
        <v>0</v>
      </c>
      <c r="R166" s="89">
        <f>'[1]OMM_Unit Matrix'!R166</f>
        <v>0</v>
      </c>
      <c r="S166" s="89">
        <f>'[1]OMM_Unit Matrix'!S166</f>
        <v>0</v>
      </c>
      <c r="T166" s="89">
        <f>'[1]OMM_Unit Matrix'!T166</f>
        <v>0</v>
      </c>
      <c r="U166" s="89">
        <f>'[1]OMM_Unit Matrix'!U166</f>
        <v>0</v>
      </c>
      <c r="V166" s="89">
        <f>'[1]OMM_Unit Matrix'!V166</f>
        <v>0</v>
      </c>
      <c r="W166" s="89">
        <f>'[1]OMM_Unit Matrix'!W166</f>
        <v>0</v>
      </c>
      <c r="X166" s="89">
        <f>'[1]OMM_Unit Matrix'!X166</f>
        <v>0</v>
      </c>
      <c r="Y166" s="89">
        <f>'[1]OMM_Unit Matrix'!Y166</f>
        <v>0</v>
      </c>
      <c r="Z166" s="89">
        <f>'[1]OMM_Unit Matrix'!Z166</f>
        <v>0</v>
      </c>
      <c r="AA166" s="89">
        <f>'[1]OMM_Unit Matrix'!AA166</f>
        <v>0</v>
      </c>
      <c r="AB166" s="89">
        <f>'[1]OMM_Unit Matrix'!AB166</f>
        <v>0</v>
      </c>
      <c r="AC166" s="89">
        <f>'[1]OMM_Unit Matrix'!AC166</f>
        <v>0</v>
      </c>
      <c r="AD166" s="89">
        <f>'[1]OMM_Unit Matrix'!AD166</f>
        <v>0</v>
      </c>
      <c r="AE166" s="89">
        <f>'[1]OMM_Unit Matrix'!AE166</f>
        <v>0</v>
      </c>
      <c r="AF166" s="89">
        <f>'[1]OMM_Unit Matrix'!AF166</f>
        <v>0</v>
      </c>
      <c r="AG166" s="89">
        <f>'[1]OMM_Unit Matrix'!AG166</f>
        <v>0</v>
      </c>
      <c r="AH166" s="89">
        <f>'[1]OMM_Unit Matrix'!AH166</f>
        <v>0</v>
      </c>
      <c r="AI166" s="89">
        <f>'[1]OMM_Unit Matrix'!AI166</f>
        <v>0</v>
      </c>
      <c r="AJ166" s="89">
        <f>'[1]OMM_Unit Matrix'!AJ166</f>
        <v>0</v>
      </c>
      <c r="AK166" s="89">
        <f>'[1]OMM_Unit Matrix'!AK166</f>
        <v>0</v>
      </c>
      <c r="AL166" s="89">
        <f>'[1]OMM_Unit Matrix'!AL166</f>
        <v>0</v>
      </c>
      <c r="AM166" s="89">
        <f>'[1]OMM_Unit Matrix'!AM166</f>
        <v>0</v>
      </c>
      <c r="AN166" s="89">
        <f>'[1]OMM_Unit Matrix'!AN166</f>
        <v>0</v>
      </c>
      <c r="AO166" s="89">
        <f>'[1]OMM_Unit Matrix'!AO166</f>
        <v>0</v>
      </c>
      <c r="AP166" s="89">
        <f>'[1]OMM_Unit Matrix'!AP166</f>
        <v>0</v>
      </c>
      <c r="AQ166" s="270">
        <f>'[1]OMM_Unit Matrix'!AQ166</f>
        <v>0</v>
      </c>
    </row>
    <row r="167" spans="2:43" hidden="1">
      <c r="B167" s="89">
        <f>'[1]OMM_Unit Matrix'!B167</f>
        <v>7</v>
      </c>
      <c r="C167" s="275">
        <f>'[1]OMM_Unit Matrix'!C167</f>
        <v>17</v>
      </c>
      <c r="D167" s="89">
        <f>'[1]OMM_Unit Matrix'!D167</f>
        <v>7017</v>
      </c>
      <c r="E167" s="89">
        <f>'[1]OMM_Unit Matrix'!E167</f>
        <v>0</v>
      </c>
      <c r="F167" s="89">
        <f>'[1]OMM_Unit Matrix'!F167</f>
        <v>0</v>
      </c>
      <c r="G167" s="89" t="str">
        <f>'[1]OMM_Unit Matrix'!G167</f>
        <v>NOT IN SCOPE</v>
      </c>
      <c r="H167" s="89">
        <f>'[1]OMM_Unit Matrix'!H167</f>
        <v>0</v>
      </c>
      <c r="I167" s="89">
        <f>'[1]OMM_Unit Matrix'!I167</f>
        <v>0</v>
      </c>
      <c r="J167" s="89">
        <f>'[1]OMM_Unit Matrix'!J167</f>
        <v>0</v>
      </c>
      <c r="K167" s="89">
        <f>'[1]OMM_Unit Matrix'!K167</f>
        <v>0</v>
      </c>
      <c r="L167" s="89">
        <f>'[1]OMM_Unit Matrix'!L167</f>
        <v>0</v>
      </c>
      <c r="M167" s="89">
        <f>'[1]OMM_Unit Matrix'!M167</f>
        <v>0</v>
      </c>
      <c r="N167" s="89">
        <f>'[1]OMM_Unit Matrix'!N167</f>
        <v>0</v>
      </c>
      <c r="O167" s="89">
        <f>'[1]OMM_Unit Matrix'!O167</f>
        <v>0</v>
      </c>
      <c r="P167" s="89">
        <f>'[1]OMM_Unit Matrix'!P167</f>
        <v>0</v>
      </c>
      <c r="Q167" s="89">
        <f>'[1]OMM_Unit Matrix'!Q167</f>
        <v>0</v>
      </c>
      <c r="R167" s="89">
        <f>'[1]OMM_Unit Matrix'!R167</f>
        <v>0</v>
      </c>
      <c r="S167" s="89">
        <f>'[1]OMM_Unit Matrix'!S167</f>
        <v>0</v>
      </c>
      <c r="T167" s="89">
        <f>'[1]OMM_Unit Matrix'!T167</f>
        <v>0</v>
      </c>
      <c r="U167" s="89">
        <f>'[1]OMM_Unit Matrix'!U167</f>
        <v>0</v>
      </c>
      <c r="V167" s="89">
        <f>'[1]OMM_Unit Matrix'!V167</f>
        <v>0</v>
      </c>
      <c r="W167" s="89">
        <f>'[1]OMM_Unit Matrix'!W167</f>
        <v>0</v>
      </c>
      <c r="X167" s="89">
        <f>'[1]OMM_Unit Matrix'!X167</f>
        <v>0</v>
      </c>
      <c r="Y167" s="89">
        <f>'[1]OMM_Unit Matrix'!Y167</f>
        <v>0</v>
      </c>
      <c r="Z167" s="89">
        <f>'[1]OMM_Unit Matrix'!Z167</f>
        <v>0</v>
      </c>
      <c r="AA167" s="89">
        <f>'[1]OMM_Unit Matrix'!AA167</f>
        <v>0</v>
      </c>
      <c r="AB167" s="89">
        <f>'[1]OMM_Unit Matrix'!AB167</f>
        <v>0</v>
      </c>
      <c r="AC167" s="89">
        <f>'[1]OMM_Unit Matrix'!AC167</f>
        <v>0</v>
      </c>
      <c r="AD167" s="89">
        <f>'[1]OMM_Unit Matrix'!AD167</f>
        <v>0</v>
      </c>
      <c r="AE167" s="89">
        <f>'[1]OMM_Unit Matrix'!AE167</f>
        <v>0</v>
      </c>
      <c r="AF167" s="89">
        <f>'[1]OMM_Unit Matrix'!AF167</f>
        <v>0</v>
      </c>
      <c r="AG167" s="89">
        <f>'[1]OMM_Unit Matrix'!AG167</f>
        <v>0</v>
      </c>
      <c r="AH167" s="89">
        <f>'[1]OMM_Unit Matrix'!AH167</f>
        <v>0</v>
      </c>
      <c r="AI167" s="89">
        <f>'[1]OMM_Unit Matrix'!AI167</f>
        <v>0</v>
      </c>
      <c r="AJ167" s="89">
        <f>'[1]OMM_Unit Matrix'!AJ167</f>
        <v>0</v>
      </c>
      <c r="AK167" s="89">
        <f>'[1]OMM_Unit Matrix'!AK167</f>
        <v>0</v>
      </c>
      <c r="AL167" s="89">
        <f>'[1]OMM_Unit Matrix'!AL167</f>
        <v>0</v>
      </c>
      <c r="AM167" s="89">
        <f>'[1]OMM_Unit Matrix'!AM167</f>
        <v>0</v>
      </c>
      <c r="AN167" s="89">
        <f>'[1]OMM_Unit Matrix'!AN167</f>
        <v>0</v>
      </c>
      <c r="AO167" s="89">
        <f>'[1]OMM_Unit Matrix'!AO167</f>
        <v>0</v>
      </c>
      <c r="AP167" s="89">
        <f>'[1]OMM_Unit Matrix'!AP167</f>
        <v>0</v>
      </c>
      <c r="AQ167" s="270">
        <f>'[1]OMM_Unit Matrix'!AQ167</f>
        <v>0</v>
      </c>
    </row>
    <row r="168" spans="2:43" hidden="1">
      <c r="B168" s="89">
        <f>'[1]OMM_Unit Matrix'!B168</f>
        <v>7</v>
      </c>
      <c r="C168" s="275">
        <f>'[1]OMM_Unit Matrix'!C168</f>
        <v>18</v>
      </c>
      <c r="D168" s="89">
        <f>'[1]OMM_Unit Matrix'!D168</f>
        <v>7018</v>
      </c>
      <c r="E168" s="89">
        <f>'[1]OMM_Unit Matrix'!E168</f>
        <v>0</v>
      </c>
      <c r="F168" s="89">
        <f>'[1]OMM_Unit Matrix'!F168</f>
        <v>0</v>
      </c>
      <c r="G168" s="89" t="str">
        <f>'[1]OMM_Unit Matrix'!G168</f>
        <v>NOT IN SCOPE</v>
      </c>
      <c r="H168" s="89">
        <f>'[1]OMM_Unit Matrix'!H168</f>
        <v>0</v>
      </c>
      <c r="I168" s="89">
        <f>'[1]OMM_Unit Matrix'!I168</f>
        <v>0</v>
      </c>
      <c r="J168" s="89">
        <f>'[1]OMM_Unit Matrix'!J168</f>
        <v>0</v>
      </c>
      <c r="K168" s="89">
        <f>'[1]OMM_Unit Matrix'!K168</f>
        <v>0</v>
      </c>
      <c r="L168" s="89">
        <f>'[1]OMM_Unit Matrix'!L168</f>
        <v>0</v>
      </c>
      <c r="M168" s="89">
        <f>'[1]OMM_Unit Matrix'!M168</f>
        <v>0</v>
      </c>
      <c r="N168" s="89">
        <f>'[1]OMM_Unit Matrix'!N168</f>
        <v>0</v>
      </c>
      <c r="O168" s="89">
        <f>'[1]OMM_Unit Matrix'!O168</f>
        <v>0</v>
      </c>
      <c r="P168" s="89">
        <f>'[1]OMM_Unit Matrix'!P168</f>
        <v>0</v>
      </c>
      <c r="Q168" s="89">
        <f>'[1]OMM_Unit Matrix'!Q168</f>
        <v>0</v>
      </c>
      <c r="R168" s="89">
        <f>'[1]OMM_Unit Matrix'!R168</f>
        <v>0</v>
      </c>
      <c r="S168" s="89">
        <f>'[1]OMM_Unit Matrix'!S168</f>
        <v>0</v>
      </c>
      <c r="T168" s="89">
        <f>'[1]OMM_Unit Matrix'!T168</f>
        <v>0</v>
      </c>
      <c r="U168" s="89">
        <f>'[1]OMM_Unit Matrix'!U168</f>
        <v>0</v>
      </c>
      <c r="V168" s="89">
        <f>'[1]OMM_Unit Matrix'!V168</f>
        <v>0</v>
      </c>
      <c r="W168" s="89">
        <f>'[1]OMM_Unit Matrix'!W168</f>
        <v>0</v>
      </c>
      <c r="X168" s="89">
        <f>'[1]OMM_Unit Matrix'!X168</f>
        <v>0</v>
      </c>
      <c r="Y168" s="89">
        <f>'[1]OMM_Unit Matrix'!Y168</f>
        <v>0</v>
      </c>
      <c r="Z168" s="89">
        <f>'[1]OMM_Unit Matrix'!Z168</f>
        <v>0</v>
      </c>
      <c r="AA168" s="89">
        <f>'[1]OMM_Unit Matrix'!AA168</f>
        <v>0</v>
      </c>
      <c r="AB168" s="89">
        <f>'[1]OMM_Unit Matrix'!AB168</f>
        <v>0</v>
      </c>
      <c r="AC168" s="89">
        <f>'[1]OMM_Unit Matrix'!AC168</f>
        <v>0</v>
      </c>
      <c r="AD168" s="89">
        <f>'[1]OMM_Unit Matrix'!AD168</f>
        <v>0</v>
      </c>
      <c r="AE168" s="89">
        <f>'[1]OMM_Unit Matrix'!AE168</f>
        <v>0</v>
      </c>
      <c r="AF168" s="89">
        <f>'[1]OMM_Unit Matrix'!AF168</f>
        <v>0</v>
      </c>
      <c r="AG168" s="89">
        <f>'[1]OMM_Unit Matrix'!AG168</f>
        <v>0</v>
      </c>
      <c r="AH168" s="89">
        <f>'[1]OMM_Unit Matrix'!AH168</f>
        <v>0</v>
      </c>
      <c r="AI168" s="89">
        <f>'[1]OMM_Unit Matrix'!AI168</f>
        <v>0</v>
      </c>
      <c r="AJ168" s="89">
        <f>'[1]OMM_Unit Matrix'!AJ168</f>
        <v>0</v>
      </c>
      <c r="AK168" s="89">
        <f>'[1]OMM_Unit Matrix'!AK168</f>
        <v>0</v>
      </c>
      <c r="AL168" s="89">
        <f>'[1]OMM_Unit Matrix'!AL168</f>
        <v>0</v>
      </c>
      <c r="AM168" s="89">
        <f>'[1]OMM_Unit Matrix'!AM168</f>
        <v>0</v>
      </c>
      <c r="AN168" s="89">
        <f>'[1]OMM_Unit Matrix'!AN168</f>
        <v>0</v>
      </c>
      <c r="AO168" s="89">
        <f>'[1]OMM_Unit Matrix'!AO168</f>
        <v>0</v>
      </c>
      <c r="AP168" s="89">
        <f>'[1]OMM_Unit Matrix'!AP168</f>
        <v>0</v>
      </c>
      <c r="AQ168" s="270">
        <f>'[1]OMM_Unit Matrix'!AQ168</f>
        <v>0</v>
      </c>
    </row>
    <row r="169" spans="2:43">
      <c r="B169" s="89">
        <f>'[1]OMM_Unit Matrix'!B169</f>
        <v>7</v>
      </c>
      <c r="C169" s="275">
        <f>'[1]OMM_Unit Matrix'!C169</f>
        <v>19</v>
      </c>
      <c r="D169" s="89">
        <f>'[1]OMM_Unit Matrix'!D169</f>
        <v>7019</v>
      </c>
      <c r="E169" s="89" t="str">
        <f>'[1]OMM_Unit Matrix'!E169</f>
        <v>NO</v>
      </c>
      <c r="F169" s="132">
        <f>'[1]OMM_Unit Matrix'!F169</f>
        <v>0</v>
      </c>
      <c r="G169" s="89" t="str">
        <f>'[1]OMM_Unit Matrix'!G169</f>
        <v>PENDING</v>
      </c>
      <c r="H169" s="89">
        <f>'[1]OMM_Unit Matrix'!H169</f>
        <v>0</v>
      </c>
      <c r="I169" s="89">
        <f>'[1]OMM_Unit Matrix'!I169</f>
        <v>0</v>
      </c>
      <c r="J169" s="89">
        <f>'[1]OMM_Unit Matrix'!J169</f>
        <v>0</v>
      </c>
      <c r="K169" s="89">
        <f>'[1]OMM_Unit Matrix'!K169</f>
        <v>0</v>
      </c>
      <c r="L169" s="89">
        <f>'[1]OMM_Unit Matrix'!L169</f>
        <v>0</v>
      </c>
      <c r="M169" s="89">
        <f>'[1]OMM_Unit Matrix'!M169</f>
        <v>0</v>
      </c>
      <c r="N169" s="89">
        <f>'[1]OMM_Unit Matrix'!N169</f>
        <v>0</v>
      </c>
      <c r="O169" s="89">
        <f>'[1]OMM_Unit Matrix'!O169</f>
        <v>0</v>
      </c>
      <c r="P169" s="89">
        <f>'[1]OMM_Unit Matrix'!P169</f>
        <v>0</v>
      </c>
      <c r="Q169" s="89">
        <f>'[1]OMM_Unit Matrix'!Q169</f>
        <v>0</v>
      </c>
      <c r="R169" s="89">
        <f>'[1]OMM_Unit Matrix'!R169</f>
        <v>0</v>
      </c>
      <c r="S169" s="89">
        <f>'[1]OMM_Unit Matrix'!S169</f>
        <v>0</v>
      </c>
      <c r="T169" s="89">
        <f>'[1]OMM_Unit Matrix'!T169</f>
        <v>0</v>
      </c>
      <c r="U169" s="89">
        <f>'[1]OMM_Unit Matrix'!U169</f>
        <v>0</v>
      </c>
      <c r="V169" s="89">
        <f>'[1]OMM_Unit Matrix'!V169</f>
        <v>0</v>
      </c>
      <c r="W169" s="89">
        <f>'[1]OMM_Unit Matrix'!W169</f>
        <v>0</v>
      </c>
      <c r="X169" s="89">
        <f>'[1]OMM_Unit Matrix'!X169</f>
        <v>0</v>
      </c>
      <c r="Y169" s="89">
        <f>'[1]OMM_Unit Matrix'!Y169</f>
        <v>0</v>
      </c>
      <c r="Z169" s="89">
        <f>'[1]OMM_Unit Matrix'!Z169</f>
        <v>0</v>
      </c>
      <c r="AA169" s="89">
        <f>'[1]OMM_Unit Matrix'!AA169</f>
        <v>0</v>
      </c>
      <c r="AB169" s="89">
        <f>'[1]OMM_Unit Matrix'!AB169</f>
        <v>0</v>
      </c>
      <c r="AC169" s="89">
        <f>'[1]OMM_Unit Matrix'!AC169</f>
        <v>0</v>
      </c>
      <c r="AD169" s="89">
        <f>'[1]OMM_Unit Matrix'!AD169</f>
        <v>0</v>
      </c>
      <c r="AE169" s="89">
        <f>'[1]OMM_Unit Matrix'!AE169</f>
        <v>0</v>
      </c>
      <c r="AF169" s="89">
        <f>'[1]OMM_Unit Matrix'!AF169</f>
        <v>0</v>
      </c>
      <c r="AG169" s="89">
        <f>'[1]OMM_Unit Matrix'!AG169</f>
        <v>0</v>
      </c>
      <c r="AH169" s="89">
        <f>'[1]OMM_Unit Matrix'!AH169</f>
        <v>0</v>
      </c>
      <c r="AI169" s="89">
        <f>'[1]OMM_Unit Matrix'!AI169</f>
        <v>0</v>
      </c>
      <c r="AJ169" s="89">
        <f>'[1]OMM_Unit Matrix'!AJ169</f>
        <v>0</v>
      </c>
      <c r="AK169" s="89">
        <f>'[1]OMM_Unit Matrix'!AK169</f>
        <v>0</v>
      </c>
      <c r="AL169" s="89">
        <f>'[1]OMM_Unit Matrix'!AL169</f>
        <v>0</v>
      </c>
      <c r="AM169" s="89">
        <f>'[1]OMM_Unit Matrix'!AM169</f>
        <v>0</v>
      </c>
      <c r="AN169" s="89">
        <f>'[1]OMM_Unit Matrix'!AN169</f>
        <v>0</v>
      </c>
      <c r="AO169" s="89">
        <f>'[1]OMM_Unit Matrix'!AO169</f>
        <v>0</v>
      </c>
      <c r="AP169" s="89">
        <f>'[1]OMM_Unit Matrix'!AP169</f>
        <v>0</v>
      </c>
      <c r="AQ169" s="270">
        <f>'[1]OMM_Unit Matrix'!AQ169</f>
        <v>0</v>
      </c>
    </row>
    <row r="170" spans="2:43">
      <c r="B170" s="89">
        <f>'[1]OMM_Unit Matrix'!B170</f>
        <v>7</v>
      </c>
      <c r="C170" s="275">
        <f>'[1]OMM_Unit Matrix'!C170</f>
        <v>20</v>
      </c>
      <c r="D170" s="89">
        <f>'[1]OMM_Unit Matrix'!D170</f>
        <v>7020</v>
      </c>
      <c r="E170" s="89" t="str">
        <f>'[1]OMM_Unit Matrix'!E170</f>
        <v>YES</v>
      </c>
      <c r="F170" s="132">
        <f>'[1]OMM_Unit Matrix'!F170</f>
        <v>7020.21</v>
      </c>
      <c r="G170" s="89" t="str">
        <f>'[1]OMM_Unit Matrix'!G170</f>
        <v>PENDING</v>
      </c>
      <c r="H170" s="89">
        <f>'[1]OMM_Unit Matrix'!H170</f>
        <v>0</v>
      </c>
      <c r="I170" s="89">
        <f>'[1]OMM_Unit Matrix'!I170</f>
        <v>0</v>
      </c>
      <c r="J170" s="89">
        <f>'[1]OMM_Unit Matrix'!J170</f>
        <v>0</v>
      </c>
      <c r="K170" s="89">
        <f>'[1]OMM_Unit Matrix'!K170</f>
        <v>0</v>
      </c>
      <c r="L170" s="89">
        <f>'[1]OMM_Unit Matrix'!L170</f>
        <v>0</v>
      </c>
      <c r="M170" s="89">
        <f>'[1]OMM_Unit Matrix'!M170</f>
        <v>0</v>
      </c>
      <c r="N170" s="89">
        <f>'[1]OMM_Unit Matrix'!N170</f>
        <v>0</v>
      </c>
      <c r="O170" s="89">
        <f>'[1]OMM_Unit Matrix'!O170</f>
        <v>0</v>
      </c>
      <c r="P170" s="89">
        <f>'[1]OMM_Unit Matrix'!P170</f>
        <v>0</v>
      </c>
      <c r="Q170" s="89">
        <f>'[1]OMM_Unit Matrix'!Q170</f>
        <v>0</v>
      </c>
      <c r="R170" s="89">
        <f>'[1]OMM_Unit Matrix'!R170</f>
        <v>0</v>
      </c>
      <c r="S170" s="89">
        <f>'[1]OMM_Unit Matrix'!S170</f>
        <v>0</v>
      </c>
      <c r="T170" s="89">
        <f>'[1]OMM_Unit Matrix'!T170</f>
        <v>0</v>
      </c>
      <c r="U170" s="89">
        <f>'[1]OMM_Unit Matrix'!U170</f>
        <v>0</v>
      </c>
      <c r="V170" s="89">
        <f>'[1]OMM_Unit Matrix'!V170</f>
        <v>0</v>
      </c>
      <c r="W170" s="89">
        <f>'[1]OMM_Unit Matrix'!W170</f>
        <v>0</v>
      </c>
      <c r="X170" s="89">
        <f>'[1]OMM_Unit Matrix'!X170</f>
        <v>0</v>
      </c>
      <c r="Y170" s="89">
        <f>'[1]OMM_Unit Matrix'!Y170</f>
        <v>0</v>
      </c>
      <c r="Z170" s="89">
        <f>'[1]OMM_Unit Matrix'!Z170</f>
        <v>0</v>
      </c>
      <c r="AA170" s="89">
        <f>'[1]OMM_Unit Matrix'!AA170</f>
        <v>0</v>
      </c>
      <c r="AB170" s="89">
        <f>'[1]OMM_Unit Matrix'!AB170</f>
        <v>0</v>
      </c>
      <c r="AC170" s="89">
        <f>'[1]OMM_Unit Matrix'!AC170</f>
        <v>0</v>
      </c>
      <c r="AD170" s="89">
        <f>'[1]OMM_Unit Matrix'!AD170</f>
        <v>0</v>
      </c>
      <c r="AE170" s="89">
        <f>'[1]OMM_Unit Matrix'!AE170</f>
        <v>0</v>
      </c>
      <c r="AF170" s="89">
        <f>'[1]OMM_Unit Matrix'!AF170</f>
        <v>0</v>
      </c>
      <c r="AG170" s="89">
        <f>'[1]OMM_Unit Matrix'!AG170</f>
        <v>0</v>
      </c>
      <c r="AH170" s="89">
        <f>'[1]OMM_Unit Matrix'!AH170</f>
        <v>0</v>
      </c>
      <c r="AI170" s="89">
        <f>'[1]OMM_Unit Matrix'!AI170</f>
        <v>0</v>
      </c>
      <c r="AJ170" s="89">
        <f>'[1]OMM_Unit Matrix'!AJ170</f>
        <v>0</v>
      </c>
      <c r="AK170" s="89">
        <f>'[1]OMM_Unit Matrix'!AK170</f>
        <v>0</v>
      </c>
      <c r="AL170" s="89">
        <f>'[1]OMM_Unit Matrix'!AL170</f>
        <v>0</v>
      </c>
      <c r="AM170" s="89">
        <f>'[1]OMM_Unit Matrix'!AM170</f>
        <v>0</v>
      </c>
      <c r="AN170" s="89">
        <f>'[1]OMM_Unit Matrix'!AN170</f>
        <v>0</v>
      </c>
      <c r="AO170" s="89">
        <f>'[1]OMM_Unit Matrix'!AO170</f>
        <v>0</v>
      </c>
      <c r="AP170" s="89">
        <f>'[1]OMM_Unit Matrix'!AP170</f>
        <v>0</v>
      </c>
      <c r="AQ170" s="270">
        <f>'[1]OMM_Unit Matrix'!AQ170</f>
        <v>0</v>
      </c>
    </row>
    <row r="171" spans="2:43">
      <c r="B171" s="89">
        <f>'[1]OMM_Unit Matrix'!B171</f>
        <v>7</v>
      </c>
      <c r="C171" s="275">
        <f>'[1]OMM_Unit Matrix'!C171</f>
        <v>21</v>
      </c>
      <c r="D171" s="89">
        <f>'[1]OMM_Unit Matrix'!D171</f>
        <v>7021</v>
      </c>
      <c r="E171" s="89" t="str">
        <f>'[1]OMM_Unit Matrix'!E171</f>
        <v>YES</v>
      </c>
      <c r="F171" s="132">
        <f>'[1]OMM_Unit Matrix'!F171</f>
        <v>7020.21</v>
      </c>
      <c r="G171" s="89" t="str">
        <f>'[1]OMM_Unit Matrix'!G171</f>
        <v>PENDING</v>
      </c>
      <c r="H171" s="89">
        <f>'[1]OMM_Unit Matrix'!H171</f>
        <v>0</v>
      </c>
      <c r="I171" s="89">
        <f>'[1]OMM_Unit Matrix'!I171</f>
        <v>0</v>
      </c>
      <c r="J171" s="89">
        <f>'[1]OMM_Unit Matrix'!J171</f>
        <v>0</v>
      </c>
      <c r="K171" s="89">
        <f>'[1]OMM_Unit Matrix'!K171</f>
        <v>0</v>
      </c>
      <c r="L171" s="89">
        <f>'[1]OMM_Unit Matrix'!L171</f>
        <v>0</v>
      </c>
      <c r="M171" s="89">
        <f>'[1]OMM_Unit Matrix'!M171</f>
        <v>0</v>
      </c>
      <c r="N171" s="89">
        <f>'[1]OMM_Unit Matrix'!N171</f>
        <v>0</v>
      </c>
      <c r="O171" s="89">
        <f>'[1]OMM_Unit Matrix'!O171</f>
        <v>0</v>
      </c>
      <c r="P171" s="89">
        <f>'[1]OMM_Unit Matrix'!P171</f>
        <v>0</v>
      </c>
      <c r="Q171" s="89">
        <f>'[1]OMM_Unit Matrix'!Q171</f>
        <v>0</v>
      </c>
      <c r="R171" s="89">
        <f>'[1]OMM_Unit Matrix'!R171</f>
        <v>0</v>
      </c>
      <c r="S171" s="89">
        <f>'[1]OMM_Unit Matrix'!S171</f>
        <v>0</v>
      </c>
      <c r="T171" s="89">
        <f>'[1]OMM_Unit Matrix'!T171</f>
        <v>0</v>
      </c>
      <c r="U171" s="89">
        <f>'[1]OMM_Unit Matrix'!U171</f>
        <v>0</v>
      </c>
      <c r="V171" s="89">
        <f>'[1]OMM_Unit Matrix'!V171</f>
        <v>0</v>
      </c>
      <c r="W171" s="89">
        <f>'[1]OMM_Unit Matrix'!W171</f>
        <v>0</v>
      </c>
      <c r="X171" s="89">
        <f>'[1]OMM_Unit Matrix'!X171</f>
        <v>0</v>
      </c>
      <c r="Y171" s="89">
        <f>'[1]OMM_Unit Matrix'!Y171</f>
        <v>0</v>
      </c>
      <c r="Z171" s="89">
        <f>'[1]OMM_Unit Matrix'!Z171</f>
        <v>0</v>
      </c>
      <c r="AA171" s="89">
        <f>'[1]OMM_Unit Matrix'!AA171</f>
        <v>0</v>
      </c>
      <c r="AB171" s="89">
        <f>'[1]OMM_Unit Matrix'!AB171</f>
        <v>0</v>
      </c>
      <c r="AC171" s="89">
        <f>'[1]OMM_Unit Matrix'!AC171</f>
        <v>0</v>
      </c>
      <c r="AD171" s="89">
        <f>'[1]OMM_Unit Matrix'!AD171</f>
        <v>0</v>
      </c>
      <c r="AE171" s="89">
        <f>'[1]OMM_Unit Matrix'!AE171</f>
        <v>0</v>
      </c>
      <c r="AF171" s="89">
        <f>'[1]OMM_Unit Matrix'!AF171</f>
        <v>0</v>
      </c>
      <c r="AG171" s="89">
        <f>'[1]OMM_Unit Matrix'!AG171</f>
        <v>0</v>
      </c>
      <c r="AH171" s="89">
        <f>'[1]OMM_Unit Matrix'!AH171</f>
        <v>0</v>
      </c>
      <c r="AI171" s="89">
        <f>'[1]OMM_Unit Matrix'!AI171</f>
        <v>0</v>
      </c>
      <c r="AJ171" s="89">
        <f>'[1]OMM_Unit Matrix'!AJ171</f>
        <v>0</v>
      </c>
      <c r="AK171" s="89">
        <f>'[1]OMM_Unit Matrix'!AK171</f>
        <v>0</v>
      </c>
      <c r="AL171" s="89">
        <f>'[1]OMM_Unit Matrix'!AL171</f>
        <v>0</v>
      </c>
      <c r="AM171" s="89">
        <f>'[1]OMM_Unit Matrix'!AM171</f>
        <v>0</v>
      </c>
      <c r="AN171" s="89">
        <f>'[1]OMM_Unit Matrix'!AN171</f>
        <v>0</v>
      </c>
      <c r="AO171" s="89">
        <f>'[1]OMM_Unit Matrix'!AO171</f>
        <v>0</v>
      </c>
      <c r="AP171" s="89">
        <f>'[1]OMM_Unit Matrix'!AP171</f>
        <v>0</v>
      </c>
      <c r="AQ171" s="270">
        <f>'[1]OMM_Unit Matrix'!AQ171</f>
        <v>0</v>
      </c>
    </row>
    <row r="172" spans="2:43" hidden="1">
      <c r="B172" s="89">
        <f>'[1]OMM_Unit Matrix'!B172</f>
        <v>7</v>
      </c>
      <c r="C172" s="275">
        <f>'[1]OMM_Unit Matrix'!C172</f>
        <v>22</v>
      </c>
      <c r="D172" s="89">
        <f>'[1]OMM_Unit Matrix'!D172</f>
        <v>7022</v>
      </c>
      <c r="E172" s="89">
        <f>'[1]OMM_Unit Matrix'!E172</f>
        <v>0</v>
      </c>
      <c r="F172" s="89">
        <f>'[1]OMM_Unit Matrix'!F172</f>
        <v>0</v>
      </c>
      <c r="G172" s="89" t="str">
        <f>'[1]OMM_Unit Matrix'!G172</f>
        <v>NOT IN SCOPE</v>
      </c>
      <c r="H172" s="89">
        <f>'[1]OMM_Unit Matrix'!H172</f>
        <v>0</v>
      </c>
      <c r="I172" s="89">
        <f>'[1]OMM_Unit Matrix'!I172</f>
        <v>0</v>
      </c>
      <c r="J172" s="89">
        <f>'[1]OMM_Unit Matrix'!J172</f>
        <v>0</v>
      </c>
      <c r="K172" s="89">
        <f>'[1]OMM_Unit Matrix'!K172</f>
        <v>0</v>
      </c>
      <c r="L172" s="89">
        <f>'[1]OMM_Unit Matrix'!L172</f>
        <v>0</v>
      </c>
      <c r="M172" s="89">
        <f>'[1]OMM_Unit Matrix'!M172</f>
        <v>0</v>
      </c>
      <c r="N172" s="89">
        <f>'[1]OMM_Unit Matrix'!N172</f>
        <v>0</v>
      </c>
      <c r="O172" s="89">
        <f>'[1]OMM_Unit Matrix'!O172</f>
        <v>0</v>
      </c>
      <c r="P172" s="89">
        <f>'[1]OMM_Unit Matrix'!P172</f>
        <v>0</v>
      </c>
      <c r="Q172" s="89">
        <f>'[1]OMM_Unit Matrix'!Q172</f>
        <v>0</v>
      </c>
      <c r="R172" s="89">
        <f>'[1]OMM_Unit Matrix'!R172</f>
        <v>0</v>
      </c>
      <c r="S172" s="89">
        <f>'[1]OMM_Unit Matrix'!S172</f>
        <v>0</v>
      </c>
      <c r="T172" s="89">
        <f>'[1]OMM_Unit Matrix'!T172</f>
        <v>0</v>
      </c>
      <c r="U172" s="89">
        <f>'[1]OMM_Unit Matrix'!U172</f>
        <v>0</v>
      </c>
      <c r="V172" s="89">
        <f>'[1]OMM_Unit Matrix'!V172</f>
        <v>0</v>
      </c>
      <c r="W172" s="89">
        <f>'[1]OMM_Unit Matrix'!W172</f>
        <v>0</v>
      </c>
      <c r="X172" s="89">
        <f>'[1]OMM_Unit Matrix'!X172</f>
        <v>0</v>
      </c>
      <c r="Y172" s="89">
        <f>'[1]OMM_Unit Matrix'!Y172</f>
        <v>0</v>
      </c>
      <c r="Z172" s="89">
        <f>'[1]OMM_Unit Matrix'!Z172</f>
        <v>0</v>
      </c>
      <c r="AA172" s="89">
        <f>'[1]OMM_Unit Matrix'!AA172</f>
        <v>0</v>
      </c>
      <c r="AB172" s="89">
        <f>'[1]OMM_Unit Matrix'!AB172</f>
        <v>0</v>
      </c>
      <c r="AC172" s="89">
        <f>'[1]OMM_Unit Matrix'!AC172</f>
        <v>0</v>
      </c>
      <c r="AD172" s="89">
        <f>'[1]OMM_Unit Matrix'!AD172</f>
        <v>0</v>
      </c>
      <c r="AE172" s="89">
        <f>'[1]OMM_Unit Matrix'!AE172</f>
        <v>0</v>
      </c>
      <c r="AF172" s="89">
        <f>'[1]OMM_Unit Matrix'!AF172</f>
        <v>0</v>
      </c>
      <c r="AG172" s="89">
        <f>'[1]OMM_Unit Matrix'!AG172</f>
        <v>0</v>
      </c>
      <c r="AH172" s="89">
        <f>'[1]OMM_Unit Matrix'!AH172</f>
        <v>0</v>
      </c>
      <c r="AI172" s="89">
        <f>'[1]OMM_Unit Matrix'!AI172</f>
        <v>0</v>
      </c>
      <c r="AJ172" s="89">
        <f>'[1]OMM_Unit Matrix'!AJ172</f>
        <v>0</v>
      </c>
      <c r="AK172" s="89">
        <f>'[1]OMM_Unit Matrix'!AK172</f>
        <v>0</v>
      </c>
      <c r="AL172" s="89">
        <f>'[1]OMM_Unit Matrix'!AL172</f>
        <v>0</v>
      </c>
      <c r="AM172" s="89">
        <f>'[1]OMM_Unit Matrix'!AM172</f>
        <v>0</v>
      </c>
      <c r="AN172" s="89">
        <f>'[1]OMM_Unit Matrix'!AN172</f>
        <v>0</v>
      </c>
      <c r="AO172" s="89">
        <f>'[1]OMM_Unit Matrix'!AO172</f>
        <v>0</v>
      </c>
      <c r="AP172" s="89">
        <f>'[1]OMM_Unit Matrix'!AP172</f>
        <v>0</v>
      </c>
      <c r="AQ172" s="270">
        <f>'[1]OMM_Unit Matrix'!AQ172</f>
        <v>0</v>
      </c>
    </row>
    <row r="173" spans="2:43" hidden="1">
      <c r="B173" s="89">
        <f>'[1]OMM_Unit Matrix'!B173</f>
        <v>7</v>
      </c>
      <c r="C173" s="275">
        <f>'[1]OMM_Unit Matrix'!C173</f>
        <v>23</v>
      </c>
      <c r="D173" s="89">
        <f>'[1]OMM_Unit Matrix'!D173</f>
        <v>7023</v>
      </c>
      <c r="E173" s="89">
        <f>'[1]OMM_Unit Matrix'!E173</f>
        <v>0</v>
      </c>
      <c r="F173" s="89">
        <f>'[1]OMM_Unit Matrix'!F173</f>
        <v>0</v>
      </c>
      <c r="G173" s="89" t="str">
        <f>'[1]OMM_Unit Matrix'!G173</f>
        <v>NOT IN SCOPE</v>
      </c>
      <c r="H173" s="89">
        <f>'[1]OMM_Unit Matrix'!H173</f>
        <v>0</v>
      </c>
      <c r="I173" s="89">
        <f>'[1]OMM_Unit Matrix'!I173</f>
        <v>0</v>
      </c>
      <c r="J173" s="89">
        <f>'[1]OMM_Unit Matrix'!J173</f>
        <v>0</v>
      </c>
      <c r="K173" s="89">
        <f>'[1]OMM_Unit Matrix'!K173</f>
        <v>0</v>
      </c>
      <c r="L173" s="89">
        <f>'[1]OMM_Unit Matrix'!L173</f>
        <v>0</v>
      </c>
      <c r="M173" s="89">
        <f>'[1]OMM_Unit Matrix'!M173</f>
        <v>0</v>
      </c>
      <c r="N173" s="89">
        <f>'[1]OMM_Unit Matrix'!N173</f>
        <v>0</v>
      </c>
      <c r="O173" s="89">
        <f>'[1]OMM_Unit Matrix'!O173</f>
        <v>0</v>
      </c>
      <c r="P173" s="89">
        <f>'[1]OMM_Unit Matrix'!P173</f>
        <v>0</v>
      </c>
      <c r="Q173" s="89">
        <f>'[1]OMM_Unit Matrix'!Q173</f>
        <v>0</v>
      </c>
      <c r="R173" s="89">
        <f>'[1]OMM_Unit Matrix'!R173</f>
        <v>0</v>
      </c>
      <c r="S173" s="89">
        <f>'[1]OMM_Unit Matrix'!S173</f>
        <v>0</v>
      </c>
      <c r="T173" s="89">
        <f>'[1]OMM_Unit Matrix'!T173</f>
        <v>0</v>
      </c>
      <c r="U173" s="89">
        <f>'[1]OMM_Unit Matrix'!U173</f>
        <v>0</v>
      </c>
      <c r="V173" s="89">
        <f>'[1]OMM_Unit Matrix'!V173</f>
        <v>0</v>
      </c>
      <c r="W173" s="89">
        <f>'[1]OMM_Unit Matrix'!W173</f>
        <v>0</v>
      </c>
      <c r="X173" s="89">
        <f>'[1]OMM_Unit Matrix'!X173</f>
        <v>0</v>
      </c>
      <c r="Y173" s="89">
        <f>'[1]OMM_Unit Matrix'!Y173</f>
        <v>0</v>
      </c>
      <c r="Z173" s="89">
        <f>'[1]OMM_Unit Matrix'!Z173</f>
        <v>0</v>
      </c>
      <c r="AA173" s="89">
        <f>'[1]OMM_Unit Matrix'!AA173</f>
        <v>0</v>
      </c>
      <c r="AB173" s="89">
        <f>'[1]OMM_Unit Matrix'!AB173</f>
        <v>0</v>
      </c>
      <c r="AC173" s="89">
        <f>'[1]OMM_Unit Matrix'!AC173</f>
        <v>0</v>
      </c>
      <c r="AD173" s="89">
        <f>'[1]OMM_Unit Matrix'!AD173</f>
        <v>0</v>
      </c>
      <c r="AE173" s="89">
        <f>'[1]OMM_Unit Matrix'!AE173</f>
        <v>0</v>
      </c>
      <c r="AF173" s="89">
        <f>'[1]OMM_Unit Matrix'!AF173</f>
        <v>0</v>
      </c>
      <c r="AG173" s="89">
        <f>'[1]OMM_Unit Matrix'!AG173</f>
        <v>0</v>
      </c>
      <c r="AH173" s="89">
        <f>'[1]OMM_Unit Matrix'!AH173</f>
        <v>0</v>
      </c>
      <c r="AI173" s="89">
        <f>'[1]OMM_Unit Matrix'!AI173</f>
        <v>0</v>
      </c>
      <c r="AJ173" s="89">
        <f>'[1]OMM_Unit Matrix'!AJ173</f>
        <v>0</v>
      </c>
      <c r="AK173" s="89">
        <f>'[1]OMM_Unit Matrix'!AK173</f>
        <v>0</v>
      </c>
      <c r="AL173" s="89">
        <f>'[1]OMM_Unit Matrix'!AL173</f>
        <v>0</v>
      </c>
      <c r="AM173" s="89">
        <f>'[1]OMM_Unit Matrix'!AM173</f>
        <v>0</v>
      </c>
      <c r="AN173" s="89">
        <f>'[1]OMM_Unit Matrix'!AN173</f>
        <v>0</v>
      </c>
      <c r="AO173" s="89">
        <f>'[1]OMM_Unit Matrix'!AO173</f>
        <v>0</v>
      </c>
      <c r="AP173" s="89">
        <f>'[1]OMM_Unit Matrix'!AP173</f>
        <v>0</v>
      </c>
      <c r="AQ173" s="270">
        <f>'[1]OMM_Unit Matrix'!AQ173</f>
        <v>0</v>
      </c>
    </row>
    <row r="174" spans="2:43" hidden="1">
      <c r="B174" s="89">
        <f>'[1]OMM_Unit Matrix'!B174</f>
        <v>7</v>
      </c>
      <c r="C174" s="275">
        <f>'[1]OMM_Unit Matrix'!C174</f>
        <v>24</v>
      </c>
      <c r="D174" s="89">
        <f>'[1]OMM_Unit Matrix'!D174</f>
        <v>7024</v>
      </c>
      <c r="E174" s="89">
        <f>'[1]OMM_Unit Matrix'!E174</f>
        <v>0</v>
      </c>
      <c r="F174" s="89">
        <f>'[1]OMM_Unit Matrix'!F174</f>
        <v>0</v>
      </c>
      <c r="G174" s="89" t="str">
        <f>'[1]OMM_Unit Matrix'!G174</f>
        <v>NOT IN SCOPE</v>
      </c>
      <c r="H174" s="89">
        <f>'[1]OMM_Unit Matrix'!H174</f>
        <v>0</v>
      </c>
      <c r="I174" s="89">
        <f>'[1]OMM_Unit Matrix'!I174</f>
        <v>0</v>
      </c>
      <c r="J174" s="89">
        <f>'[1]OMM_Unit Matrix'!J174</f>
        <v>0</v>
      </c>
      <c r="K174" s="89">
        <f>'[1]OMM_Unit Matrix'!K174</f>
        <v>0</v>
      </c>
      <c r="L174" s="89">
        <f>'[1]OMM_Unit Matrix'!L174</f>
        <v>0</v>
      </c>
      <c r="M174" s="89">
        <f>'[1]OMM_Unit Matrix'!M174</f>
        <v>0</v>
      </c>
      <c r="N174" s="89">
        <f>'[1]OMM_Unit Matrix'!N174</f>
        <v>0</v>
      </c>
      <c r="O174" s="89">
        <f>'[1]OMM_Unit Matrix'!O174</f>
        <v>0</v>
      </c>
      <c r="P174" s="89">
        <f>'[1]OMM_Unit Matrix'!P174</f>
        <v>0</v>
      </c>
      <c r="Q174" s="89">
        <f>'[1]OMM_Unit Matrix'!Q174</f>
        <v>0</v>
      </c>
      <c r="R174" s="89">
        <f>'[1]OMM_Unit Matrix'!R174</f>
        <v>0</v>
      </c>
      <c r="S174" s="89">
        <f>'[1]OMM_Unit Matrix'!S174</f>
        <v>0</v>
      </c>
      <c r="T174" s="89">
        <f>'[1]OMM_Unit Matrix'!T174</f>
        <v>0</v>
      </c>
      <c r="U174" s="89">
        <f>'[1]OMM_Unit Matrix'!U174</f>
        <v>0</v>
      </c>
      <c r="V174" s="89">
        <f>'[1]OMM_Unit Matrix'!V174</f>
        <v>0</v>
      </c>
      <c r="W174" s="89">
        <f>'[1]OMM_Unit Matrix'!W174</f>
        <v>0</v>
      </c>
      <c r="X174" s="89">
        <f>'[1]OMM_Unit Matrix'!X174</f>
        <v>0</v>
      </c>
      <c r="Y174" s="89">
        <f>'[1]OMM_Unit Matrix'!Y174</f>
        <v>0</v>
      </c>
      <c r="Z174" s="89">
        <f>'[1]OMM_Unit Matrix'!Z174</f>
        <v>0</v>
      </c>
      <c r="AA174" s="89">
        <f>'[1]OMM_Unit Matrix'!AA174</f>
        <v>0</v>
      </c>
      <c r="AB174" s="89">
        <f>'[1]OMM_Unit Matrix'!AB174</f>
        <v>0</v>
      </c>
      <c r="AC174" s="89">
        <f>'[1]OMM_Unit Matrix'!AC174</f>
        <v>0</v>
      </c>
      <c r="AD174" s="89">
        <f>'[1]OMM_Unit Matrix'!AD174</f>
        <v>0</v>
      </c>
      <c r="AE174" s="89">
        <f>'[1]OMM_Unit Matrix'!AE174</f>
        <v>0</v>
      </c>
      <c r="AF174" s="89">
        <f>'[1]OMM_Unit Matrix'!AF174</f>
        <v>0</v>
      </c>
      <c r="AG174" s="89">
        <f>'[1]OMM_Unit Matrix'!AG174</f>
        <v>0</v>
      </c>
      <c r="AH174" s="89">
        <f>'[1]OMM_Unit Matrix'!AH174</f>
        <v>0</v>
      </c>
      <c r="AI174" s="89">
        <f>'[1]OMM_Unit Matrix'!AI174</f>
        <v>0</v>
      </c>
      <c r="AJ174" s="89">
        <f>'[1]OMM_Unit Matrix'!AJ174</f>
        <v>0</v>
      </c>
      <c r="AK174" s="89">
        <f>'[1]OMM_Unit Matrix'!AK174</f>
        <v>0</v>
      </c>
      <c r="AL174" s="89">
        <f>'[1]OMM_Unit Matrix'!AL174</f>
        <v>0</v>
      </c>
      <c r="AM174" s="89">
        <f>'[1]OMM_Unit Matrix'!AM174</f>
        <v>0</v>
      </c>
      <c r="AN174" s="89">
        <f>'[1]OMM_Unit Matrix'!AN174</f>
        <v>0</v>
      </c>
      <c r="AO174" s="89">
        <f>'[1]OMM_Unit Matrix'!AO174</f>
        <v>0</v>
      </c>
      <c r="AP174" s="89">
        <f>'[1]OMM_Unit Matrix'!AP174</f>
        <v>0</v>
      </c>
      <c r="AQ174" s="270">
        <f>'[1]OMM_Unit Matrix'!AQ174</f>
        <v>0</v>
      </c>
    </row>
    <row r="175" spans="2:43">
      <c r="B175" s="89">
        <f>'[1]OMM_Unit Matrix'!B175</f>
        <v>7</v>
      </c>
      <c r="C175" s="275">
        <f>'[1]OMM_Unit Matrix'!C175</f>
        <v>25</v>
      </c>
      <c r="D175" s="89">
        <f>'[1]OMM_Unit Matrix'!D175</f>
        <v>7025</v>
      </c>
      <c r="E175" s="89" t="str">
        <f>'[1]OMM_Unit Matrix'!E175</f>
        <v>NO</v>
      </c>
      <c r="F175" s="132">
        <f>'[1]OMM_Unit Matrix'!F175</f>
        <v>0</v>
      </c>
      <c r="G175" s="89" t="str">
        <f>'[1]OMM_Unit Matrix'!G175</f>
        <v>PENDING</v>
      </c>
      <c r="H175" s="89">
        <f>'[1]OMM_Unit Matrix'!H175</f>
        <v>0</v>
      </c>
      <c r="I175" s="89">
        <f>'[1]OMM_Unit Matrix'!I175</f>
        <v>0</v>
      </c>
      <c r="J175" s="89">
        <f>'[1]OMM_Unit Matrix'!J175</f>
        <v>0</v>
      </c>
      <c r="K175" s="89">
        <f>'[1]OMM_Unit Matrix'!K175</f>
        <v>0</v>
      </c>
      <c r="L175" s="89">
        <f>'[1]OMM_Unit Matrix'!L175</f>
        <v>0</v>
      </c>
      <c r="M175" s="89">
        <f>'[1]OMM_Unit Matrix'!M175</f>
        <v>0</v>
      </c>
      <c r="N175" s="89">
        <f>'[1]OMM_Unit Matrix'!N175</f>
        <v>0</v>
      </c>
      <c r="O175" s="89">
        <f>'[1]OMM_Unit Matrix'!O175</f>
        <v>0</v>
      </c>
      <c r="P175" s="89">
        <f>'[1]OMM_Unit Matrix'!P175</f>
        <v>0</v>
      </c>
      <c r="Q175" s="89">
        <f>'[1]OMM_Unit Matrix'!Q175</f>
        <v>0</v>
      </c>
      <c r="R175" s="89">
        <f>'[1]OMM_Unit Matrix'!R175</f>
        <v>0</v>
      </c>
      <c r="S175" s="89">
        <f>'[1]OMM_Unit Matrix'!S175</f>
        <v>0</v>
      </c>
      <c r="T175" s="89">
        <f>'[1]OMM_Unit Matrix'!T175</f>
        <v>0</v>
      </c>
      <c r="U175" s="89">
        <f>'[1]OMM_Unit Matrix'!U175</f>
        <v>0</v>
      </c>
      <c r="V175" s="89">
        <f>'[1]OMM_Unit Matrix'!V175</f>
        <v>0</v>
      </c>
      <c r="W175" s="89">
        <f>'[1]OMM_Unit Matrix'!W175</f>
        <v>0</v>
      </c>
      <c r="X175" s="89">
        <f>'[1]OMM_Unit Matrix'!X175</f>
        <v>0</v>
      </c>
      <c r="Y175" s="89">
        <f>'[1]OMM_Unit Matrix'!Y175</f>
        <v>0</v>
      </c>
      <c r="Z175" s="89">
        <f>'[1]OMM_Unit Matrix'!Z175</f>
        <v>0</v>
      </c>
      <c r="AA175" s="89">
        <f>'[1]OMM_Unit Matrix'!AA175</f>
        <v>0</v>
      </c>
      <c r="AB175" s="89">
        <f>'[1]OMM_Unit Matrix'!AB175</f>
        <v>0</v>
      </c>
      <c r="AC175" s="89">
        <f>'[1]OMM_Unit Matrix'!AC175</f>
        <v>0</v>
      </c>
      <c r="AD175" s="89">
        <f>'[1]OMM_Unit Matrix'!AD175</f>
        <v>0</v>
      </c>
      <c r="AE175" s="89">
        <f>'[1]OMM_Unit Matrix'!AE175</f>
        <v>0</v>
      </c>
      <c r="AF175" s="89">
        <f>'[1]OMM_Unit Matrix'!AF175</f>
        <v>0</v>
      </c>
      <c r="AG175" s="89">
        <f>'[1]OMM_Unit Matrix'!AG175</f>
        <v>0</v>
      </c>
      <c r="AH175" s="89">
        <f>'[1]OMM_Unit Matrix'!AH175</f>
        <v>0</v>
      </c>
      <c r="AI175" s="89">
        <f>'[1]OMM_Unit Matrix'!AI175</f>
        <v>0</v>
      </c>
      <c r="AJ175" s="89">
        <f>'[1]OMM_Unit Matrix'!AJ175</f>
        <v>0</v>
      </c>
      <c r="AK175" s="89">
        <f>'[1]OMM_Unit Matrix'!AK175</f>
        <v>0</v>
      </c>
      <c r="AL175" s="89">
        <f>'[1]OMM_Unit Matrix'!AL175</f>
        <v>0</v>
      </c>
      <c r="AM175" s="89">
        <f>'[1]OMM_Unit Matrix'!AM175</f>
        <v>0</v>
      </c>
      <c r="AN175" s="89">
        <f>'[1]OMM_Unit Matrix'!AN175</f>
        <v>0</v>
      </c>
      <c r="AO175" s="89">
        <f>'[1]OMM_Unit Matrix'!AO175</f>
        <v>0</v>
      </c>
      <c r="AP175" s="89">
        <f>'[1]OMM_Unit Matrix'!AP175</f>
        <v>0</v>
      </c>
      <c r="AQ175" s="270">
        <f>'[1]OMM_Unit Matrix'!AQ175</f>
        <v>0</v>
      </c>
    </row>
    <row r="176" spans="2:43" hidden="1">
      <c r="B176" s="89">
        <f>'[1]OMM_Unit Matrix'!B176</f>
        <v>7</v>
      </c>
      <c r="C176" s="275">
        <f>'[1]OMM_Unit Matrix'!C176</f>
        <v>26</v>
      </c>
      <c r="D176" s="89">
        <f>'[1]OMM_Unit Matrix'!D176</f>
        <v>7026</v>
      </c>
      <c r="E176" s="89">
        <f>'[1]OMM_Unit Matrix'!E176</f>
        <v>0</v>
      </c>
      <c r="F176" s="89">
        <f>'[1]OMM_Unit Matrix'!F176</f>
        <v>0</v>
      </c>
      <c r="G176" s="89" t="str">
        <f>'[1]OMM_Unit Matrix'!G176</f>
        <v>NOT IN SCOPE</v>
      </c>
      <c r="H176" s="89">
        <f>'[1]OMM_Unit Matrix'!H176</f>
        <v>0</v>
      </c>
      <c r="I176" s="89">
        <f>'[1]OMM_Unit Matrix'!I176</f>
        <v>0</v>
      </c>
      <c r="J176" s="89">
        <f>'[1]OMM_Unit Matrix'!J176</f>
        <v>0</v>
      </c>
      <c r="K176" s="89">
        <f>'[1]OMM_Unit Matrix'!K176</f>
        <v>0</v>
      </c>
      <c r="L176" s="89">
        <f>'[1]OMM_Unit Matrix'!L176</f>
        <v>0</v>
      </c>
      <c r="M176" s="89">
        <f>'[1]OMM_Unit Matrix'!M176</f>
        <v>0</v>
      </c>
      <c r="N176" s="89">
        <f>'[1]OMM_Unit Matrix'!N176</f>
        <v>0</v>
      </c>
      <c r="O176" s="89">
        <f>'[1]OMM_Unit Matrix'!O176</f>
        <v>0</v>
      </c>
      <c r="P176" s="89">
        <f>'[1]OMM_Unit Matrix'!P176</f>
        <v>0</v>
      </c>
      <c r="Q176" s="89">
        <f>'[1]OMM_Unit Matrix'!Q176</f>
        <v>0</v>
      </c>
      <c r="R176" s="89">
        <f>'[1]OMM_Unit Matrix'!R176</f>
        <v>0</v>
      </c>
      <c r="S176" s="89">
        <f>'[1]OMM_Unit Matrix'!S176</f>
        <v>0</v>
      </c>
      <c r="T176" s="89">
        <f>'[1]OMM_Unit Matrix'!T176</f>
        <v>0</v>
      </c>
      <c r="U176" s="89">
        <f>'[1]OMM_Unit Matrix'!U176</f>
        <v>0</v>
      </c>
      <c r="V176" s="89">
        <f>'[1]OMM_Unit Matrix'!V176</f>
        <v>0</v>
      </c>
      <c r="W176" s="89">
        <f>'[1]OMM_Unit Matrix'!W176</f>
        <v>0</v>
      </c>
      <c r="X176" s="89">
        <f>'[1]OMM_Unit Matrix'!X176</f>
        <v>0</v>
      </c>
      <c r="Y176" s="89">
        <f>'[1]OMM_Unit Matrix'!Y176</f>
        <v>0</v>
      </c>
      <c r="Z176" s="89">
        <f>'[1]OMM_Unit Matrix'!Z176</f>
        <v>0</v>
      </c>
      <c r="AA176" s="89">
        <f>'[1]OMM_Unit Matrix'!AA176</f>
        <v>0</v>
      </c>
      <c r="AB176" s="89">
        <f>'[1]OMM_Unit Matrix'!AB176</f>
        <v>0</v>
      </c>
      <c r="AC176" s="89">
        <f>'[1]OMM_Unit Matrix'!AC176</f>
        <v>0</v>
      </c>
      <c r="AD176" s="89">
        <f>'[1]OMM_Unit Matrix'!AD176</f>
        <v>0</v>
      </c>
      <c r="AE176" s="89">
        <f>'[1]OMM_Unit Matrix'!AE176</f>
        <v>0</v>
      </c>
      <c r="AF176" s="89">
        <f>'[1]OMM_Unit Matrix'!AF176</f>
        <v>0</v>
      </c>
      <c r="AG176" s="89">
        <f>'[1]OMM_Unit Matrix'!AG176</f>
        <v>0</v>
      </c>
      <c r="AH176" s="89">
        <f>'[1]OMM_Unit Matrix'!AH176</f>
        <v>0</v>
      </c>
      <c r="AI176" s="89">
        <f>'[1]OMM_Unit Matrix'!AI176</f>
        <v>0</v>
      </c>
      <c r="AJ176" s="89">
        <f>'[1]OMM_Unit Matrix'!AJ176</f>
        <v>0</v>
      </c>
      <c r="AK176" s="89">
        <f>'[1]OMM_Unit Matrix'!AK176</f>
        <v>0</v>
      </c>
      <c r="AL176" s="89">
        <f>'[1]OMM_Unit Matrix'!AL176</f>
        <v>0</v>
      </c>
      <c r="AM176" s="89">
        <f>'[1]OMM_Unit Matrix'!AM176</f>
        <v>0</v>
      </c>
      <c r="AN176" s="89">
        <f>'[1]OMM_Unit Matrix'!AN176</f>
        <v>0</v>
      </c>
      <c r="AO176" s="89">
        <f>'[1]OMM_Unit Matrix'!AO176</f>
        <v>0</v>
      </c>
      <c r="AP176" s="89">
        <f>'[1]OMM_Unit Matrix'!AP176</f>
        <v>0</v>
      </c>
      <c r="AQ176" s="270">
        <f>'[1]OMM_Unit Matrix'!AQ176</f>
        <v>0</v>
      </c>
    </row>
    <row r="177" spans="2:43" hidden="1">
      <c r="B177" s="89">
        <f>'[1]OMM_Unit Matrix'!B177</f>
        <v>7</v>
      </c>
      <c r="C177" s="275">
        <f>'[1]OMM_Unit Matrix'!C177</f>
        <v>27</v>
      </c>
      <c r="D177" s="89">
        <f>'[1]OMM_Unit Matrix'!D177</f>
        <v>7027</v>
      </c>
      <c r="E177" s="89">
        <f>'[1]OMM_Unit Matrix'!E177</f>
        <v>0</v>
      </c>
      <c r="F177" s="89">
        <f>'[1]OMM_Unit Matrix'!F177</f>
        <v>0</v>
      </c>
      <c r="G177" s="89" t="str">
        <f>'[1]OMM_Unit Matrix'!G177</f>
        <v>NOT IN SCOPE</v>
      </c>
      <c r="H177" s="89">
        <f>'[1]OMM_Unit Matrix'!H177</f>
        <v>0</v>
      </c>
      <c r="I177" s="89">
        <f>'[1]OMM_Unit Matrix'!I177</f>
        <v>0</v>
      </c>
      <c r="J177" s="89">
        <f>'[1]OMM_Unit Matrix'!J177</f>
        <v>0</v>
      </c>
      <c r="K177" s="89">
        <f>'[1]OMM_Unit Matrix'!K177</f>
        <v>0</v>
      </c>
      <c r="L177" s="89">
        <f>'[1]OMM_Unit Matrix'!L177</f>
        <v>0</v>
      </c>
      <c r="M177" s="89">
        <f>'[1]OMM_Unit Matrix'!M177</f>
        <v>0</v>
      </c>
      <c r="N177" s="89">
        <f>'[1]OMM_Unit Matrix'!N177</f>
        <v>0</v>
      </c>
      <c r="O177" s="89">
        <f>'[1]OMM_Unit Matrix'!O177</f>
        <v>0</v>
      </c>
      <c r="P177" s="89">
        <f>'[1]OMM_Unit Matrix'!P177</f>
        <v>0</v>
      </c>
      <c r="Q177" s="89">
        <f>'[1]OMM_Unit Matrix'!Q177</f>
        <v>0</v>
      </c>
      <c r="R177" s="89">
        <f>'[1]OMM_Unit Matrix'!R177</f>
        <v>0</v>
      </c>
      <c r="S177" s="89">
        <f>'[1]OMM_Unit Matrix'!S177</f>
        <v>0</v>
      </c>
      <c r="T177" s="89">
        <f>'[1]OMM_Unit Matrix'!T177</f>
        <v>0</v>
      </c>
      <c r="U177" s="89">
        <f>'[1]OMM_Unit Matrix'!U177</f>
        <v>0</v>
      </c>
      <c r="V177" s="89">
        <f>'[1]OMM_Unit Matrix'!V177</f>
        <v>0</v>
      </c>
      <c r="W177" s="89">
        <f>'[1]OMM_Unit Matrix'!W177</f>
        <v>0</v>
      </c>
      <c r="X177" s="89">
        <f>'[1]OMM_Unit Matrix'!X177</f>
        <v>0</v>
      </c>
      <c r="Y177" s="89">
        <f>'[1]OMM_Unit Matrix'!Y177</f>
        <v>0</v>
      </c>
      <c r="Z177" s="89">
        <f>'[1]OMM_Unit Matrix'!Z177</f>
        <v>0</v>
      </c>
      <c r="AA177" s="89">
        <f>'[1]OMM_Unit Matrix'!AA177</f>
        <v>0</v>
      </c>
      <c r="AB177" s="89">
        <f>'[1]OMM_Unit Matrix'!AB177</f>
        <v>0</v>
      </c>
      <c r="AC177" s="89">
        <f>'[1]OMM_Unit Matrix'!AC177</f>
        <v>0</v>
      </c>
      <c r="AD177" s="89">
        <f>'[1]OMM_Unit Matrix'!AD177</f>
        <v>0</v>
      </c>
      <c r="AE177" s="89">
        <f>'[1]OMM_Unit Matrix'!AE177</f>
        <v>0</v>
      </c>
      <c r="AF177" s="89">
        <f>'[1]OMM_Unit Matrix'!AF177</f>
        <v>0</v>
      </c>
      <c r="AG177" s="89">
        <f>'[1]OMM_Unit Matrix'!AG177</f>
        <v>0</v>
      </c>
      <c r="AH177" s="89">
        <f>'[1]OMM_Unit Matrix'!AH177</f>
        <v>0</v>
      </c>
      <c r="AI177" s="89">
        <f>'[1]OMM_Unit Matrix'!AI177</f>
        <v>0</v>
      </c>
      <c r="AJ177" s="89">
        <f>'[1]OMM_Unit Matrix'!AJ177</f>
        <v>0</v>
      </c>
      <c r="AK177" s="89">
        <f>'[1]OMM_Unit Matrix'!AK177</f>
        <v>0</v>
      </c>
      <c r="AL177" s="89">
        <f>'[1]OMM_Unit Matrix'!AL177</f>
        <v>0</v>
      </c>
      <c r="AM177" s="89">
        <f>'[1]OMM_Unit Matrix'!AM177</f>
        <v>0</v>
      </c>
      <c r="AN177" s="89">
        <f>'[1]OMM_Unit Matrix'!AN177</f>
        <v>0</v>
      </c>
      <c r="AO177" s="89">
        <f>'[1]OMM_Unit Matrix'!AO177</f>
        <v>0</v>
      </c>
      <c r="AP177" s="89">
        <f>'[1]OMM_Unit Matrix'!AP177</f>
        <v>0</v>
      </c>
      <c r="AQ177" s="270">
        <f>'[1]OMM_Unit Matrix'!AQ177</f>
        <v>0</v>
      </c>
    </row>
    <row r="178" spans="2:43" hidden="1">
      <c r="B178" s="89">
        <f>'[1]OMM_Unit Matrix'!B178</f>
        <v>7</v>
      </c>
      <c r="C178" s="275">
        <f>'[1]OMM_Unit Matrix'!C178</f>
        <v>28</v>
      </c>
      <c r="D178" s="89">
        <f>'[1]OMM_Unit Matrix'!D178</f>
        <v>7028</v>
      </c>
      <c r="E178" s="89">
        <f>'[1]OMM_Unit Matrix'!E178</f>
        <v>0</v>
      </c>
      <c r="F178" s="89">
        <f>'[1]OMM_Unit Matrix'!F178</f>
        <v>0</v>
      </c>
      <c r="G178" s="89" t="str">
        <f>'[1]OMM_Unit Matrix'!G178</f>
        <v>NOT IN SCOPE</v>
      </c>
      <c r="H178" s="89">
        <f>'[1]OMM_Unit Matrix'!H178</f>
        <v>0</v>
      </c>
      <c r="I178" s="89">
        <f>'[1]OMM_Unit Matrix'!I178</f>
        <v>0</v>
      </c>
      <c r="J178" s="89">
        <f>'[1]OMM_Unit Matrix'!J178</f>
        <v>0</v>
      </c>
      <c r="K178" s="89">
        <f>'[1]OMM_Unit Matrix'!K178</f>
        <v>0</v>
      </c>
      <c r="L178" s="89">
        <f>'[1]OMM_Unit Matrix'!L178</f>
        <v>0</v>
      </c>
      <c r="M178" s="89">
        <f>'[1]OMM_Unit Matrix'!M178</f>
        <v>0</v>
      </c>
      <c r="N178" s="89">
        <f>'[1]OMM_Unit Matrix'!N178</f>
        <v>0</v>
      </c>
      <c r="O178" s="89">
        <f>'[1]OMM_Unit Matrix'!O178</f>
        <v>0</v>
      </c>
      <c r="P178" s="89">
        <f>'[1]OMM_Unit Matrix'!P178</f>
        <v>0</v>
      </c>
      <c r="Q178" s="89">
        <f>'[1]OMM_Unit Matrix'!Q178</f>
        <v>0</v>
      </c>
      <c r="R178" s="89">
        <f>'[1]OMM_Unit Matrix'!R178</f>
        <v>0</v>
      </c>
      <c r="S178" s="89">
        <f>'[1]OMM_Unit Matrix'!S178</f>
        <v>0</v>
      </c>
      <c r="T178" s="89">
        <f>'[1]OMM_Unit Matrix'!T178</f>
        <v>0</v>
      </c>
      <c r="U178" s="89">
        <f>'[1]OMM_Unit Matrix'!U178</f>
        <v>0</v>
      </c>
      <c r="V178" s="89">
        <f>'[1]OMM_Unit Matrix'!V178</f>
        <v>0</v>
      </c>
      <c r="W178" s="89">
        <f>'[1]OMM_Unit Matrix'!W178</f>
        <v>0</v>
      </c>
      <c r="X178" s="89">
        <f>'[1]OMM_Unit Matrix'!X178</f>
        <v>0</v>
      </c>
      <c r="Y178" s="89">
        <f>'[1]OMM_Unit Matrix'!Y178</f>
        <v>0</v>
      </c>
      <c r="Z178" s="89">
        <f>'[1]OMM_Unit Matrix'!Z178</f>
        <v>0</v>
      </c>
      <c r="AA178" s="89">
        <f>'[1]OMM_Unit Matrix'!AA178</f>
        <v>0</v>
      </c>
      <c r="AB178" s="89">
        <f>'[1]OMM_Unit Matrix'!AB178</f>
        <v>0</v>
      </c>
      <c r="AC178" s="89">
        <f>'[1]OMM_Unit Matrix'!AC178</f>
        <v>0</v>
      </c>
      <c r="AD178" s="89">
        <f>'[1]OMM_Unit Matrix'!AD178</f>
        <v>0</v>
      </c>
      <c r="AE178" s="89">
        <f>'[1]OMM_Unit Matrix'!AE178</f>
        <v>0</v>
      </c>
      <c r="AF178" s="89">
        <f>'[1]OMM_Unit Matrix'!AF178</f>
        <v>0</v>
      </c>
      <c r="AG178" s="89">
        <f>'[1]OMM_Unit Matrix'!AG178</f>
        <v>0</v>
      </c>
      <c r="AH178" s="89">
        <f>'[1]OMM_Unit Matrix'!AH178</f>
        <v>0</v>
      </c>
      <c r="AI178" s="89">
        <f>'[1]OMM_Unit Matrix'!AI178</f>
        <v>0</v>
      </c>
      <c r="AJ178" s="89">
        <f>'[1]OMM_Unit Matrix'!AJ178</f>
        <v>0</v>
      </c>
      <c r="AK178" s="89">
        <f>'[1]OMM_Unit Matrix'!AK178</f>
        <v>0</v>
      </c>
      <c r="AL178" s="89">
        <f>'[1]OMM_Unit Matrix'!AL178</f>
        <v>0</v>
      </c>
      <c r="AM178" s="89">
        <f>'[1]OMM_Unit Matrix'!AM178</f>
        <v>0</v>
      </c>
      <c r="AN178" s="89">
        <f>'[1]OMM_Unit Matrix'!AN178</f>
        <v>0</v>
      </c>
      <c r="AO178" s="89">
        <f>'[1]OMM_Unit Matrix'!AO178</f>
        <v>0</v>
      </c>
      <c r="AP178" s="89">
        <f>'[1]OMM_Unit Matrix'!AP178</f>
        <v>0</v>
      </c>
      <c r="AQ178" s="270">
        <f>'[1]OMM_Unit Matrix'!AQ178</f>
        <v>0</v>
      </c>
    </row>
    <row r="179" spans="2:43">
      <c r="B179" s="89">
        <f>'[1]OMM_Unit Matrix'!B179</f>
        <v>8</v>
      </c>
      <c r="C179" s="275">
        <f>'[1]OMM_Unit Matrix'!C179</f>
        <v>1</v>
      </c>
      <c r="D179" s="89">
        <f>'[1]OMM_Unit Matrix'!D179</f>
        <v>8001</v>
      </c>
      <c r="E179" s="89" t="str">
        <f>'[1]OMM_Unit Matrix'!E179</f>
        <v>NO</v>
      </c>
      <c r="F179" s="132">
        <f>'[1]OMM_Unit Matrix'!F179</f>
        <v>0</v>
      </c>
      <c r="G179" s="89" t="str">
        <f>'[1]OMM_Unit Matrix'!G179</f>
        <v>PENDING</v>
      </c>
      <c r="H179" s="89">
        <f>'[1]OMM_Unit Matrix'!H179</f>
        <v>0</v>
      </c>
      <c r="I179" s="89">
        <f>'[1]OMM_Unit Matrix'!I179</f>
        <v>0</v>
      </c>
      <c r="J179" s="89">
        <f>'[1]OMM_Unit Matrix'!J179</f>
        <v>0</v>
      </c>
      <c r="K179" s="89">
        <f>'[1]OMM_Unit Matrix'!K179</f>
        <v>0</v>
      </c>
      <c r="L179" s="89">
        <f>'[1]OMM_Unit Matrix'!L179</f>
        <v>0</v>
      </c>
      <c r="M179" s="89">
        <f>'[1]OMM_Unit Matrix'!M179</f>
        <v>0</v>
      </c>
      <c r="N179" s="89">
        <f>'[1]OMM_Unit Matrix'!N179</f>
        <v>0</v>
      </c>
      <c r="O179" s="89">
        <f>'[1]OMM_Unit Matrix'!O179</f>
        <v>0</v>
      </c>
      <c r="P179" s="89">
        <f>'[1]OMM_Unit Matrix'!P179</f>
        <v>0</v>
      </c>
      <c r="Q179" s="89">
        <f>'[1]OMM_Unit Matrix'!Q179</f>
        <v>0</v>
      </c>
      <c r="R179" s="89">
        <f>'[1]OMM_Unit Matrix'!R179</f>
        <v>0</v>
      </c>
      <c r="S179" s="89">
        <f>'[1]OMM_Unit Matrix'!S179</f>
        <v>0</v>
      </c>
      <c r="T179" s="89">
        <f>'[1]OMM_Unit Matrix'!T179</f>
        <v>0</v>
      </c>
      <c r="U179" s="89">
        <f>'[1]OMM_Unit Matrix'!U179</f>
        <v>0</v>
      </c>
      <c r="V179" s="89">
        <f>'[1]OMM_Unit Matrix'!V179</f>
        <v>0</v>
      </c>
      <c r="W179" s="89">
        <f>'[1]OMM_Unit Matrix'!W179</f>
        <v>0</v>
      </c>
      <c r="X179" s="89">
        <f>'[1]OMM_Unit Matrix'!X179</f>
        <v>0</v>
      </c>
      <c r="Y179" s="89">
        <f>'[1]OMM_Unit Matrix'!Y179</f>
        <v>0</v>
      </c>
      <c r="Z179" s="89">
        <f>'[1]OMM_Unit Matrix'!Z179</f>
        <v>0</v>
      </c>
      <c r="AA179" s="89">
        <f>'[1]OMM_Unit Matrix'!AA179</f>
        <v>0</v>
      </c>
      <c r="AB179" s="89">
        <f>'[1]OMM_Unit Matrix'!AB179</f>
        <v>0</v>
      </c>
      <c r="AC179" s="89">
        <f>'[1]OMM_Unit Matrix'!AC179</f>
        <v>0</v>
      </c>
      <c r="AD179" s="89">
        <f>'[1]OMM_Unit Matrix'!AD179</f>
        <v>0</v>
      </c>
      <c r="AE179" s="89">
        <f>'[1]OMM_Unit Matrix'!AE179</f>
        <v>0</v>
      </c>
      <c r="AF179" s="89">
        <f>'[1]OMM_Unit Matrix'!AF179</f>
        <v>0</v>
      </c>
      <c r="AG179" s="89">
        <f>'[1]OMM_Unit Matrix'!AG179</f>
        <v>0</v>
      </c>
      <c r="AH179" s="89">
        <f>'[1]OMM_Unit Matrix'!AH179</f>
        <v>0</v>
      </c>
      <c r="AI179" s="89">
        <f>'[1]OMM_Unit Matrix'!AI179</f>
        <v>0</v>
      </c>
      <c r="AJ179" s="89">
        <f>'[1]OMM_Unit Matrix'!AJ179</f>
        <v>0</v>
      </c>
      <c r="AK179" s="89">
        <f>'[1]OMM_Unit Matrix'!AK179</f>
        <v>0</v>
      </c>
      <c r="AL179" s="89">
        <f>'[1]OMM_Unit Matrix'!AL179</f>
        <v>0</v>
      </c>
      <c r="AM179" s="89">
        <f>'[1]OMM_Unit Matrix'!AM179</f>
        <v>0</v>
      </c>
      <c r="AN179" s="89">
        <f>'[1]OMM_Unit Matrix'!AN179</f>
        <v>0</v>
      </c>
      <c r="AO179" s="89">
        <f>'[1]OMM_Unit Matrix'!AO179</f>
        <v>0</v>
      </c>
      <c r="AP179" s="89">
        <f>'[1]OMM_Unit Matrix'!AP179</f>
        <v>0</v>
      </c>
      <c r="AQ179" s="270">
        <f>'[1]OMM_Unit Matrix'!AQ179</f>
        <v>0</v>
      </c>
    </row>
    <row r="180" spans="2:43" hidden="1">
      <c r="B180" s="89">
        <f>'[1]OMM_Unit Matrix'!B180</f>
        <v>8</v>
      </c>
      <c r="C180" s="275">
        <f>'[1]OMM_Unit Matrix'!C180</f>
        <v>2</v>
      </c>
      <c r="D180" s="89">
        <f>'[1]OMM_Unit Matrix'!D180</f>
        <v>8002</v>
      </c>
      <c r="E180" s="89">
        <f>'[1]OMM_Unit Matrix'!E180</f>
        <v>0</v>
      </c>
      <c r="F180" s="89">
        <f>'[1]OMM_Unit Matrix'!F180</f>
        <v>0</v>
      </c>
      <c r="G180" s="89" t="str">
        <f>'[1]OMM_Unit Matrix'!G180</f>
        <v>NOT IN SCOPE</v>
      </c>
      <c r="H180" s="89">
        <f>'[1]OMM_Unit Matrix'!H180</f>
        <v>0</v>
      </c>
      <c r="I180" s="89">
        <f>'[1]OMM_Unit Matrix'!I180</f>
        <v>0</v>
      </c>
      <c r="J180" s="89">
        <f>'[1]OMM_Unit Matrix'!J180</f>
        <v>0</v>
      </c>
      <c r="K180" s="89">
        <f>'[1]OMM_Unit Matrix'!K180</f>
        <v>0</v>
      </c>
      <c r="L180" s="89">
        <f>'[1]OMM_Unit Matrix'!L180</f>
        <v>0</v>
      </c>
      <c r="M180" s="89">
        <f>'[1]OMM_Unit Matrix'!M180</f>
        <v>0</v>
      </c>
      <c r="N180" s="89">
        <f>'[1]OMM_Unit Matrix'!N180</f>
        <v>0</v>
      </c>
      <c r="O180" s="89">
        <f>'[1]OMM_Unit Matrix'!O180</f>
        <v>0</v>
      </c>
      <c r="P180" s="89">
        <f>'[1]OMM_Unit Matrix'!P180</f>
        <v>0</v>
      </c>
      <c r="Q180" s="89">
        <f>'[1]OMM_Unit Matrix'!Q180</f>
        <v>0</v>
      </c>
      <c r="R180" s="89">
        <f>'[1]OMM_Unit Matrix'!R180</f>
        <v>0</v>
      </c>
      <c r="S180" s="89">
        <f>'[1]OMM_Unit Matrix'!S180</f>
        <v>0</v>
      </c>
      <c r="T180" s="89">
        <f>'[1]OMM_Unit Matrix'!T180</f>
        <v>0</v>
      </c>
      <c r="U180" s="89">
        <f>'[1]OMM_Unit Matrix'!U180</f>
        <v>0</v>
      </c>
      <c r="V180" s="89">
        <f>'[1]OMM_Unit Matrix'!V180</f>
        <v>0</v>
      </c>
      <c r="W180" s="89">
        <f>'[1]OMM_Unit Matrix'!W180</f>
        <v>0</v>
      </c>
      <c r="X180" s="89">
        <f>'[1]OMM_Unit Matrix'!X180</f>
        <v>0</v>
      </c>
      <c r="Y180" s="89">
        <f>'[1]OMM_Unit Matrix'!Y180</f>
        <v>0</v>
      </c>
      <c r="Z180" s="89">
        <f>'[1]OMM_Unit Matrix'!Z180</f>
        <v>0</v>
      </c>
      <c r="AA180" s="89">
        <f>'[1]OMM_Unit Matrix'!AA180</f>
        <v>0</v>
      </c>
      <c r="AB180" s="89">
        <f>'[1]OMM_Unit Matrix'!AB180</f>
        <v>0</v>
      </c>
      <c r="AC180" s="89">
        <f>'[1]OMM_Unit Matrix'!AC180</f>
        <v>0</v>
      </c>
      <c r="AD180" s="89">
        <f>'[1]OMM_Unit Matrix'!AD180</f>
        <v>0</v>
      </c>
      <c r="AE180" s="89">
        <f>'[1]OMM_Unit Matrix'!AE180</f>
        <v>0</v>
      </c>
      <c r="AF180" s="89">
        <f>'[1]OMM_Unit Matrix'!AF180</f>
        <v>0</v>
      </c>
      <c r="AG180" s="89">
        <f>'[1]OMM_Unit Matrix'!AG180</f>
        <v>0</v>
      </c>
      <c r="AH180" s="89">
        <f>'[1]OMM_Unit Matrix'!AH180</f>
        <v>0</v>
      </c>
      <c r="AI180" s="89">
        <f>'[1]OMM_Unit Matrix'!AI180</f>
        <v>0</v>
      </c>
      <c r="AJ180" s="89">
        <f>'[1]OMM_Unit Matrix'!AJ180</f>
        <v>0</v>
      </c>
      <c r="AK180" s="89">
        <f>'[1]OMM_Unit Matrix'!AK180</f>
        <v>0</v>
      </c>
      <c r="AL180" s="89">
        <f>'[1]OMM_Unit Matrix'!AL180</f>
        <v>0</v>
      </c>
      <c r="AM180" s="89">
        <f>'[1]OMM_Unit Matrix'!AM180</f>
        <v>0</v>
      </c>
      <c r="AN180" s="89">
        <f>'[1]OMM_Unit Matrix'!AN180</f>
        <v>0</v>
      </c>
      <c r="AO180" s="89">
        <f>'[1]OMM_Unit Matrix'!AO180</f>
        <v>0</v>
      </c>
      <c r="AP180" s="89">
        <f>'[1]OMM_Unit Matrix'!AP180</f>
        <v>0</v>
      </c>
      <c r="AQ180" s="270">
        <f>'[1]OMM_Unit Matrix'!AQ180</f>
        <v>0</v>
      </c>
    </row>
    <row r="181" spans="2:43" hidden="1">
      <c r="B181" s="89">
        <f>'[1]OMM_Unit Matrix'!B181</f>
        <v>8</v>
      </c>
      <c r="C181" s="275">
        <f>'[1]OMM_Unit Matrix'!C181</f>
        <v>3</v>
      </c>
      <c r="D181" s="89">
        <f>'[1]OMM_Unit Matrix'!D181</f>
        <v>8003</v>
      </c>
      <c r="E181" s="89">
        <f>'[1]OMM_Unit Matrix'!E181</f>
        <v>0</v>
      </c>
      <c r="F181" s="89">
        <f>'[1]OMM_Unit Matrix'!F181</f>
        <v>0</v>
      </c>
      <c r="G181" s="89" t="str">
        <f>'[1]OMM_Unit Matrix'!G181</f>
        <v>NOT IN SCOPE</v>
      </c>
      <c r="H181" s="89">
        <f>'[1]OMM_Unit Matrix'!H181</f>
        <v>0</v>
      </c>
      <c r="I181" s="89">
        <f>'[1]OMM_Unit Matrix'!I181</f>
        <v>0</v>
      </c>
      <c r="J181" s="89">
        <f>'[1]OMM_Unit Matrix'!J181</f>
        <v>0</v>
      </c>
      <c r="K181" s="89">
        <f>'[1]OMM_Unit Matrix'!K181</f>
        <v>0</v>
      </c>
      <c r="L181" s="89">
        <f>'[1]OMM_Unit Matrix'!L181</f>
        <v>0</v>
      </c>
      <c r="M181" s="89">
        <f>'[1]OMM_Unit Matrix'!M181</f>
        <v>0</v>
      </c>
      <c r="N181" s="89">
        <f>'[1]OMM_Unit Matrix'!N181</f>
        <v>0</v>
      </c>
      <c r="O181" s="89">
        <f>'[1]OMM_Unit Matrix'!O181</f>
        <v>0</v>
      </c>
      <c r="P181" s="89">
        <f>'[1]OMM_Unit Matrix'!P181</f>
        <v>0</v>
      </c>
      <c r="Q181" s="89">
        <f>'[1]OMM_Unit Matrix'!Q181</f>
        <v>0</v>
      </c>
      <c r="R181" s="89">
        <f>'[1]OMM_Unit Matrix'!R181</f>
        <v>0</v>
      </c>
      <c r="S181" s="89">
        <f>'[1]OMM_Unit Matrix'!S181</f>
        <v>0</v>
      </c>
      <c r="T181" s="89">
        <f>'[1]OMM_Unit Matrix'!T181</f>
        <v>0</v>
      </c>
      <c r="U181" s="89">
        <f>'[1]OMM_Unit Matrix'!U181</f>
        <v>0</v>
      </c>
      <c r="V181" s="89">
        <f>'[1]OMM_Unit Matrix'!V181</f>
        <v>0</v>
      </c>
      <c r="W181" s="89">
        <f>'[1]OMM_Unit Matrix'!W181</f>
        <v>0</v>
      </c>
      <c r="X181" s="89">
        <f>'[1]OMM_Unit Matrix'!X181</f>
        <v>0</v>
      </c>
      <c r="Y181" s="89">
        <f>'[1]OMM_Unit Matrix'!Y181</f>
        <v>0</v>
      </c>
      <c r="Z181" s="89">
        <f>'[1]OMM_Unit Matrix'!Z181</f>
        <v>0</v>
      </c>
      <c r="AA181" s="89">
        <f>'[1]OMM_Unit Matrix'!AA181</f>
        <v>0</v>
      </c>
      <c r="AB181" s="89">
        <f>'[1]OMM_Unit Matrix'!AB181</f>
        <v>0</v>
      </c>
      <c r="AC181" s="89">
        <f>'[1]OMM_Unit Matrix'!AC181</f>
        <v>0</v>
      </c>
      <c r="AD181" s="89">
        <f>'[1]OMM_Unit Matrix'!AD181</f>
        <v>0</v>
      </c>
      <c r="AE181" s="89">
        <f>'[1]OMM_Unit Matrix'!AE181</f>
        <v>0</v>
      </c>
      <c r="AF181" s="89">
        <f>'[1]OMM_Unit Matrix'!AF181</f>
        <v>0</v>
      </c>
      <c r="AG181" s="89">
        <f>'[1]OMM_Unit Matrix'!AG181</f>
        <v>0</v>
      </c>
      <c r="AH181" s="89">
        <f>'[1]OMM_Unit Matrix'!AH181</f>
        <v>0</v>
      </c>
      <c r="AI181" s="89">
        <f>'[1]OMM_Unit Matrix'!AI181</f>
        <v>0</v>
      </c>
      <c r="AJ181" s="89">
        <f>'[1]OMM_Unit Matrix'!AJ181</f>
        <v>0</v>
      </c>
      <c r="AK181" s="89">
        <f>'[1]OMM_Unit Matrix'!AK181</f>
        <v>0</v>
      </c>
      <c r="AL181" s="89">
        <f>'[1]OMM_Unit Matrix'!AL181</f>
        <v>0</v>
      </c>
      <c r="AM181" s="89">
        <f>'[1]OMM_Unit Matrix'!AM181</f>
        <v>0</v>
      </c>
      <c r="AN181" s="89">
        <f>'[1]OMM_Unit Matrix'!AN181</f>
        <v>0</v>
      </c>
      <c r="AO181" s="89">
        <f>'[1]OMM_Unit Matrix'!AO181</f>
        <v>0</v>
      </c>
      <c r="AP181" s="89">
        <f>'[1]OMM_Unit Matrix'!AP181</f>
        <v>0</v>
      </c>
      <c r="AQ181" s="270">
        <f>'[1]OMM_Unit Matrix'!AQ181</f>
        <v>0</v>
      </c>
    </row>
    <row r="182" spans="2:43" hidden="1">
      <c r="B182" s="89">
        <f>'[1]OMM_Unit Matrix'!B182</f>
        <v>8</v>
      </c>
      <c r="C182" s="275">
        <f>'[1]OMM_Unit Matrix'!C182</f>
        <v>4</v>
      </c>
      <c r="D182" s="89">
        <f>'[1]OMM_Unit Matrix'!D182</f>
        <v>8004</v>
      </c>
      <c r="E182" s="89">
        <f>'[1]OMM_Unit Matrix'!E182</f>
        <v>0</v>
      </c>
      <c r="F182" s="89">
        <f>'[1]OMM_Unit Matrix'!F182</f>
        <v>0</v>
      </c>
      <c r="G182" s="89" t="str">
        <f>'[1]OMM_Unit Matrix'!G182</f>
        <v>NOT IN SCOPE</v>
      </c>
      <c r="H182" s="89">
        <f>'[1]OMM_Unit Matrix'!H182</f>
        <v>0</v>
      </c>
      <c r="I182" s="89">
        <f>'[1]OMM_Unit Matrix'!I182</f>
        <v>0</v>
      </c>
      <c r="J182" s="89">
        <f>'[1]OMM_Unit Matrix'!J182</f>
        <v>0</v>
      </c>
      <c r="K182" s="89">
        <f>'[1]OMM_Unit Matrix'!K182</f>
        <v>0</v>
      </c>
      <c r="L182" s="89">
        <f>'[1]OMM_Unit Matrix'!L182</f>
        <v>0</v>
      </c>
      <c r="M182" s="89">
        <f>'[1]OMM_Unit Matrix'!M182</f>
        <v>0</v>
      </c>
      <c r="N182" s="89">
        <f>'[1]OMM_Unit Matrix'!N182</f>
        <v>0</v>
      </c>
      <c r="O182" s="89">
        <f>'[1]OMM_Unit Matrix'!O182</f>
        <v>0</v>
      </c>
      <c r="P182" s="89">
        <f>'[1]OMM_Unit Matrix'!P182</f>
        <v>0</v>
      </c>
      <c r="Q182" s="89">
        <f>'[1]OMM_Unit Matrix'!Q182</f>
        <v>0</v>
      </c>
      <c r="R182" s="89">
        <f>'[1]OMM_Unit Matrix'!R182</f>
        <v>0</v>
      </c>
      <c r="S182" s="89">
        <f>'[1]OMM_Unit Matrix'!S182</f>
        <v>0</v>
      </c>
      <c r="T182" s="89">
        <f>'[1]OMM_Unit Matrix'!T182</f>
        <v>0</v>
      </c>
      <c r="U182" s="89">
        <f>'[1]OMM_Unit Matrix'!U182</f>
        <v>0</v>
      </c>
      <c r="V182" s="89">
        <f>'[1]OMM_Unit Matrix'!V182</f>
        <v>0</v>
      </c>
      <c r="W182" s="89">
        <f>'[1]OMM_Unit Matrix'!W182</f>
        <v>0</v>
      </c>
      <c r="X182" s="89">
        <f>'[1]OMM_Unit Matrix'!X182</f>
        <v>0</v>
      </c>
      <c r="Y182" s="89">
        <f>'[1]OMM_Unit Matrix'!Y182</f>
        <v>0</v>
      </c>
      <c r="Z182" s="89">
        <f>'[1]OMM_Unit Matrix'!Z182</f>
        <v>0</v>
      </c>
      <c r="AA182" s="89">
        <f>'[1]OMM_Unit Matrix'!AA182</f>
        <v>0</v>
      </c>
      <c r="AB182" s="89">
        <f>'[1]OMM_Unit Matrix'!AB182</f>
        <v>0</v>
      </c>
      <c r="AC182" s="89">
        <f>'[1]OMM_Unit Matrix'!AC182</f>
        <v>0</v>
      </c>
      <c r="AD182" s="89">
        <f>'[1]OMM_Unit Matrix'!AD182</f>
        <v>0</v>
      </c>
      <c r="AE182" s="89">
        <f>'[1]OMM_Unit Matrix'!AE182</f>
        <v>0</v>
      </c>
      <c r="AF182" s="89">
        <f>'[1]OMM_Unit Matrix'!AF182</f>
        <v>0</v>
      </c>
      <c r="AG182" s="89">
        <f>'[1]OMM_Unit Matrix'!AG182</f>
        <v>0</v>
      </c>
      <c r="AH182" s="89">
        <f>'[1]OMM_Unit Matrix'!AH182</f>
        <v>0</v>
      </c>
      <c r="AI182" s="89">
        <f>'[1]OMM_Unit Matrix'!AI182</f>
        <v>0</v>
      </c>
      <c r="AJ182" s="89">
        <f>'[1]OMM_Unit Matrix'!AJ182</f>
        <v>0</v>
      </c>
      <c r="AK182" s="89">
        <f>'[1]OMM_Unit Matrix'!AK182</f>
        <v>0</v>
      </c>
      <c r="AL182" s="89">
        <f>'[1]OMM_Unit Matrix'!AL182</f>
        <v>0</v>
      </c>
      <c r="AM182" s="89">
        <f>'[1]OMM_Unit Matrix'!AM182</f>
        <v>0</v>
      </c>
      <c r="AN182" s="89">
        <f>'[1]OMM_Unit Matrix'!AN182</f>
        <v>0</v>
      </c>
      <c r="AO182" s="89">
        <f>'[1]OMM_Unit Matrix'!AO182</f>
        <v>0</v>
      </c>
      <c r="AP182" s="89">
        <f>'[1]OMM_Unit Matrix'!AP182</f>
        <v>0</v>
      </c>
      <c r="AQ182" s="270">
        <f>'[1]OMM_Unit Matrix'!AQ182</f>
        <v>0</v>
      </c>
    </row>
    <row r="183" spans="2:43">
      <c r="B183" s="89">
        <f>'[1]OMM_Unit Matrix'!B183</f>
        <v>8</v>
      </c>
      <c r="C183" s="275">
        <f>'[1]OMM_Unit Matrix'!C183</f>
        <v>5</v>
      </c>
      <c r="D183" s="89">
        <f>'[1]OMM_Unit Matrix'!D183</f>
        <v>8005</v>
      </c>
      <c r="E183" s="89" t="str">
        <f>'[1]OMM_Unit Matrix'!E183</f>
        <v>YES</v>
      </c>
      <c r="F183" s="132">
        <f>'[1]OMM_Unit Matrix'!F183</f>
        <v>8005.06</v>
      </c>
      <c r="G183" s="89" t="str">
        <f>'[1]OMM_Unit Matrix'!G183</f>
        <v>PENDING</v>
      </c>
      <c r="H183" s="89">
        <f>'[1]OMM_Unit Matrix'!H183</f>
        <v>0</v>
      </c>
      <c r="I183" s="89">
        <f>'[1]OMM_Unit Matrix'!I183</f>
        <v>0</v>
      </c>
      <c r="J183" s="89">
        <f>'[1]OMM_Unit Matrix'!J183</f>
        <v>0</v>
      </c>
      <c r="K183" s="89">
        <f>'[1]OMM_Unit Matrix'!K183</f>
        <v>0</v>
      </c>
      <c r="L183" s="89">
        <f>'[1]OMM_Unit Matrix'!L183</f>
        <v>0</v>
      </c>
      <c r="M183" s="89">
        <f>'[1]OMM_Unit Matrix'!M183</f>
        <v>0</v>
      </c>
      <c r="N183" s="89">
        <f>'[1]OMM_Unit Matrix'!N183</f>
        <v>0</v>
      </c>
      <c r="O183" s="89">
        <f>'[1]OMM_Unit Matrix'!O183</f>
        <v>0</v>
      </c>
      <c r="P183" s="89">
        <f>'[1]OMM_Unit Matrix'!P183</f>
        <v>0</v>
      </c>
      <c r="Q183" s="89">
        <f>'[1]OMM_Unit Matrix'!Q183</f>
        <v>0</v>
      </c>
      <c r="R183" s="89">
        <f>'[1]OMM_Unit Matrix'!R183</f>
        <v>0</v>
      </c>
      <c r="S183" s="89">
        <f>'[1]OMM_Unit Matrix'!S183</f>
        <v>0</v>
      </c>
      <c r="T183" s="89">
        <f>'[1]OMM_Unit Matrix'!T183</f>
        <v>0</v>
      </c>
      <c r="U183" s="89">
        <f>'[1]OMM_Unit Matrix'!U183</f>
        <v>0</v>
      </c>
      <c r="V183" s="89">
        <f>'[1]OMM_Unit Matrix'!V183</f>
        <v>0</v>
      </c>
      <c r="W183" s="89">
        <f>'[1]OMM_Unit Matrix'!W183</f>
        <v>0</v>
      </c>
      <c r="X183" s="89">
        <f>'[1]OMM_Unit Matrix'!X183</f>
        <v>0</v>
      </c>
      <c r="Y183" s="89">
        <f>'[1]OMM_Unit Matrix'!Y183</f>
        <v>0</v>
      </c>
      <c r="Z183" s="89">
        <f>'[1]OMM_Unit Matrix'!Z183</f>
        <v>0</v>
      </c>
      <c r="AA183" s="89">
        <f>'[1]OMM_Unit Matrix'!AA183</f>
        <v>0</v>
      </c>
      <c r="AB183" s="89">
        <f>'[1]OMM_Unit Matrix'!AB183</f>
        <v>0</v>
      </c>
      <c r="AC183" s="89">
        <f>'[1]OMM_Unit Matrix'!AC183</f>
        <v>0</v>
      </c>
      <c r="AD183" s="89">
        <f>'[1]OMM_Unit Matrix'!AD183</f>
        <v>0</v>
      </c>
      <c r="AE183" s="89">
        <f>'[1]OMM_Unit Matrix'!AE183</f>
        <v>0</v>
      </c>
      <c r="AF183" s="89">
        <f>'[1]OMM_Unit Matrix'!AF183</f>
        <v>0</v>
      </c>
      <c r="AG183" s="89">
        <f>'[1]OMM_Unit Matrix'!AG183</f>
        <v>0</v>
      </c>
      <c r="AH183" s="89">
        <f>'[1]OMM_Unit Matrix'!AH183</f>
        <v>0</v>
      </c>
      <c r="AI183" s="89">
        <f>'[1]OMM_Unit Matrix'!AI183</f>
        <v>0</v>
      </c>
      <c r="AJ183" s="89">
        <f>'[1]OMM_Unit Matrix'!AJ183</f>
        <v>0</v>
      </c>
      <c r="AK183" s="89">
        <f>'[1]OMM_Unit Matrix'!AK183</f>
        <v>0</v>
      </c>
      <c r="AL183" s="89">
        <f>'[1]OMM_Unit Matrix'!AL183</f>
        <v>0</v>
      </c>
      <c r="AM183" s="89">
        <f>'[1]OMM_Unit Matrix'!AM183</f>
        <v>0</v>
      </c>
      <c r="AN183" s="89">
        <f>'[1]OMM_Unit Matrix'!AN183</f>
        <v>0</v>
      </c>
      <c r="AO183" s="89">
        <f>'[1]OMM_Unit Matrix'!AO183</f>
        <v>0</v>
      </c>
      <c r="AP183" s="89">
        <f>'[1]OMM_Unit Matrix'!AP183</f>
        <v>0</v>
      </c>
      <c r="AQ183" s="270">
        <f>'[1]OMM_Unit Matrix'!AQ183</f>
        <v>0</v>
      </c>
    </row>
    <row r="184" spans="2:43">
      <c r="B184" s="89">
        <f>'[1]OMM_Unit Matrix'!B184</f>
        <v>8</v>
      </c>
      <c r="C184" s="275">
        <f>'[1]OMM_Unit Matrix'!C184</f>
        <v>6</v>
      </c>
      <c r="D184" s="89">
        <f>'[1]OMM_Unit Matrix'!D184</f>
        <v>8006</v>
      </c>
      <c r="E184" s="89" t="str">
        <f>'[1]OMM_Unit Matrix'!E184</f>
        <v>YES</v>
      </c>
      <c r="F184" s="132">
        <f>'[1]OMM_Unit Matrix'!F184</f>
        <v>8005.06</v>
      </c>
      <c r="G184" s="89" t="str">
        <f>'[1]OMM_Unit Matrix'!G184</f>
        <v>PENDING</v>
      </c>
      <c r="H184" s="89">
        <f>'[1]OMM_Unit Matrix'!H184</f>
        <v>0</v>
      </c>
      <c r="I184" s="89">
        <f>'[1]OMM_Unit Matrix'!I184</f>
        <v>0</v>
      </c>
      <c r="J184" s="89">
        <f>'[1]OMM_Unit Matrix'!J184</f>
        <v>0</v>
      </c>
      <c r="K184" s="89">
        <f>'[1]OMM_Unit Matrix'!K184</f>
        <v>0</v>
      </c>
      <c r="L184" s="89">
        <f>'[1]OMM_Unit Matrix'!L184</f>
        <v>0</v>
      </c>
      <c r="M184" s="89">
        <f>'[1]OMM_Unit Matrix'!M184</f>
        <v>0</v>
      </c>
      <c r="N184" s="89">
        <f>'[1]OMM_Unit Matrix'!N184</f>
        <v>0</v>
      </c>
      <c r="O184" s="89">
        <f>'[1]OMM_Unit Matrix'!O184</f>
        <v>0</v>
      </c>
      <c r="P184" s="89">
        <f>'[1]OMM_Unit Matrix'!P184</f>
        <v>0</v>
      </c>
      <c r="Q184" s="89">
        <f>'[1]OMM_Unit Matrix'!Q184</f>
        <v>0</v>
      </c>
      <c r="R184" s="89">
        <f>'[1]OMM_Unit Matrix'!R184</f>
        <v>0</v>
      </c>
      <c r="S184" s="89">
        <f>'[1]OMM_Unit Matrix'!S184</f>
        <v>0</v>
      </c>
      <c r="T184" s="89">
        <f>'[1]OMM_Unit Matrix'!T184</f>
        <v>0</v>
      </c>
      <c r="U184" s="89">
        <f>'[1]OMM_Unit Matrix'!U184</f>
        <v>0</v>
      </c>
      <c r="V184" s="89">
        <f>'[1]OMM_Unit Matrix'!V184</f>
        <v>0</v>
      </c>
      <c r="W184" s="89">
        <f>'[1]OMM_Unit Matrix'!W184</f>
        <v>0</v>
      </c>
      <c r="X184" s="89">
        <f>'[1]OMM_Unit Matrix'!X184</f>
        <v>0</v>
      </c>
      <c r="Y184" s="89">
        <f>'[1]OMM_Unit Matrix'!Y184</f>
        <v>0</v>
      </c>
      <c r="Z184" s="89">
        <f>'[1]OMM_Unit Matrix'!Z184</f>
        <v>0</v>
      </c>
      <c r="AA184" s="89">
        <f>'[1]OMM_Unit Matrix'!AA184</f>
        <v>0</v>
      </c>
      <c r="AB184" s="89">
        <f>'[1]OMM_Unit Matrix'!AB184</f>
        <v>0</v>
      </c>
      <c r="AC184" s="89">
        <f>'[1]OMM_Unit Matrix'!AC184</f>
        <v>0</v>
      </c>
      <c r="AD184" s="89">
        <f>'[1]OMM_Unit Matrix'!AD184</f>
        <v>0</v>
      </c>
      <c r="AE184" s="89">
        <f>'[1]OMM_Unit Matrix'!AE184</f>
        <v>0</v>
      </c>
      <c r="AF184" s="89">
        <f>'[1]OMM_Unit Matrix'!AF184</f>
        <v>0</v>
      </c>
      <c r="AG184" s="89">
        <f>'[1]OMM_Unit Matrix'!AG184</f>
        <v>0</v>
      </c>
      <c r="AH184" s="89">
        <f>'[1]OMM_Unit Matrix'!AH184</f>
        <v>0</v>
      </c>
      <c r="AI184" s="89">
        <f>'[1]OMM_Unit Matrix'!AI184</f>
        <v>0</v>
      </c>
      <c r="AJ184" s="89">
        <f>'[1]OMM_Unit Matrix'!AJ184</f>
        <v>0</v>
      </c>
      <c r="AK184" s="89">
        <f>'[1]OMM_Unit Matrix'!AK184</f>
        <v>0</v>
      </c>
      <c r="AL184" s="89">
        <f>'[1]OMM_Unit Matrix'!AL184</f>
        <v>0</v>
      </c>
      <c r="AM184" s="89">
        <f>'[1]OMM_Unit Matrix'!AM184</f>
        <v>0</v>
      </c>
      <c r="AN184" s="89">
        <f>'[1]OMM_Unit Matrix'!AN184</f>
        <v>0</v>
      </c>
      <c r="AO184" s="89">
        <f>'[1]OMM_Unit Matrix'!AO184</f>
        <v>0</v>
      </c>
      <c r="AP184" s="89">
        <f>'[1]OMM_Unit Matrix'!AP184</f>
        <v>0</v>
      </c>
      <c r="AQ184" s="270">
        <f>'[1]OMM_Unit Matrix'!AQ184</f>
        <v>0</v>
      </c>
    </row>
    <row r="185" spans="2:43" hidden="1">
      <c r="B185" s="89">
        <f>'[1]OMM_Unit Matrix'!B185</f>
        <v>8</v>
      </c>
      <c r="C185" s="275">
        <f>'[1]OMM_Unit Matrix'!C185</f>
        <v>7</v>
      </c>
      <c r="D185" s="89">
        <f>'[1]OMM_Unit Matrix'!D185</f>
        <v>8007</v>
      </c>
      <c r="E185" s="89">
        <f>'[1]OMM_Unit Matrix'!E185</f>
        <v>0</v>
      </c>
      <c r="F185" s="89">
        <f>'[1]OMM_Unit Matrix'!F185</f>
        <v>0</v>
      </c>
      <c r="G185" s="89" t="str">
        <f>'[1]OMM_Unit Matrix'!G185</f>
        <v>NOT IN SCOPE</v>
      </c>
      <c r="H185" s="89">
        <f>'[1]OMM_Unit Matrix'!H185</f>
        <v>0</v>
      </c>
      <c r="I185" s="89">
        <f>'[1]OMM_Unit Matrix'!I185</f>
        <v>0</v>
      </c>
      <c r="J185" s="89">
        <f>'[1]OMM_Unit Matrix'!J185</f>
        <v>0</v>
      </c>
      <c r="K185" s="89">
        <f>'[1]OMM_Unit Matrix'!K185</f>
        <v>0</v>
      </c>
      <c r="L185" s="89">
        <f>'[1]OMM_Unit Matrix'!L185</f>
        <v>0</v>
      </c>
      <c r="M185" s="89">
        <f>'[1]OMM_Unit Matrix'!M185</f>
        <v>0</v>
      </c>
      <c r="N185" s="89">
        <f>'[1]OMM_Unit Matrix'!N185</f>
        <v>0</v>
      </c>
      <c r="O185" s="89">
        <f>'[1]OMM_Unit Matrix'!O185</f>
        <v>0</v>
      </c>
      <c r="P185" s="89">
        <f>'[1]OMM_Unit Matrix'!P185</f>
        <v>0</v>
      </c>
      <c r="Q185" s="89">
        <f>'[1]OMM_Unit Matrix'!Q185</f>
        <v>0</v>
      </c>
      <c r="R185" s="89">
        <f>'[1]OMM_Unit Matrix'!R185</f>
        <v>0</v>
      </c>
      <c r="S185" s="89">
        <f>'[1]OMM_Unit Matrix'!S185</f>
        <v>0</v>
      </c>
      <c r="T185" s="89">
        <f>'[1]OMM_Unit Matrix'!T185</f>
        <v>0</v>
      </c>
      <c r="U185" s="89">
        <f>'[1]OMM_Unit Matrix'!U185</f>
        <v>0</v>
      </c>
      <c r="V185" s="89">
        <f>'[1]OMM_Unit Matrix'!V185</f>
        <v>0</v>
      </c>
      <c r="W185" s="89">
        <f>'[1]OMM_Unit Matrix'!W185</f>
        <v>0</v>
      </c>
      <c r="X185" s="89">
        <f>'[1]OMM_Unit Matrix'!X185</f>
        <v>0</v>
      </c>
      <c r="Y185" s="89">
        <f>'[1]OMM_Unit Matrix'!Y185</f>
        <v>0</v>
      </c>
      <c r="Z185" s="89">
        <f>'[1]OMM_Unit Matrix'!Z185</f>
        <v>0</v>
      </c>
      <c r="AA185" s="89">
        <f>'[1]OMM_Unit Matrix'!AA185</f>
        <v>0</v>
      </c>
      <c r="AB185" s="89">
        <f>'[1]OMM_Unit Matrix'!AB185</f>
        <v>0</v>
      </c>
      <c r="AC185" s="89">
        <f>'[1]OMM_Unit Matrix'!AC185</f>
        <v>0</v>
      </c>
      <c r="AD185" s="89">
        <f>'[1]OMM_Unit Matrix'!AD185</f>
        <v>0</v>
      </c>
      <c r="AE185" s="89">
        <f>'[1]OMM_Unit Matrix'!AE185</f>
        <v>0</v>
      </c>
      <c r="AF185" s="89">
        <f>'[1]OMM_Unit Matrix'!AF185</f>
        <v>0</v>
      </c>
      <c r="AG185" s="89">
        <f>'[1]OMM_Unit Matrix'!AG185</f>
        <v>0</v>
      </c>
      <c r="AH185" s="89">
        <f>'[1]OMM_Unit Matrix'!AH185</f>
        <v>0</v>
      </c>
      <c r="AI185" s="89">
        <f>'[1]OMM_Unit Matrix'!AI185</f>
        <v>0</v>
      </c>
      <c r="AJ185" s="89">
        <f>'[1]OMM_Unit Matrix'!AJ185</f>
        <v>0</v>
      </c>
      <c r="AK185" s="89">
        <f>'[1]OMM_Unit Matrix'!AK185</f>
        <v>0</v>
      </c>
      <c r="AL185" s="89">
        <f>'[1]OMM_Unit Matrix'!AL185</f>
        <v>0</v>
      </c>
      <c r="AM185" s="89">
        <f>'[1]OMM_Unit Matrix'!AM185</f>
        <v>0</v>
      </c>
      <c r="AN185" s="89">
        <f>'[1]OMM_Unit Matrix'!AN185</f>
        <v>0</v>
      </c>
      <c r="AO185" s="89">
        <f>'[1]OMM_Unit Matrix'!AO185</f>
        <v>0</v>
      </c>
      <c r="AP185" s="89">
        <f>'[1]OMM_Unit Matrix'!AP185</f>
        <v>0</v>
      </c>
      <c r="AQ185" s="270">
        <f>'[1]OMM_Unit Matrix'!AQ185</f>
        <v>0</v>
      </c>
    </row>
    <row r="186" spans="2:43">
      <c r="B186" s="89">
        <f>'[1]OMM_Unit Matrix'!B186</f>
        <v>8</v>
      </c>
      <c r="C186" s="275">
        <f>'[1]OMM_Unit Matrix'!C186</f>
        <v>8</v>
      </c>
      <c r="D186" s="89">
        <f>'[1]OMM_Unit Matrix'!D186</f>
        <v>8008</v>
      </c>
      <c r="E186" s="89" t="str">
        <f>'[1]OMM_Unit Matrix'!E186</f>
        <v>YES</v>
      </c>
      <c r="F186" s="132">
        <f>'[1]OMM_Unit Matrix'!F186</f>
        <v>8008.09</v>
      </c>
      <c r="G186" s="89" t="str">
        <f>'[1]OMM_Unit Matrix'!G186</f>
        <v>PENDING</v>
      </c>
      <c r="H186" s="89">
        <f>'[1]OMM_Unit Matrix'!H186</f>
        <v>0</v>
      </c>
      <c r="I186" s="89">
        <f>'[1]OMM_Unit Matrix'!I186</f>
        <v>0</v>
      </c>
      <c r="J186" s="89">
        <f>'[1]OMM_Unit Matrix'!J186</f>
        <v>0</v>
      </c>
      <c r="K186" s="89">
        <f>'[1]OMM_Unit Matrix'!K186</f>
        <v>0</v>
      </c>
      <c r="L186" s="89">
        <f>'[1]OMM_Unit Matrix'!L186</f>
        <v>0</v>
      </c>
      <c r="M186" s="89">
        <f>'[1]OMM_Unit Matrix'!M186</f>
        <v>0</v>
      </c>
      <c r="N186" s="89">
        <f>'[1]OMM_Unit Matrix'!N186</f>
        <v>0</v>
      </c>
      <c r="O186" s="89">
        <f>'[1]OMM_Unit Matrix'!O186</f>
        <v>0</v>
      </c>
      <c r="P186" s="89">
        <f>'[1]OMM_Unit Matrix'!P186</f>
        <v>0</v>
      </c>
      <c r="Q186" s="89">
        <f>'[1]OMM_Unit Matrix'!Q186</f>
        <v>0</v>
      </c>
      <c r="R186" s="89">
        <f>'[1]OMM_Unit Matrix'!R186</f>
        <v>0</v>
      </c>
      <c r="S186" s="89">
        <f>'[1]OMM_Unit Matrix'!S186</f>
        <v>0</v>
      </c>
      <c r="T186" s="89">
        <f>'[1]OMM_Unit Matrix'!T186</f>
        <v>0</v>
      </c>
      <c r="U186" s="89">
        <f>'[1]OMM_Unit Matrix'!U186</f>
        <v>0</v>
      </c>
      <c r="V186" s="89">
        <f>'[1]OMM_Unit Matrix'!V186</f>
        <v>0</v>
      </c>
      <c r="W186" s="89">
        <f>'[1]OMM_Unit Matrix'!W186</f>
        <v>0</v>
      </c>
      <c r="X186" s="89">
        <f>'[1]OMM_Unit Matrix'!X186</f>
        <v>0</v>
      </c>
      <c r="Y186" s="89">
        <f>'[1]OMM_Unit Matrix'!Y186</f>
        <v>0</v>
      </c>
      <c r="Z186" s="89">
        <f>'[1]OMM_Unit Matrix'!Z186</f>
        <v>0</v>
      </c>
      <c r="AA186" s="89">
        <f>'[1]OMM_Unit Matrix'!AA186</f>
        <v>0</v>
      </c>
      <c r="AB186" s="89">
        <f>'[1]OMM_Unit Matrix'!AB186</f>
        <v>0</v>
      </c>
      <c r="AC186" s="89">
        <f>'[1]OMM_Unit Matrix'!AC186</f>
        <v>0</v>
      </c>
      <c r="AD186" s="89">
        <f>'[1]OMM_Unit Matrix'!AD186</f>
        <v>0</v>
      </c>
      <c r="AE186" s="89">
        <f>'[1]OMM_Unit Matrix'!AE186</f>
        <v>0</v>
      </c>
      <c r="AF186" s="89">
        <f>'[1]OMM_Unit Matrix'!AF186</f>
        <v>0</v>
      </c>
      <c r="AG186" s="89">
        <f>'[1]OMM_Unit Matrix'!AG186</f>
        <v>0</v>
      </c>
      <c r="AH186" s="89">
        <f>'[1]OMM_Unit Matrix'!AH186</f>
        <v>0</v>
      </c>
      <c r="AI186" s="89">
        <f>'[1]OMM_Unit Matrix'!AI186</f>
        <v>0</v>
      </c>
      <c r="AJ186" s="89">
        <f>'[1]OMM_Unit Matrix'!AJ186</f>
        <v>0</v>
      </c>
      <c r="AK186" s="89">
        <f>'[1]OMM_Unit Matrix'!AK186</f>
        <v>0</v>
      </c>
      <c r="AL186" s="89">
        <f>'[1]OMM_Unit Matrix'!AL186</f>
        <v>0</v>
      </c>
      <c r="AM186" s="89">
        <f>'[1]OMM_Unit Matrix'!AM186</f>
        <v>0</v>
      </c>
      <c r="AN186" s="89">
        <f>'[1]OMM_Unit Matrix'!AN186</f>
        <v>0</v>
      </c>
      <c r="AO186" s="89">
        <f>'[1]OMM_Unit Matrix'!AO186</f>
        <v>0</v>
      </c>
      <c r="AP186" s="89">
        <f>'[1]OMM_Unit Matrix'!AP186</f>
        <v>0</v>
      </c>
      <c r="AQ186" s="270">
        <f>'[1]OMM_Unit Matrix'!AQ186</f>
        <v>0</v>
      </c>
    </row>
    <row r="187" spans="2:43">
      <c r="B187" s="89">
        <f>'[1]OMM_Unit Matrix'!B187</f>
        <v>8</v>
      </c>
      <c r="C187" s="275">
        <f>'[1]OMM_Unit Matrix'!C187</f>
        <v>9</v>
      </c>
      <c r="D187" s="89">
        <f>'[1]OMM_Unit Matrix'!D187</f>
        <v>8009</v>
      </c>
      <c r="E187" s="89" t="str">
        <f>'[1]OMM_Unit Matrix'!E187</f>
        <v>YES</v>
      </c>
      <c r="F187" s="132">
        <f>'[1]OMM_Unit Matrix'!F187</f>
        <v>8008.09</v>
      </c>
      <c r="G187" s="89" t="str">
        <f>'[1]OMM_Unit Matrix'!G187</f>
        <v>PENDING</v>
      </c>
      <c r="H187" s="89">
        <f>'[1]OMM_Unit Matrix'!H187</f>
        <v>0</v>
      </c>
      <c r="I187" s="89">
        <f>'[1]OMM_Unit Matrix'!I187</f>
        <v>0</v>
      </c>
      <c r="J187" s="89">
        <f>'[1]OMM_Unit Matrix'!J187</f>
        <v>0</v>
      </c>
      <c r="K187" s="89">
        <f>'[1]OMM_Unit Matrix'!K187</f>
        <v>0</v>
      </c>
      <c r="L187" s="89">
        <f>'[1]OMM_Unit Matrix'!L187</f>
        <v>0</v>
      </c>
      <c r="M187" s="89">
        <f>'[1]OMM_Unit Matrix'!M187</f>
        <v>0</v>
      </c>
      <c r="N187" s="89">
        <f>'[1]OMM_Unit Matrix'!N187</f>
        <v>0</v>
      </c>
      <c r="O187" s="89">
        <f>'[1]OMM_Unit Matrix'!O187</f>
        <v>0</v>
      </c>
      <c r="P187" s="89">
        <f>'[1]OMM_Unit Matrix'!P187</f>
        <v>0</v>
      </c>
      <c r="Q187" s="89">
        <f>'[1]OMM_Unit Matrix'!Q187</f>
        <v>0</v>
      </c>
      <c r="R187" s="89">
        <f>'[1]OMM_Unit Matrix'!R187</f>
        <v>0</v>
      </c>
      <c r="S187" s="89">
        <f>'[1]OMM_Unit Matrix'!S187</f>
        <v>0</v>
      </c>
      <c r="T187" s="89">
        <f>'[1]OMM_Unit Matrix'!T187</f>
        <v>0</v>
      </c>
      <c r="U187" s="89">
        <f>'[1]OMM_Unit Matrix'!U187</f>
        <v>0</v>
      </c>
      <c r="V187" s="89">
        <f>'[1]OMM_Unit Matrix'!V187</f>
        <v>0</v>
      </c>
      <c r="W187" s="89">
        <f>'[1]OMM_Unit Matrix'!W187</f>
        <v>0</v>
      </c>
      <c r="X187" s="89">
        <f>'[1]OMM_Unit Matrix'!X187</f>
        <v>0</v>
      </c>
      <c r="Y187" s="89">
        <f>'[1]OMM_Unit Matrix'!Y187</f>
        <v>0</v>
      </c>
      <c r="Z187" s="89">
        <f>'[1]OMM_Unit Matrix'!Z187</f>
        <v>0</v>
      </c>
      <c r="AA187" s="89">
        <f>'[1]OMM_Unit Matrix'!AA187</f>
        <v>0</v>
      </c>
      <c r="AB187" s="89">
        <f>'[1]OMM_Unit Matrix'!AB187</f>
        <v>0</v>
      </c>
      <c r="AC187" s="89">
        <f>'[1]OMM_Unit Matrix'!AC187</f>
        <v>0</v>
      </c>
      <c r="AD187" s="89">
        <f>'[1]OMM_Unit Matrix'!AD187</f>
        <v>0</v>
      </c>
      <c r="AE187" s="89">
        <f>'[1]OMM_Unit Matrix'!AE187</f>
        <v>0</v>
      </c>
      <c r="AF187" s="89">
        <f>'[1]OMM_Unit Matrix'!AF187</f>
        <v>0</v>
      </c>
      <c r="AG187" s="89">
        <f>'[1]OMM_Unit Matrix'!AG187</f>
        <v>0</v>
      </c>
      <c r="AH187" s="89">
        <f>'[1]OMM_Unit Matrix'!AH187</f>
        <v>0</v>
      </c>
      <c r="AI187" s="89">
        <f>'[1]OMM_Unit Matrix'!AI187</f>
        <v>0</v>
      </c>
      <c r="AJ187" s="89">
        <f>'[1]OMM_Unit Matrix'!AJ187</f>
        <v>0</v>
      </c>
      <c r="AK187" s="89">
        <f>'[1]OMM_Unit Matrix'!AK187</f>
        <v>0</v>
      </c>
      <c r="AL187" s="89">
        <f>'[1]OMM_Unit Matrix'!AL187</f>
        <v>0</v>
      </c>
      <c r="AM187" s="89">
        <f>'[1]OMM_Unit Matrix'!AM187</f>
        <v>0</v>
      </c>
      <c r="AN187" s="89">
        <f>'[1]OMM_Unit Matrix'!AN187</f>
        <v>0</v>
      </c>
      <c r="AO187" s="89">
        <f>'[1]OMM_Unit Matrix'!AO187</f>
        <v>0</v>
      </c>
      <c r="AP187" s="89">
        <f>'[1]OMM_Unit Matrix'!AP187</f>
        <v>0</v>
      </c>
      <c r="AQ187" s="270">
        <f>'[1]OMM_Unit Matrix'!AQ187</f>
        <v>0</v>
      </c>
    </row>
    <row r="188" spans="2:43">
      <c r="B188" s="89">
        <f>'[1]OMM_Unit Matrix'!B188</f>
        <v>8</v>
      </c>
      <c r="C188" s="275">
        <f>'[1]OMM_Unit Matrix'!C188</f>
        <v>10</v>
      </c>
      <c r="D188" s="89">
        <f>'[1]OMM_Unit Matrix'!D188</f>
        <v>8010</v>
      </c>
      <c r="E188" s="89" t="str">
        <f>'[1]OMM_Unit Matrix'!E188</f>
        <v>YES</v>
      </c>
      <c r="F188" s="132">
        <f>'[1]OMM_Unit Matrix'!F188</f>
        <v>8010.11</v>
      </c>
      <c r="G188" s="89" t="str">
        <f>'[1]OMM_Unit Matrix'!G188</f>
        <v>PENDING</v>
      </c>
      <c r="H188" s="89">
        <f>'[1]OMM_Unit Matrix'!H188</f>
        <v>0</v>
      </c>
      <c r="I188" s="89">
        <f>'[1]OMM_Unit Matrix'!I188</f>
        <v>0</v>
      </c>
      <c r="J188" s="89">
        <f>'[1]OMM_Unit Matrix'!J188</f>
        <v>0</v>
      </c>
      <c r="K188" s="89">
        <f>'[1]OMM_Unit Matrix'!K188</f>
        <v>0</v>
      </c>
      <c r="L188" s="89">
        <f>'[1]OMM_Unit Matrix'!L188</f>
        <v>0</v>
      </c>
      <c r="M188" s="89">
        <f>'[1]OMM_Unit Matrix'!M188</f>
        <v>0</v>
      </c>
      <c r="N188" s="89">
        <f>'[1]OMM_Unit Matrix'!N188</f>
        <v>0</v>
      </c>
      <c r="O188" s="89">
        <f>'[1]OMM_Unit Matrix'!O188</f>
        <v>0</v>
      </c>
      <c r="P188" s="89">
        <f>'[1]OMM_Unit Matrix'!P188</f>
        <v>0</v>
      </c>
      <c r="Q188" s="89">
        <f>'[1]OMM_Unit Matrix'!Q188</f>
        <v>0</v>
      </c>
      <c r="R188" s="89">
        <f>'[1]OMM_Unit Matrix'!R188</f>
        <v>0</v>
      </c>
      <c r="S188" s="89">
        <f>'[1]OMM_Unit Matrix'!S188</f>
        <v>0</v>
      </c>
      <c r="T188" s="89">
        <f>'[1]OMM_Unit Matrix'!T188</f>
        <v>0</v>
      </c>
      <c r="U188" s="89">
        <f>'[1]OMM_Unit Matrix'!U188</f>
        <v>0</v>
      </c>
      <c r="V188" s="89">
        <f>'[1]OMM_Unit Matrix'!V188</f>
        <v>0</v>
      </c>
      <c r="W188" s="89">
        <f>'[1]OMM_Unit Matrix'!W188</f>
        <v>0</v>
      </c>
      <c r="X188" s="89">
        <f>'[1]OMM_Unit Matrix'!X188</f>
        <v>0</v>
      </c>
      <c r="Y188" s="89">
        <f>'[1]OMM_Unit Matrix'!Y188</f>
        <v>0</v>
      </c>
      <c r="Z188" s="89">
        <f>'[1]OMM_Unit Matrix'!Z188</f>
        <v>0</v>
      </c>
      <c r="AA188" s="89">
        <f>'[1]OMM_Unit Matrix'!AA188</f>
        <v>0</v>
      </c>
      <c r="AB188" s="89">
        <f>'[1]OMM_Unit Matrix'!AB188</f>
        <v>0</v>
      </c>
      <c r="AC188" s="89">
        <f>'[1]OMM_Unit Matrix'!AC188</f>
        <v>0</v>
      </c>
      <c r="AD188" s="89">
        <f>'[1]OMM_Unit Matrix'!AD188</f>
        <v>0</v>
      </c>
      <c r="AE188" s="89">
        <f>'[1]OMM_Unit Matrix'!AE188</f>
        <v>0</v>
      </c>
      <c r="AF188" s="89">
        <f>'[1]OMM_Unit Matrix'!AF188</f>
        <v>0</v>
      </c>
      <c r="AG188" s="89">
        <f>'[1]OMM_Unit Matrix'!AG188</f>
        <v>0</v>
      </c>
      <c r="AH188" s="89">
        <f>'[1]OMM_Unit Matrix'!AH188</f>
        <v>0</v>
      </c>
      <c r="AI188" s="89">
        <f>'[1]OMM_Unit Matrix'!AI188</f>
        <v>0</v>
      </c>
      <c r="AJ188" s="89">
        <f>'[1]OMM_Unit Matrix'!AJ188</f>
        <v>0</v>
      </c>
      <c r="AK188" s="89">
        <f>'[1]OMM_Unit Matrix'!AK188</f>
        <v>0</v>
      </c>
      <c r="AL188" s="89">
        <f>'[1]OMM_Unit Matrix'!AL188</f>
        <v>0</v>
      </c>
      <c r="AM188" s="89">
        <f>'[1]OMM_Unit Matrix'!AM188</f>
        <v>0</v>
      </c>
      <c r="AN188" s="89">
        <f>'[1]OMM_Unit Matrix'!AN188</f>
        <v>0</v>
      </c>
      <c r="AO188" s="89">
        <f>'[1]OMM_Unit Matrix'!AO188</f>
        <v>0</v>
      </c>
      <c r="AP188" s="89">
        <f>'[1]OMM_Unit Matrix'!AP188</f>
        <v>0</v>
      </c>
      <c r="AQ188" s="270">
        <f>'[1]OMM_Unit Matrix'!AQ188</f>
        <v>0</v>
      </c>
    </row>
    <row r="189" spans="2:43">
      <c r="B189" s="89">
        <f>'[1]OMM_Unit Matrix'!B189</f>
        <v>8</v>
      </c>
      <c r="C189" s="275">
        <f>'[1]OMM_Unit Matrix'!C189</f>
        <v>11</v>
      </c>
      <c r="D189" s="89">
        <f>'[1]OMM_Unit Matrix'!D189</f>
        <v>8011</v>
      </c>
      <c r="E189" s="89" t="str">
        <f>'[1]OMM_Unit Matrix'!E189</f>
        <v>YES</v>
      </c>
      <c r="F189" s="132">
        <f>'[1]OMM_Unit Matrix'!F189</f>
        <v>8010.11</v>
      </c>
      <c r="G189" s="89" t="str">
        <f>'[1]OMM_Unit Matrix'!G189</f>
        <v>PENDING</v>
      </c>
      <c r="H189" s="89">
        <f>'[1]OMM_Unit Matrix'!H189</f>
        <v>0</v>
      </c>
      <c r="I189" s="89">
        <f>'[1]OMM_Unit Matrix'!I189</f>
        <v>0</v>
      </c>
      <c r="J189" s="89">
        <f>'[1]OMM_Unit Matrix'!J189</f>
        <v>0</v>
      </c>
      <c r="K189" s="89">
        <f>'[1]OMM_Unit Matrix'!K189</f>
        <v>0</v>
      </c>
      <c r="L189" s="89">
        <f>'[1]OMM_Unit Matrix'!L189</f>
        <v>0</v>
      </c>
      <c r="M189" s="89">
        <f>'[1]OMM_Unit Matrix'!M189</f>
        <v>0</v>
      </c>
      <c r="N189" s="89">
        <f>'[1]OMM_Unit Matrix'!N189</f>
        <v>0</v>
      </c>
      <c r="O189" s="89">
        <f>'[1]OMM_Unit Matrix'!O189</f>
        <v>0</v>
      </c>
      <c r="P189" s="89">
        <f>'[1]OMM_Unit Matrix'!P189</f>
        <v>0</v>
      </c>
      <c r="Q189" s="89">
        <f>'[1]OMM_Unit Matrix'!Q189</f>
        <v>0</v>
      </c>
      <c r="R189" s="89">
        <f>'[1]OMM_Unit Matrix'!R189</f>
        <v>0</v>
      </c>
      <c r="S189" s="89">
        <f>'[1]OMM_Unit Matrix'!S189</f>
        <v>0</v>
      </c>
      <c r="T189" s="89">
        <f>'[1]OMM_Unit Matrix'!T189</f>
        <v>0</v>
      </c>
      <c r="U189" s="89">
        <f>'[1]OMM_Unit Matrix'!U189</f>
        <v>0</v>
      </c>
      <c r="V189" s="89">
        <f>'[1]OMM_Unit Matrix'!V189</f>
        <v>0</v>
      </c>
      <c r="W189" s="89">
        <f>'[1]OMM_Unit Matrix'!W189</f>
        <v>0</v>
      </c>
      <c r="X189" s="89">
        <f>'[1]OMM_Unit Matrix'!X189</f>
        <v>0</v>
      </c>
      <c r="Y189" s="89">
        <f>'[1]OMM_Unit Matrix'!Y189</f>
        <v>0</v>
      </c>
      <c r="Z189" s="89">
        <f>'[1]OMM_Unit Matrix'!Z189</f>
        <v>0</v>
      </c>
      <c r="AA189" s="89">
        <f>'[1]OMM_Unit Matrix'!AA189</f>
        <v>0</v>
      </c>
      <c r="AB189" s="89">
        <f>'[1]OMM_Unit Matrix'!AB189</f>
        <v>0</v>
      </c>
      <c r="AC189" s="89">
        <f>'[1]OMM_Unit Matrix'!AC189</f>
        <v>0</v>
      </c>
      <c r="AD189" s="89">
        <f>'[1]OMM_Unit Matrix'!AD189</f>
        <v>0</v>
      </c>
      <c r="AE189" s="89">
        <f>'[1]OMM_Unit Matrix'!AE189</f>
        <v>0</v>
      </c>
      <c r="AF189" s="89">
        <f>'[1]OMM_Unit Matrix'!AF189</f>
        <v>0</v>
      </c>
      <c r="AG189" s="89">
        <f>'[1]OMM_Unit Matrix'!AG189</f>
        <v>0</v>
      </c>
      <c r="AH189" s="89">
        <f>'[1]OMM_Unit Matrix'!AH189</f>
        <v>0</v>
      </c>
      <c r="AI189" s="89">
        <f>'[1]OMM_Unit Matrix'!AI189</f>
        <v>0</v>
      </c>
      <c r="AJ189" s="89">
        <f>'[1]OMM_Unit Matrix'!AJ189</f>
        <v>0</v>
      </c>
      <c r="AK189" s="89">
        <f>'[1]OMM_Unit Matrix'!AK189</f>
        <v>0</v>
      </c>
      <c r="AL189" s="89">
        <f>'[1]OMM_Unit Matrix'!AL189</f>
        <v>0</v>
      </c>
      <c r="AM189" s="89">
        <f>'[1]OMM_Unit Matrix'!AM189</f>
        <v>0</v>
      </c>
      <c r="AN189" s="89">
        <f>'[1]OMM_Unit Matrix'!AN189</f>
        <v>0</v>
      </c>
      <c r="AO189" s="89">
        <f>'[1]OMM_Unit Matrix'!AO189</f>
        <v>0</v>
      </c>
      <c r="AP189" s="89">
        <f>'[1]OMM_Unit Matrix'!AP189</f>
        <v>0</v>
      </c>
      <c r="AQ189" s="270">
        <f>'[1]OMM_Unit Matrix'!AQ189</f>
        <v>0</v>
      </c>
    </row>
    <row r="190" spans="2:43">
      <c r="B190" s="89">
        <f>'[1]OMM_Unit Matrix'!B190</f>
        <v>8</v>
      </c>
      <c r="C190" s="275">
        <f>'[1]OMM_Unit Matrix'!C190</f>
        <v>12</v>
      </c>
      <c r="D190" s="89">
        <f>'[1]OMM_Unit Matrix'!D190</f>
        <v>8012</v>
      </c>
      <c r="E190" s="89" t="str">
        <f>'[1]OMM_Unit Matrix'!E190</f>
        <v>NO</v>
      </c>
      <c r="F190" s="132">
        <f>'[1]OMM_Unit Matrix'!F190</f>
        <v>0</v>
      </c>
      <c r="G190" s="89" t="str">
        <f>'[1]OMM_Unit Matrix'!G190</f>
        <v>PENDING</v>
      </c>
      <c r="H190" s="89">
        <f>'[1]OMM_Unit Matrix'!H190</f>
        <v>0</v>
      </c>
      <c r="I190" s="89">
        <f>'[1]OMM_Unit Matrix'!I190</f>
        <v>0</v>
      </c>
      <c r="J190" s="89">
        <f>'[1]OMM_Unit Matrix'!J190</f>
        <v>0</v>
      </c>
      <c r="K190" s="89">
        <f>'[1]OMM_Unit Matrix'!K190</f>
        <v>0</v>
      </c>
      <c r="L190" s="89">
        <f>'[1]OMM_Unit Matrix'!L190</f>
        <v>0</v>
      </c>
      <c r="M190" s="89">
        <f>'[1]OMM_Unit Matrix'!M190</f>
        <v>0</v>
      </c>
      <c r="N190" s="89">
        <f>'[1]OMM_Unit Matrix'!N190</f>
        <v>0</v>
      </c>
      <c r="O190" s="89">
        <f>'[1]OMM_Unit Matrix'!O190</f>
        <v>0</v>
      </c>
      <c r="P190" s="89">
        <f>'[1]OMM_Unit Matrix'!P190</f>
        <v>0</v>
      </c>
      <c r="Q190" s="89">
        <f>'[1]OMM_Unit Matrix'!Q190</f>
        <v>0</v>
      </c>
      <c r="R190" s="89">
        <f>'[1]OMM_Unit Matrix'!R190</f>
        <v>0</v>
      </c>
      <c r="S190" s="89">
        <f>'[1]OMM_Unit Matrix'!S190</f>
        <v>0</v>
      </c>
      <c r="T190" s="89">
        <f>'[1]OMM_Unit Matrix'!T190</f>
        <v>0</v>
      </c>
      <c r="U190" s="89">
        <f>'[1]OMM_Unit Matrix'!U190</f>
        <v>0</v>
      </c>
      <c r="V190" s="89">
        <f>'[1]OMM_Unit Matrix'!V190</f>
        <v>0</v>
      </c>
      <c r="W190" s="89">
        <f>'[1]OMM_Unit Matrix'!W190</f>
        <v>0</v>
      </c>
      <c r="X190" s="89">
        <f>'[1]OMM_Unit Matrix'!X190</f>
        <v>0</v>
      </c>
      <c r="Y190" s="89">
        <f>'[1]OMM_Unit Matrix'!Y190</f>
        <v>0</v>
      </c>
      <c r="Z190" s="89">
        <f>'[1]OMM_Unit Matrix'!Z190</f>
        <v>0</v>
      </c>
      <c r="AA190" s="89">
        <f>'[1]OMM_Unit Matrix'!AA190</f>
        <v>0</v>
      </c>
      <c r="AB190" s="89">
        <f>'[1]OMM_Unit Matrix'!AB190</f>
        <v>0</v>
      </c>
      <c r="AC190" s="89">
        <f>'[1]OMM_Unit Matrix'!AC190</f>
        <v>0</v>
      </c>
      <c r="AD190" s="89">
        <f>'[1]OMM_Unit Matrix'!AD190</f>
        <v>0</v>
      </c>
      <c r="AE190" s="89">
        <f>'[1]OMM_Unit Matrix'!AE190</f>
        <v>0</v>
      </c>
      <c r="AF190" s="89">
        <f>'[1]OMM_Unit Matrix'!AF190</f>
        <v>0</v>
      </c>
      <c r="AG190" s="89">
        <f>'[1]OMM_Unit Matrix'!AG190</f>
        <v>0</v>
      </c>
      <c r="AH190" s="89">
        <f>'[1]OMM_Unit Matrix'!AH190</f>
        <v>0</v>
      </c>
      <c r="AI190" s="89">
        <f>'[1]OMM_Unit Matrix'!AI190</f>
        <v>0</v>
      </c>
      <c r="AJ190" s="89">
        <f>'[1]OMM_Unit Matrix'!AJ190</f>
        <v>0</v>
      </c>
      <c r="AK190" s="89">
        <f>'[1]OMM_Unit Matrix'!AK190</f>
        <v>0</v>
      </c>
      <c r="AL190" s="89">
        <f>'[1]OMM_Unit Matrix'!AL190</f>
        <v>0</v>
      </c>
      <c r="AM190" s="89">
        <f>'[1]OMM_Unit Matrix'!AM190</f>
        <v>0</v>
      </c>
      <c r="AN190" s="89">
        <f>'[1]OMM_Unit Matrix'!AN190</f>
        <v>0</v>
      </c>
      <c r="AO190" s="89">
        <f>'[1]OMM_Unit Matrix'!AO190</f>
        <v>0</v>
      </c>
      <c r="AP190" s="89">
        <f>'[1]OMM_Unit Matrix'!AP190</f>
        <v>0</v>
      </c>
      <c r="AQ190" s="270">
        <f>'[1]OMM_Unit Matrix'!AQ190</f>
        <v>0</v>
      </c>
    </row>
    <row r="191" spans="2:43" hidden="1">
      <c r="B191" s="89">
        <f>'[1]OMM_Unit Matrix'!B191</f>
        <v>8</v>
      </c>
      <c r="C191" s="275">
        <f>'[1]OMM_Unit Matrix'!C191</f>
        <v>13</v>
      </c>
      <c r="D191" s="89">
        <f>'[1]OMM_Unit Matrix'!D191</f>
        <v>8013</v>
      </c>
      <c r="E191" s="89">
        <f>'[1]OMM_Unit Matrix'!E191</f>
        <v>0</v>
      </c>
      <c r="F191" s="89">
        <f>'[1]OMM_Unit Matrix'!F191</f>
        <v>0</v>
      </c>
      <c r="G191" s="89" t="str">
        <f>'[1]OMM_Unit Matrix'!G191</f>
        <v>NOT IN SCOPE</v>
      </c>
      <c r="H191" s="89">
        <f>'[1]OMM_Unit Matrix'!H191</f>
        <v>0</v>
      </c>
      <c r="I191" s="89">
        <f>'[1]OMM_Unit Matrix'!I191</f>
        <v>0</v>
      </c>
      <c r="J191" s="89">
        <f>'[1]OMM_Unit Matrix'!J191</f>
        <v>0</v>
      </c>
      <c r="K191" s="89">
        <f>'[1]OMM_Unit Matrix'!K191</f>
        <v>0</v>
      </c>
      <c r="L191" s="89">
        <f>'[1]OMM_Unit Matrix'!L191</f>
        <v>0</v>
      </c>
      <c r="M191" s="89">
        <f>'[1]OMM_Unit Matrix'!M191</f>
        <v>0</v>
      </c>
      <c r="N191" s="89">
        <f>'[1]OMM_Unit Matrix'!N191</f>
        <v>0</v>
      </c>
      <c r="O191" s="89">
        <f>'[1]OMM_Unit Matrix'!O191</f>
        <v>0</v>
      </c>
      <c r="P191" s="89">
        <f>'[1]OMM_Unit Matrix'!P191</f>
        <v>0</v>
      </c>
      <c r="Q191" s="89">
        <f>'[1]OMM_Unit Matrix'!Q191</f>
        <v>0</v>
      </c>
      <c r="R191" s="89">
        <f>'[1]OMM_Unit Matrix'!R191</f>
        <v>0</v>
      </c>
      <c r="S191" s="89">
        <f>'[1]OMM_Unit Matrix'!S191</f>
        <v>0</v>
      </c>
      <c r="T191" s="89">
        <f>'[1]OMM_Unit Matrix'!T191</f>
        <v>0</v>
      </c>
      <c r="U191" s="89">
        <f>'[1]OMM_Unit Matrix'!U191</f>
        <v>0</v>
      </c>
      <c r="V191" s="89">
        <f>'[1]OMM_Unit Matrix'!V191</f>
        <v>0</v>
      </c>
      <c r="W191" s="89">
        <f>'[1]OMM_Unit Matrix'!W191</f>
        <v>0</v>
      </c>
      <c r="X191" s="89">
        <f>'[1]OMM_Unit Matrix'!X191</f>
        <v>0</v>
      </c>
      <c r="Y191" s="89">
        <f>'[1]OMM_Unit Matrix'!Y191</f>
        <v>0</v>
      </c>
      <c r="Z191" s="89">
        <f>'[1]OMM_Unit Matrix'!Z191</f>
        <v>0</v>
      </c>
      <c r="AA191" s="89">
        <f>'[1]OMM_Unit Matrix'!AA191</f>
        <v>0</v>
      </c>
      <c r="AB191" s="89">
        <f>'[1]OMM_Unit Matrix'!AB191</f>
        <v>0</v>
      </c>
      <c r="AC191" s="89">
        <f>'[1]OMM_Unit Matrix'!AC191</f>
        <v>0</v>
      </c>
      <c r="AD191" s="89">
        <f>'[1]OMM_Unit Matrix'!AD191</f>
        <v>0</v>
      </c>
      <c r="AE191" s="89">
        <f>'[1]OMM_Unit Matrix'!AE191</f>
        <v>0</v>
      </c>
      <c r="AF191" s="89">
        <f>'[1]OMM_Unit Matrix'!AF191</f>
        <v>0</v>
      </c>
      <c r="AG191" s="89">
        <f>'[1]OMM_Unit Matrix'!AG191</f>
        <v>0</v>
      </c>
      <c r="AH191" s="89">
        <f>'[1]OMM_Unit Matrix'!AH191</f>
        <v>0</v>
      </c>
      <c r="AI191" s="89">
        <f>'[1]OMM_Unit Matrix'!AI191</f>
        <v>0</v>
      </c>
      <c r="AJ191" s="89">
        <f>'[1]OMM_Unit Matrix'!AJ191</f>
        <v>0</v>
      </c>
      <c r="AK191" s="89">
        <f>'[1]OMM_Unit Matrix'!AK191</f>
        <v>0</v>
      </c>
      <c r="AL191" s="89">
        <f>'[1]OMM_Unit Matrix'!AL191</f>
        <v>0</v>
      </c>
      <c r="AM191" s="89">
        <f>'[1]OMM_Unit Matrix'!AM191</f>
        <v>0</v>
      </c>
      <c r="AN191" s="89">
        <f>'[1]OMM_Unit Matrix'!AN191</f>
        <v>0</v>
      </c>
      <c r="AO191" s="89">
        <f>'[1]OMM_Unit Matrix'!AO191</f>
        <v>0</v>
      </c>
      <c r="AP191" s="89">
        <f>'[1]OMM_Unit Matrix'!AP191</f>
        <v>0</v>
      </c>
      <c r="AQ191" s="270">
        <f>'[1]OMM_Unit Matrix'!AQ191</f>
        <v>0</v>
      </c>
    </row>
    <row r="192" spans="2:43" hidden="1">
      <c r="B192" s="89">
        <f>'[1]OMM_Unit Matrix'!B192</f>
        <v>8</v>
      </c>
      <c r="C192" s="275">
        <f>'[1]OMM_Unit Matrix'!C192</f>
        <v>14</v>
      </c>
      <c r="D192" s="89">
        <f>'[1]OMM_Unit Matrix'!D192</f>
        <v>8014</v>
      </c>
      <c r="E192" s="89">
        <f>'[1]OMM_Unit Matrix'!E192</f>
        <v>0</v>
      </c>
      <c r="F192" s="89">
        <f>'[1]OMM_Unit Matrix'!F192</f>
        <v>0</v>
      </c>
      <c r="G192" s="89" t="str">
        <f>'[1]OMM_Unit Matrix'!G192</f>
        <v>NOT IN SCOPE</v>
      </c>
      <c r="H192" s="89">
        <f>'[1]OMM_Unit Matrix'!H192</f>
        <v>0</v>
      </c>
      <c r="I192" s="89">
        <f>'[1]OMM_Unit Matrix'!I192</f>
        <v>0</v>
      </c>
      <c r="J192" s="89">
        <f>'[1]OMM_Unit Matrix'!J192</f>
        <v>0</v>
      </c>
      <c r="K192" s="89">
        <f>'[1]OMM_Unit Matrix'!K192</f>
        <v>0</v>
      </c>
      <c r="L192" s="89">
        <f>'[1]OMM_Unit Matrix'!L192</f>
        <v>0</v>
      </c>
      <c r="M192" s="89">
        <f>'[1]OMM_Unit Matrix'!M192</f>
        <v>0</v>
      </c>
      <c r="N192" s="89">
        <f>'[1]OMM_Unit Matrix'!N192</f>
        <v>0</v>
      </c>
      <c r="O192" s="89">
        <f>'[1]OMM_Unit Matrix'!O192</f>
        <v>0</v>
      </c>
      <c r="P192" s="89">
        <f>'[1]OMM_Unit Matrix'!P192</f>
        <v>0</v>
      </c>
      <c r="Q192" s="89">
        <f>'[1]OMM_Unit Matrix'!Q192</f>
        <v>0</v>
      </c>
      <c r="R192" s="89">
        <f>'[1]OMM_Unit Matrix'!R192</f>
        <v>0</v>
      </c>
      <c r="S192" s="89">
        <f>'[1]OMM_Unit Matrix'!S192</f>
        <v>0</v>
      </c>
      <c r="T192" s="89">
        <f>'[1]OMM_Unit Matrix'!T192</f>
        <v>0</v>
      </c>
      <c r="U192" s="89">
        <f>'[1]OMM_Unit Matrix'!U192</f>
        <v>0</v>
      </c>
      <c r="V192" s="89">
        <f>'[1]OMM_Unit Matrix'!V192</f>
        <v>0</v>
      </c>
      <c r="W192" s="89">
        <f>'[1]OMM_Unit Matrix'!W192</f>
        <v>0</v>
      </c>
      <c r="X192" s="89">
        <f>'[1]OMM_Unit Matrix'!X192</f>
        <v>0</v>
      </c>
      <c r="Y192" s="89">
        <f>'[1]OMM_Unit Matrix'!Y192</f>
        <v>0</v>
      </c>
      <c r="Z192" s="89">
        <f>'[1]OMM_Unit Matrix'!Z192</f>
        <v>0</v>
      </c>
      <c r="AA192" s="89">
        <f>'[1]OMM_Unit Matrix'!AA192</f>
        <v>0</v>
      </c>
      <c r="AB192" s="89">
        <f>'[1]OMM_Unit Matrix'!AB192</f>
        <v>0</v>
      </c>
      <c r="AC192" s="89">
        <f>'[1]OMM_Unit Matrix'!AC192</f>
        <v>0</v>
      </c>
      <c r="AD192" s="89">
        <f>'[1]OMM_Unit Matrix'!AD192</f>
        <v>0</v>
      </c>
      <c r="AE192" s="89">
        <f>'[1]OMM_Unit Matrix'!AE192</f>
        <v>0</v>
      </c>
      <c r="AF192" s="89">
        <f>'[1]OMM_Unit Matrix'!AF192</f>
        <v>0</v>
      </c>
      <c r="AG192" s="89">
        <f>'[1]OMM_Unit Matrix'!AG192</f>
        <v>0</v>
      </c>
      <c r="AH192" s="89">
        <f>'[1]OMM_Unit Matrix'!AH192</f>
        <v>0</v>
      </c>
      <c r="AI192" s="89">
        <f>'[1]OMM_Unit Matrix'!AI192</f>
        <v>0</v>
      </c>
      <c r="AJ192" s="89">
        <f>'[1]OMM_Unit Matrix'!AJ192</f>
        <v>0</v>
      </c>
      <c r="AK192" s="89">
        <f>'[1]OMM_Unit Matrix'!AK192</f>
        <v>0</v>
      </c>
      <c r="AL192" s="89">
        <f>'[1]OMM_Unit Matrix'!AL192</f>
        <v>0</v>
      </c>
      <c r="AM192" s="89">
        <f>'[1]OMM_Unit Matrix'!AM192</f>
        <v>0</v>
      </c>
      <c r="AN192" s="89">
        <f>'[1]OMM_Unit Matrix'!AN192</f>
        <v>0</v>
      </c>
      <c r="AO192" s="89">
        <f>'[1]OMM_Unit Matrix'!AO192</f>
        <v>0</v>
      </c>
      <c r="AP192" s="89">
        <f>'[1]OMM_Unit Matrix'!AP192</f>
        <v>0</v>
      </c>
      <c r="AQ192" s="270">
        <f>'[1]OMM_Unit Matrix'!AQ192</f>
        <v>0</v>
      </c>
    </row>
    <row r="193" spans="2:43" hidden="1">
      <c r="B193" s="89">
        <f>'[1]OMM_Unit Matrix'!B193</f>
        <v>8</v>
      </c>
      <c r="C193" s="275">
        <f>'[1]OMM_Unit Matrix'!C193</f>
        <v>15</v>
      </c>
      <c r="D193" s="89">
        <f>'[1]OMM_Unit Matrix'!D193</f>
        <v>8015</v>
      </c>
      <c r="E193" s="89">
        <f>'[1]OMM_Unit Matrix'!E193</f>
        <v>0</v>
      </c>
      <c r="F193" s="89">
        <f>'[1]OMM_Unit Matrix'!F193</f>
        <v>0</v>
      </c>
      <c r="G193" s="89" t="str">
        <f>'[1]OMM_Unit Matrix'!G193</f>
        <v>NOT IN SCOPE</v>
      </c>
      <c r="H193" s="89">
        <f>'[1]OMM_Unit Matrix'!H193</f>
        <v>0</v>
      </c>
      <c r="I193" s="89">
        <f>'[1]OMM_Unit Matrix'!I193</f>
        <v>0</v>
      </c>
      <c r="J193" s="89">
        <f>'[1]OMM_Unit Matrix'!J193</f>
        <v>0</v>
      </c>
      <c r="K193" s="89">
        <f>'[1]OMM_Unit Matrix'!K193</f>
        <v>0</v>
      </c>
      <c r="L193" s="89">
        <f>'[1]OMM_Unit Matrix'!L193</f>
        <v>0</v>
      </c>
      <c r="M193" s="89">
        <f>'[1]OMM_Unit Matrix'!M193</f>
        <v>0</v>
      </c>
      <c r="N193" s="89">
        <f>'[1]OMM_Unit Matrix'!N193</f>
        <v>0</v>
      </c>
      <c r="O193" s="89">
        <f>'[1]OMM_Unit Matrix'!O193</f>
        <v>0</v>
      </c>
      <c r="P193" s="89">
        <f>'[1]OMM_Unit Matrix'!P193</f>
        <v>0</v>
      </c>
      <c r="Q193" s="89">
        <f>'[1]OMM_Unit Matrix'!Q193</f>
        <v>0</v>
      </c>
      <c r="R193" s="89">
        <f>'[1]OMM_Unit Matrix'!R193</f>
        <v>0</v>
      </c>
      <c r="S193" s="89">
        <f>'[1]OMM_Unit Matrix'!S193</f>
        <v>0</v>
      </c>
      <c r="T193" s="89">
        <f>'[1]OMM_Unit Matrix'!T193</f>
        <v>0</v>
      </c>
      <c r="U193" s="89">
        <f>'[1]OMM_Unit Matrix'!U193</f>
        <v>0</v>
      </c>
      <c r="V193" s="89">
        <f>'[1]OMM_Unit Matrix'!V193</f>
        <v>0</v>
      </c>
      <c r="W193" s="89">
        <f>'[1]OMM_Unit Matrix'!W193</f>
        <v>0</v>
      </c>
      <c r="X193" s="89">
        <f>'[1]OMM_Unit Matrix'!X193</f>
        <v>0</v>
      </c>
      <c r="Y193" s="89">
        <f>'[1]OMM_Unit Matrix'!Y193</f>
        <v>0</v>
      </c>
      <c r="Z193" s="89">
        <f>'[1]OMM_Unit Matrix'!Z193</f>
        <v>0</v>
      </c>
      <c r="AA193" s="89">
        <f>'[1]OMM_Unit Matrix'!AA193</f>
        <v>0</v>
      </c>
      <c r="AB193" s="89">
        <f>'[1]OMM_Unit Matrix'!AB193</f>
        <v>0</v>
      </c>
      <c r="AC193" s="89">
        <f>'[1]OMM_Unit Matrix'!AC193</f>
        <v>0</v>
      </c>
      <c r="AD193" s="89">
        <f>'[1]OMM_Unit Matrix'!AD193</f>
        <v>0</v>
      </c>
      <c r="AE193" s="89">
        <f>'[1]OMM_Unit Matrix'!AE193</f>
        <v>0</v>
      </c>
      <c r="AF193" s="89">
        <f>'[1]OMM_Unit Matrix'!AF193</f>
        <v>0</v>
      </c>
      <c r="AG193" s="89">
        <f>'[1]OMM_Unit Matrix'!AG193</f>
        <v>0</v>
      </c>
      <c r="AH193" s="89">
        <f>'[1]OMM_Unit Matrix'!AH193</f>
        <v>0</v>
      </c>
      <c r="AI193" s="89">
        <f>'[1]OMM_Unit Matrix'!AI193</f>
        <v>0</v>
      </c>
      <c r="AJ193" s="89">
        <f>'[1]OMM_Unit Matrix'!AJ193</f>
        <v>0</v>
      </c>
      <c r="AK193" s="89">
        <f>'[1]OMM_Unit Matrix'!AK193</f>
        <v>0</v>
      </c>
      <c r="AL193" s="89">
        <f>'[1]OMM_Unit Matrix'!AL193</f>
        <v>0</v>
      </c>
      <c r="AM193" s="89">
        <f>'[1]OMM_Unit Matrix'!AM193</f>
        <v>0</v>
      </c>
      <c r="AN193" s="89">
        <f>'[1]OMM_Unit Matrix'!AN193</f>
        <v>0</v>
      </c>
      <c r="AO193" s="89">
        <f>'[1]OMM_Unit Matrix'!AO193</f>
        <v>0</v>
      </c>
      <c r="AP193" s="89">
        <f>'[1]OMM_Unit Matrix'!AP193</f>
        <v>0</v>
      </c>
      <c r="AQ193" s="270">
        <f>'[1]OMM_Unit Matrix'!AQ193</f>
        <v>0</v>
      </c>
    </row>
    <row r="194" spans="2:43" hidden="1">
      <c r="B194" s="89">
        <f>'[1]OMM_Unit Matrix'!B194</f>
        <v>8</v>
      </c>
      <c r="C194" s="275">
        <f>'[1]OMM_Unit Matrix'!C194</f>
        <v>16</v>
      </c>
      <c r="D194" s="89">
        <f>'[1]OMM_Unit Matrix'!D194</f>
        <v>8016</v>
      </c>
      <c r="E194" s="89">
        <f>'[1]OMM_Unit Matrix'!E194</f>
        <v>0</v>
      </c>
      <c r="F194" s="89">
        <f>'[1]OMM_Unit Matrix'!F194</f>
        <v>0</v>
      </c>
      <c r="G194" s="89" t="str">
        <f>'[1]OMM_Unit Matrix'!G194</f>
        <v>NOT IN SCOPE</v>
      </c>
      <c r="H194" s="89">
        <f>'[1]OMM_Unit Matrix'!H194</f>
        <v>0</v>
      </c>
      <c r="I194" s="89">
        <f>'[1]OMM_Unit Matrix'!I194</f>
        <v>0</v>
      </c>
      <c r="J194" s="89">
        <f>'[1]OMM_Unit Matrix'!J194</f>
        <v>0</v>
      </c>
      <c r="K194" s="89">
        <f>'[1]OMM_Unit Matrix'!K194</f>
        <v>0</v>
      </c>
      <c r="L194" s="89">
        <f>'[1]OMM_Unit Matrix'!L194</f>
        <v>0</v>
      </c>
      <c r="M194" s="89">
        <f>'[1]OMM_Unit Matrix'!M194</f>
        <v>0</v>
      </c>
      <c r="N194" s="89">
        <f>'[1]OMM_Unit Matrix'!N194</f>
        <v>0</v>
      </c>
      <c r="O194" s="89">
        <f>'[1]OMM_Unit Matrix'!O194</f>
        <v>0</v>
      </c>
      <c r="P194" s="89">
        <f>'[1]OMM_Unit Matrix'!P194</f>
        <v>0</v>
      </c>
      <c r="Q194" s="89">
        <f>'[1]OMM_Unit Matrix'!Q194</f>
        <v>0</v>
      </c>
      <c r="R194" s="89">
        <f>'[1]OMM_Unit Matrix'!R194</f>
        <v>0</v>
      </c>
      <c r="S194" s="89">
        <f>'[1]OMM_Unit Matrix'!S194</f>
        <v>0</v>
      </c>
      <c r="T194" s="89">
        <f>'[1]OMM_Unit Matrix'!T194</f>
        <v>0</v>
      </c>
      <c r="U194" s="89">
        <f>'[1]OMM_Unit Matrix'!U194</f>
        <v>0</v>
      </c>
      <c r="V194" s="89">
        <f>'[1]OMM_Unit Matrix'!V194</f>
        <v>0</v>
      </c>
      <c r="W194" s="89">
        <f>'[1]OMM_Unit Matrix'!W194</f>
        <v>0</v>
      </c>
      <c r="X194" s="89">
        <f>'[1]OMM_Unit Matrix'!X194</f>
        <v>0</v>
      </c>
      <c r="Y194" s="89">
        <f>'[1]OMM_Unit Matrix'!Y194</f>
        <v>0</v>
      </c>
      <c r="Z194" s="89">
        <f>'[1]OMM_Unit Matrix'!Z194</f>
        <v>0</v>
      </c>
      <c r="AA194" s="89">
        <f>'[1]OMM_Unit Matrix'!AA194</f>
        <v>0</v>
      </c>
      <c r="AB194" s="89">
        <f>'[1]OMM_Unit Matrix'!AB194</f>
        <v>0</v>
      </c>
      <c r="AC194" s="89">
        <f>'[1]OMM_Unit Matrix'!AC194</f>
        <v>0</v>
      </c>
      <c r="AD194" s="89">
        <f>'[1]OMM_Unit Matrix'!AD194</f>
        <v>0</v>
      </c>
      <c r="AE194" s="89">
        <f>'[1]OMM_Unit Matrix'!AE194</f>
        <v>0</v>
      </c>
      <c r="AF194" s="89">
        <f>'[1]OMM_Unit Matrix'!AF194</f>
        <v>0</v>
      </c>
      <c r="AG194" s="89">
        <f>'[1]OMM_Unit Matrix'!AG194</f>
        <v>0</v>
      </c>
      <c r="AH194" s="89">
        <f>'[1]OMM_Unit Matrix'!AH194</f>
        <v>0</v>
      </c>
      <c r="AI194" s="89">
        <f>'[1]OMM_Unit Matrix'!AI194</f>
        <v>0</v>
      </c>
      <c r="AJ194" s="89">
        <f>'[1]OMM_Unit Matrix'!AJ194</f>
        <v>0</v>
      </c>
      <c r="AK194" s="89">
        <f>'[1]OMM_Unit Matrix'!AK194</f>
        <v>0</v>
      </c>
      <c r="AL194" s="89">
        <f>'[1]OMM_Unit Matrix'!AL194</f>
        <v>0</v>
      </c>
      <c r="AM194" s="89">
        <f>'[1]OMM_Unit Matrix'!AM194</f>
        <v>0</v>
      </c>
      <c r="AN194" s="89">
        <f>'[1]OMM_Unit Matrix'!AN194</f>
        <v>0</v>
      </c>
      <c r="AO194" s="89">
        <f>'[1]OMM_Unit Matrix'!AO194</f>
        <v>0</v>
      </c>
      <c r="AP194" s="89">
        <f>'[1]OMM_Unit Matrix'!AP194</f>
        <v>0</v>
      </c>
      <c r="AQ194" s="270">
        <f>'[1]OMM_Unit Matrix'!AQ194</f>
        <v>0</v>
      </c>
    </row>
    <row r="195" spans="2:43" hidden="1">
      <c r="B195" s="89">
        <f>'[1]OMM_Unit Matrix'!B195</f>
        <v>8</v>
      </c>
      <c r="C195" s="275">
        <f>'[1]OMM_Unit Matrix'!C195</f>
        <v>17</v>
      </c>
      <c r="D195" s="89">
        <f>'[1]OMM_Unit Matrix'!D195</f>
        <v>8017</v>
      </c>
      <c r="E195" s="89">
        <f>'[1]OMM_Unit Matrix'!E195</f>
        <v>0</v>
      </c>
      <c r="F195" s="89">
        <f>'[1]OMM_Unit Matrix'!F195</f>
        <v>0</v>
      </c>
      <c r="G195" s="89" t="str">
        <f>'[1]OMM_Unit Matrix'!G195</f>
        <v>NOT IN SCOPE</v>
      </c>
      <c r="H195" s="89">
        <f>'[1]OMM_Unit Matrix'!H195</f>
        <v>0</v>
      </c>
      <c r="I195" s="89">
        <f>'[1]OMM_Unit Matrix'!I195</f>
        <v>0</v>
      </c>
      <c r="J195" s="89">
        <f>'[1]OMM_Unit Matrix'!J195</f>
        <v>0</v>
      </c>
      <c r="K195" s="89">
        <f>'[1]OMM_Unit Matrix'!K195</f>
        <v>0</v>
      </c>
      <c r="L195" s="89">
        <f>'[1]OMM_Unit Matrix'!L195</f>
        <v>0</v>
      </c>
      <c r="M195" s="89">
        <f>'[1]OMM_Unit Matrix'!M195</f>
        <v>0</v>
      </c>
      <c r="N195" s="89">
        <f>'[1]OMM_Unit Matrix'!N195</f>
        <v>0</v>
      </c>
      <c r="O195" s="89">
        <f>'[1]OMM_Unit Matrix'!O195</f>
        <v>0</v>
      </c>
      <c r="P195" s="89">
        <f>'[1]OMM_Unit Matrix'!P195</f>
        <v>0</v>
      </c>
      <c r="Q195" s="89">
        <f>'[1]OMM_Unit Matrix'!Q195</f>
        <v>0</v>
      </c>
      <c r="R195" s="89">
        <f>'[1]OMM_Unit Matrix'!R195</f>
        <v>0</v>
      </c>
      <c r="S195" s="89">
        <f>'[1]OMM_Unit Matrix'!S195</f>
        <v>0</v>
      </c>
      <c r="T195" s="89">
        <f>'[1]OMM_Unit Matrix'!T195</f>
        <v>0</v>
      </c>
      <c r="U195" s="89">
        <f>'[1]OMM_Unit Matrix'!U195</f>
        <v>0</v>
      </c>
      <c r="V195" s="89">
        <f>'[1]OMM_Unit Matrix'!V195</f>
        <v>0</v>
      </c>
      <c r="W195" s="89">
        <f>'[1]OMM_Unit Matrix'!W195</f>
        <v>0</v>
      </c>
      <c r="X195" s="89">
        <f>'[1]OMM_Unit Matrix'!X195</f>
        <v>0</v>
      </c>
      <c r="Y195" s="89">
        <f>'[1]OMM_Unit Matrix'!Y195</f>
        <v>0</v>
      </c>
      <c r="Z195" s="89">
        <f>'[1]OMM_Unit Matrix'!Z195</f>
        <v>0</v>
      </c>
      <c r="AA195" s="89">
        <f>'[1]OMM_Unit Matrix'!AA195</f>
        <v>0</v>
      </c>
      <c r="AB195" s="89">
        <f>'[1]OMM_Unit Matrix'!AB195</f>
        <v>0</v>
      </c>
      <c r="AC195" s="89">
        <f>'[1]OMM_Unit Matrix'!AC195</f>
        <v>0</v>
      </c>
      <c r="AD195" s="89">
        <f>'[1]OMM_Unit Matrix'!AD195</f>
        <v>0</v>
      </c>
      <c r="AE195" s="89">
        <f>'[1]OMM_Unit Matrix'!AE195</f>
        <v>0</v>
      </c>
      <c r="AF195" s="89">
        <f>'[1]OMM_Unit Matrix'!AF195</f>
        <v>0</v>
      </c>
      <c r="AG195" s="89">
        <f>'[1]OMM_Unit Matrix'!AG195</f>
        <v>0</v>
      </c>
      <c r="AH195" s="89">
        <f>'[1]OMM_Unit Matrix'!AH195</f>
        <v>0</v>
      </c>
      <c r="AI195" s="89">
        <f>'[1]OMM_Unit Matrix'!AI195</f>
        <v>0</v>
      </c>
      <c r="AJ195" s="89">
        <f>'[1]OMM_Unit Matrix'!AJ195</f>
        <v>0</v>
      </c>
      <c r="AK195" s="89">
        <f>'[1]OMM_Unit Matrix'!AK195</f>
        <v>0</v>
      </c>
      <c r="AL195" s="89">
        <f>'[1]OMM_Unit Matrix'!AL195</f>
        <v>0</v>
      </c>
      <c r="AM195" s="89">
        <f>'[1]OMM_Unit Matrix'!AM195</f>
        <v>0</v>
      </c>
      <c r="AN195" s="89">
        <f>'[1]OMM_Unit Matrix'!AN195</f>
        <v>0</v>
      </c>
      <c r="AO195" s="89">
        <f>'[1]OMM_Unit Matrix'!AO195</f>
        <v>0</v>
      </c>
      <c r="AP195" s="89">
        <f>'[1]OMM_Unit Matrix'!AP195</f>
        <v>0</v>
      </c>
      <c r="AQ195" s="270">
        <f>'[1]OMM_Unit Matrix'!AQ195</f>
        <v>0</v>
      </c>
    </row>
    <row r="196" spans="2:43" hidden="1">
      <c r="B196" s="89">
        <f>'[1]OMM_Unit Matrix'!B196</f>
        <v>8</v>
      </c>
      <c r="C196" s="275">
        <f>'[1]OMM_Unit Matrix'!C196</f>
        <v>18</v>
      </c>
      <c r="D196" s="89">
        <f>'[1]OMM_Unit Matrix'!D196</f>
        <v>8018</v>
      </c>
      <c r="E196" s="89">
        <f>'[1]OMM_Unit Matrix'!E196</f>
        <v>0</v>
      </c>
      <c r="F196" s="89">
        <f>'[1]OMM_Unit Matrix'!F196</f>
        <v>0</v>
      </c>
      <c r="G196" s="89" t="str">
        <f>'[1]OMM_Unit Matrix'!G196</f>
        <v>NOT IN SCOPE</v>
      </c>
      <c r="H196" s="89">
        <f>'[1]OMM_Unit Matrix'!H196</f>
        <v>0</v>
      </c>
      <c r="I196" s="89">
        <f>'[1]OMM_Unit Matrix'!I196</f>
        <v>0</v>
      </c>
      <c r="J196" s="89">
        <f>'[1]OMM_Unit Matrix'!J196</f>
        <v>0</v>
      </c>
      <c r="K196" s="89">
        <f>'[1]OMM_Unit Matrix'!K196</f>
        <v>0</v>
      </c>
      <c r="L196" s="89">
        <f>'[1]OMM_Unit Matrix'!L196</f>
        <v>0</v>
      </c>
      <c r="M196" s="89">
        <f>'[1]OMM_Unit Matrix'!M196</f>
        <v>0</v>
      </c>
      <c r="N196" s="89">
        <f>'[1]OMM_Unit Matrix'!N196</f>
        <v>0</v>
      </c>
      <c r="O196" s="89">
        <f>'[1]OMM_Unit Matrix'!O196</f>
        <v>0</v>
      </c>
      <c r="P196" s="89">
        <f>'[1]OMM_Unit Matrix'!P196</f>
        <v>0</v>
      </c>
      <c r="Q196" s="89">
        <f>'[1]OMM_Unit Matrix'!Q196</f>
        <v>0</v>
      </c>
      <c r="R196" s="89">
        <f>'[1]OMM_Unit Matrix'!R196</f>
        <v>0</v>
      </c>
      <c r="S196" s="89">
        <f>'[1]OMM_Unit Matrix'!S196</f>
        <v>0</v>
      </c>
      <c r="T196" s="89">
        <f>'[1]OMM_Unit Matrix'!T196</f>
        <v>0</v>
      </c>
      <c r="U196" s="89">
        <f>'[1]OMM_Unit Matrix'!U196</f>
        <v>0</v>
      </c>
      <c r="V196" s="89">
        <f>'[1]OMM_Unit Matrix'!V196</f>
        <v>0</v>
      </c>
      <c r="W196" s="89">
        <f>'[1]OMM_Unit Matrix'!W196</f>
        <v>0</v>
      </c>
      <c r="X196" s="89">
        <f>'[1]OMM_Unit Matrix'!X196</f>
        <v>0</v>
      </c>
      <c r="Y196" s="89">
        <f>'[1]OMM_Unit Matrix'!Y196</f>
        <v>0</v>
      </c>
      <c r="Z196" s="89">
        <f>'[1]OMM_Unit Matrix'!Z196</f>
        <v>0</v>
      </c>
      <c r="AA196" s="89">
        <f>'[1]OMM_Unit Matrix'!AA196</f>
        <v>0</v>
      </c>
      <c r="AB196" s="89">
        <f>'[1]OMM_Unit Matrix'!AB196</f>
        <v>0</v>
      </c>
      <c r="AC196" s="89">
        <f>'[1]OMM_Unit Matrix'!AC196</f>
        <v>0</v>
      </c>
      <c r="AD196" s="89">
        <f>'[1]OMM_Unit Matrix'!AD196</f>
        <v>0</v>
      </c>
      <c r="AE196" s="89">
        <f>'[1]OMM_Unit Matrix'!AE196</f>
        <v>0</v>
      </c>
      <c r="AF196" s="89">
        <f>'[1]OMM_Unit Matrix'!AF196</f>
        <v>0</v>
      </c>
      <c r="AG196" s="89">
        <f>'[1]OMM_Unit Matrix'!AG196</f>
        <v>0</v>
      </c>
      <c r="AH196" s="89">
        <f>'[1]OMM_Unit Matrix'!AH196</f>
        <v>0</v>
      </c>
      <c r="AI196" s="89">
        <f>'[1]OMM_Unit Matrix'!AI196</f>
        <v>0</v>
      </c>
      <c r="AJ196" s="89">
        <f>'[1]OMM_Unit Matrix'!AJ196</f>
        <v>0</v>
      </c>
      <c r="AK196" s="89">
        <f>'[1]OMM_Unit Matrix'!AK196</f>
        <v>0</v>
      </c>
      <c r="AL196" s="89">
        <f>'[1]OMM_Unit Matrix'!AL196</f>
        <v>0</v>
      </c>
      <c r="AM196" s="89">
        <f>'[1]OMM_Unit Matrix'!AM196</f>
        <v>0</v>
      </c>
      <c r="AN196" s="89">
        <f>'[1]OMM_Unit Matrix'!AN196</f>
        <v>0</v>
      </c>
      <c r="AO196" s="89">
        <f>'[1]OMM_Unit Matrix'!AO196</f>
        <v>0</v>
      </c>
      <c r="AP196" s="89">
        <f>'[1]OMM_Unit Matrix'!AP196</f>
        <v>0</v>
      </c>
      <c r="AQ196" s="270">
        <f>'[1]OMM_Unit Matrix'!AQ196</f>
        <v>0</v>
      </c>
    </row>
    <row r="197" spans="2:43">
      <c r="B197" s="89">
        <f>'[1]OMM_Unit Matrix'!B197</f>
        <v>8</v>
      </c>
      <c r="C197" s="275">
        <f>'[1]OMM_Unit Matrix'!C197</f>
        <v>19</v>
      </c>
      <c r="D197" s="89">
        <f>'[1]OMM_Unit Matrix'!D197</f>
        <v>8019</v>
      </c>
      <c r="E197" s="89" t="str">
        <f>'[1]OMM_Unit Matrix'!E197</f>
        <v>YES</v>
      </c>
      <c r="F197" s="132">
        <f>'[1]OMM_Unit Matrix'!F197</f>
        <v>8019.2</v>
      </c>
      <c r="G197" s="89" t="str">
        <f>'[1]OMM_Unit Matrix'!G197</f>
        <v>PENDING</v>
      </c>
      <c r="H197" s="89">
        <f>'[1]OMM_Unit Matrix'!H197</f>
        <v>0</v>
      </c>
      <c r="I197" s="89">
        <f>'[1]OMM_Unit Matrix'!I197</f>
        <v>0</v>
      </c>
      <c r="J197" s="89">
        <f>'[1]OMM_Unit Matrix'!J197</f>
        <v>0</v>
      </c>
      <c r="K197" s="89">
        <f>'[1]OMM_Unit Matrix'!K197</f>
        <v>0</v>
      </c>
      <c r="L197" s="89">
        <f>'[1]OMM_Unit Matrix'!L197</f>
        <v>0</v>
      </c>
      <c r="M197" s="89">
        <f>'[1]OMM_Unit Matrix'!M197</f>
        <v>0</v>
      </c>
      <c r="N197" s="89">
        <f>'[1]OMM_Unit Matrix'!N197</f>
        <v>0</v>
      </c>
      <c r="O197" s="89">
        <f>'[1]OMM_Unit Matrix'!O197</f>
        <v>0</v>
      </c>
      <c r="P197" s="89">
        <f>'[1]OMM_Unit Matrix'!P197</f>
        <v>0</v>
      </c>
      <c r="Q197" s="89">
        <f>'[1]OMM_Unit Matrix'!Q197</f>
        <v>0</v>
      </c>
      <c r="R197" s="89">
        <f>'[1]OMM_Unit Matrix'!R197</f>
        <v>0</v>
      </c>
      <c r="S197" s="89">
        <f>'[1]OMM_Unit Matrix'!S197</f>
        <v>0</v>
      </c>
      <c r="T197" s="89">
        <f>'[1]OMM_Unit Matrix'!T197</f>
        <v>0</v>
      </c>
      <c r="U197" s="89">
        <f>'[1]OMM_Unit Matrix'!U197</f>
        <v>0</v>
      </c>
      <c r="V197" s="89">
        <f>'[1]OMM_Unit Matrix'!V197</f>
        <v>0</v>
      </c>
      <c r="W197" s="89">
        <f>'[1]OMM_Unit Matrix'!W197</f>
        <v>0</v>
      </c>
      <c r="X197" s="89">
        <f>'[1]OMM_Unit Matrix'!X197</f>
        <v>0</v>
      </c>
      <c r="Y197" s="89">
        <f>'[1]OMM_Unit Matrix'!Y197</f>
        <v>0</v>
      </c>
      <c r="Z197" s="89">
        <f>'[1]OMM_Unit Matrix'!Z197</f>
        <v>0</v>
      </c>
      <c r="AA197" s="89">
        <f>'[1]OMM_Unit Matrix'!AA197</f>
        <v>0</v>
      </c>
      <c r="AB197" s="89">
        <f>'[1]OMM_Unit Matrix'!AB197</f>
        <v>0</v>
      </c>
      <c r="AC197" s="89">
        <f>'[1]OMM_Unit Matrix'!AC197</f>
        <v>0</v>
      </c>
      <c r="AD197" s="89">
        <f>'[1]OMM_Unit Matrix'!AD197</f>
        <v>0</v>
      </c>
      <c r="AE197" s="89">
        <f>'[1]OMM_Unit Matrix'!AE197</f>
        <v>0</v>
      </c>
      <c r="AF197" s="89">
        <f>'[1]OMM_Unit Matrix'!AF197</f>
        <v>0</v>
      </c>
      <c r="AG197" s="89">
        <f>'[1]OMM_Unit Matrix'!AG197</f>
        <v>0</v>
      </c>
      <c r="AH197" s="89">
        <f>'[1]OMM_Unit Matrix'!AH197</f>
        <v>0</v>
      </c>
      <c r="AI197" s="89">
        <f>'[1]OMM_Unit Matrix'!AI197</f>
        <v>0</v>
      </c>
      <c r="AJ197" s="89">
        <f>'[1]OMM_Unit Matrix'!AJ197</f>
        <v>0</v>
      </c>
      <c r="AK197" s="89">
        <f>'[1]OMM_Unit Matrix'!AK197</f>
        <v>0</v>
      </c>
      <c r="AL197" s="89">
        <f>'[1]OMM_Unit Matrix'!AL197</f>
        <v>0</v>
      </c>
      <c r="AM197" s="89">
        <f>'[1]OMM_Unit Matrix'!AM197</f>
        <v>0</v>
      </c>
      <c r="AN197" s="89">
        <f>'[1]OMM_Unit Matrix'!AN197</f>
        <v>0</v>
      </c>
      <c r="AO197" s="89">
        <f>'[1]OMM_Unit Matrix'!AO197</f>
        <v>0</v>
      </c>
      <c r="AP197" s="89">
        <f>'[1]OMM_Unit Matrix'!AP197</f>
        <v>0</v>
      </c>
      <c r="AQ197" s="270">
        <f>'[1]OMM_Unit Matrix'!AQ197</f>
        <v>0</v>
      </c>
    </row>
    <row r="198" spans="2:43">
      <c r="B198" s="89">
        <f>'[1]OMM_Unit Matrix'!B198</f>
        <v>8</v>
      </c>
      <c r="C198" s="275">
        <f>'[1]OMM_Unit Matrix'!C198</f>
        <v>20</v>
      </c>
      <c r="D198" s="89">
        <f>'[1]OMM_Unit Matrix'!D198</f>
        <v>8020</v>
      </c>
      <c r="E198" s="89" t="str">
        <f>'[1]OMM_Unit Matrix'!E198</f>
        <v>YES</v>
      </c>
      <c r="F198" s="132">
        <f>'[1]OMM_Unit Matrix'!F198</f>
        <v>8019.2</v>
      </c>
      <c r="G198" s="89" t="str">
        <f>'[1]OMM_Unit Matrix'!G198</f>
        <v>PENDING</v>
      </c>
      <c r="H198" s="89">
        <f>'[1]OMM_Unit Matrix'!H198</f>
        <v>0</v>
      </c>
      <c r="I198" s="89">
        <f>'[1]OMM_Unit Matrix'!I198</f>
        <v>0</v>
      </c>
      <c r="J198" s="89">
        <f>'[1]OMM_Unit Matrix'!J198</f>
        <v>0</v>
      </c>
      <c r="K198" s="89">
        <f>'[1]OMM_Unit Matrix'!K198</f>
        <v>0</v>
      </c>
      <c r="L198" s="89">
        <f>'[1]OMM_Unit Matrix'!L198</f>
        <v>0</v>
      </c>
      <c r="M198" s="89">
        <f>'[1]OMM_Unit Matrix'!M198</f>
        <v>0</v>
      </c>
      <c r="N198" s="89">
        <f>'[1]OMM_Unit Matrix'!N198</f>
        <v>0</v>
      </c>
      <c r="O198" s="89">
        <f>'[1]OMM_Unit Matrix'!O198</f>
        <v>0</v>
      </c>
      <c r="P198" s="89">
        <f>'[1]OMM_Unit Matrix'!P198</f>
        <v>0</v>
      </c>
      <c r="Q198" s="89">
        <f>'[1]OMM_Unit Matrix'!Q198</f>
        <v>0</v>
      </c>
      <c r="R198" s="89">
        <f>'[1]OMM_Unit Matrix'!R198</f>
        <v>0</v>
      </c>
      <c r="S198" s="89">
        <f>'[1]OMM_Unit Matrix'!S198</f>
        <v>0</v>
      </c>
      <c r="T198" s="89">
        <f>'[1]OMM_Unit Matrix'!T198</f>
        <v>0</v>
      </c>
      <c r="U198" s="89">
        <f>'[1]OMM_Unit Matrix'!U198</f>
        <v>0</v>
      </c>
      <c r="V198" s="89">
        <f>'[1]OMM_Unit Matrix'!V198</f>
        <v>0</v>
      </c>
      <c r="W198" s="89">
        <f>'[1]OMM_Unit Matrix'!W198</f>
        <v>0</v>
      </c>
      <c r="X198" s="89">
        <f>'[1]OMM_Unit Matrix'!X198</f>
        <v>0</v>
      </c>
      <c r="Y198" s="89">
        <f>'[1]OMM_Unit Matrix'!Y198</f>
        <v>0</v>
      </c>
      <c r="Z198" s="89">
        <f>'[1]OMM_Unit Matrix'!Z198</f>
        <v>0</v>
      </c>
      <c r="AA198" s="89">
        <f>'[1]OMM_Unit Matrix'!AA198</f>
        <v>0</v>
      </c>
      <c r="AB198" s="89">
        <f>'[1]OMM_Unit Matrix'!AB198</f>
        <v>0</v>
      </c>
      <c r="AC198" s="89">
        <f>'[1]OMM_Unit Matrix'!AC198</f>
        <v>0</v>
      </c>
      <c r="AD198" s="89">
        <f>'[1]OMM_Unit Matrix'!AD198</f>
        <v>0</v>
      </c>
      <c r="AE198" s="89">
        <f>'[1]OMM_Unit Matrix'!AE198</f>
        <v>0</v>
      </c>
      <c r="AF198" s="89">
        <f>'[1]OMM_Unit Matrix'!AF198</f>
        <v>0</v>
      </c>
      <c r="AG198" s="89">
        <f>'[1]OMM_Unit Matrix'!AG198</f>
        <v>0</v>
      </c>
      <c r="AH198" s="89">
        <f>'[1]OMM_Unit Matrix'!AH198</f>
        <v>0</v>
      </c>
      <c r="AI198" s="89">
        <f>'[1]OMM_Unit Matrix'!AI198</f>
        <v>0</v>
      </c>
      <c r="AJ198" s="89">
        <f>'[1]OMM_Unit Matrix'!AJ198</f>
        <v>0</v>
      </c>
      <c r="AK198" s="89">
        <f>'[1]OMM_Unit Matrix'!AK198</f>
        <v>0</v>
      </c>
      <c r="AL198" s="89">
        <f>'[1]OMM_Unit Matrix'!AL198</f>
        <v>0</v>
      </c>
      <c r="AM198" s="89">
        <f>'[1]OMM_Unit Matrix'!AM198</f>
        <v>0</v>
      </c>
      <c r="AN198" s="89">
        <f>'[1]OMM_Unit Matrix'!AN198</f>
        <v>0</v>
      </c>
      <c r="AO198" s="89">
        <f>'[1]OMM_Unit Matrix'!AO198</f>
        <v>0</v>
      </c>
      <c r="AP198" s="89">
        <f>'[1]OMM_Unit Matrix'!AP198</f>
        <v>0</v>
      </c>
      <c r="AQ198" s="270">
        <f>'[1]OMM_Unit Matrix'!AQ198</f>
        <v>0</v>
      </c>
    </row>
    <row r="199" spans="2:43" hidden="1">
      <c r="B199" s="89">
        <f>'[1]OMM_Unit Matrix'!B199</f>
        <v>8</v>
      </c>
      <c r="C199" s="275">
        <f>'[1]OMM_Unit Matrix'!C199</f>
        <v>21</v>
      </c>
      <c r="D199" s="89">
        <f>'[1]OMM_Unit Matrix'!D199</f>
        <v>8021</v>
      </c>
      <c r="E199" s="89">
        <f>'[1]OMM_Unit Matrix'!E199</f>
        <v>0</v>
      </c>
      <c r="F199" s="89">
        <f>'[1]OMM_Unit Matrix'!F199</f>
        <v>0</v>
      </c>
      <c r="G199" s="89" t="str">
        <f>'[1]OMM_Unit Matrix'!G199</f>
        <v>NOT IN SCOPE</v>
      </c>
      <c r="H199" s="89">
        <f>'[1]OMM_Unit Matrix'!H199</f>
        <v>0</v>
      </c>
      <c r="I199" s="89">
        <f>'[1]OMM_Unit Matrix'!I199</f>
        <v>0</v>
      </c>
      <c r="J199" s="89">
        <f>'[1]OMM_Unit Matrix'!J199</f>
        <v>0</v>
      </c>
      <c r="K199" s="89">
        <f>'[1]OMM_Unit Matrix'!K199</f>
        <v>0</v>
      </c>
      <c r="L199" s="89">
        <f>'[1]OMM_Unit Matrix'!L199</f>
        <v>0</v>
      </c>
      <c r="M199" s="89">
        <f>'[1]OMM_Unit Matrix'!M199</f>
        <v>0</v>
      </c>
      <c r="N199" s="89">
        <f>'[1]OMM_Unit Matrix'!N199</f>
        <v>0</v>
      </c>
      <c r="O199" s="89">
        <f>'[1]OMM_Unit Matrix'!O199</f>
        <v>0</v>
      </c>
      <c r="P199" s="89">
        <f>'[1]OMM_Unit Matrix'!P199</f>
        <v>0</v>
      </c>
      <c r="Q199" s="89">
        <f>'[1]OMM_Unit Matrix'!Q199</f>
        <v>0</v>
      </c>
      <c r="R199" s="89">
        <f>'[1]OMM_Unit Matrix'!R199</f>
        <v>0</v>
      </c>
      <c r="S199" s="89">
        <f>'[1]OMM_Unit Matrix'!S199</f>
        <v>0</v>
      </c>
      <c r="T199" s="89">
        <f>'[1]OMM_Unit Matrix'!T199</f>
        <v>0</v>
      </c>
      <c r="U199" s="89">
        <f>'[1]OMM_Unit Matrix'!U199</f>
        <v>0</v>
      </c>
      <c r="V199" s="89">
        <f>'[1]OMM_Unit Matrix'!V199</f>
        <v>0</v>
      </c>
      <c r="W199" s="89">
        <f>'[1]OMM_Unit Matrix'!W199</f>
        <v>0</v>
      </c>
      <c r="X199" s="89">
        <f>'[1]OMM_Unit Matrix'!X199</f>
        <v>0</v>
      </c>
      <c r="Y199" s="89">
        <f>'[1]OMM_Unit Matrix'!Y199</f>
        <v>0</v>
      </c>
      <c r="Z199" s="89">
        <f>'[1]OMM_Unit Matrix'!Z199</f>
        <v>0</v>
      </c>
      <c r="AA199" s="89">
        <f>'[1]OMM_Unit Matrix'!AA199</f>
        <v>0</v>
      </c>
      <c r="AB199" s="89">
        <f>'[1]OMM_Unit Matrix'!AB199</f>
        <v>0</v>
      </c>
      <c r="AC199" s="89">
        <f>'[1]OMM_Unit Matrix'!AC199</f>
        <v>0</v>
      </c>
      <c r="AD199" s="89">
        <f>'[1]OMM_Unit Matrix'!AD199</f>
        <v>0</v>
      </c>
      <c r="AE199" s="89">
        <f>'[1]OMM_Unit Matrix'!AE199</f>
        <v>0</v>
      </c>
      <c r="AF199" s="89">
        <f>'[1]OMM_Unit Matrix'!AF199</f>
        <v>0</v>
      </c>
      <c r="AG199" s="89">
        <f>'[1]OMM_Unit Matrix'!AG199</f>
        <v>0</v>
      </c>
      <c r="AH199" s="89">
        <f>'[1]OMM_Unit Matrix'!AH199</f>
        <v>0</v>
      </c>
      <c r="AI199" s="89">
        <f>'[1]OMM_Unit Matrix'!AI199</f>
        <v>0</v>
      </c>
      <c r="AJ199" s="89">
        <f>'[1]OMM_Unit Matrix'!AJ199</f>
        <v>0</v>
      </c>
      <c r="AK199" s="89">
        <f>'[1]OMM_Unit Matrix'!AK199</f>
        <v>0</v>
      </c>
      <c r="AL199" s="89">
        <f>'[1]OMM_Unit Matrix'!AL199</f>
        <v>0</v>
      </c>
      <c r="AM199" s="89">
        <f>'[1]OMM_Unit Matrix'!AM199</f>
        <v>0</v>
      </c>
      <c r="AN199" s="89">
        <f>'[1]OMM_Unit Matrix'!AN199</f>
        <v>0</v>
      </c>
      <c r="AO199" s="89">
        <f>'[1]OMM_Unit Matrix'!AO199</f>
        <v>0</v>
      </c>
      <c r="AP199" s="89">
        <f>'[1]OMM_Unit Matrix'!AP199</f>
        <v>0</v>
      </c>
      <c r="AQ199" s="270">
        <f>'[1]OMM_Unit Matrix'!AQ199</f>
        <v>0</v>
      </c>
    </row>
    <row r="200" spans="2:43" hidden="1">
      <c r="B200" s="89">
        <f>'[1]OMM_Unit Matrix'!B200</f>
        <v>8</v>
      </c>
      <c r="C200" s="275">
        <f>'[1]OMM_Unit Matrix'!C200</f>
        <v>22</v>
      </c>
      <c r="D200" s="89">
        <f>'[1]OMM_Unit Matrix'!D200</f>
        <v>8022</v>
      </c>
      <c r="E200" s="89">
        <f>'[1]OMM_Unit Matrix'!E200</f>
        <v>0</v>
      </c>
      <c r="F200" s="89">
        <f>'[1]OMM_Unit Matrix'!F200</f>
        <v>0</v>
      </c>
      <c r="G200" s="89" t="str">
        <f>'[1]OMM_Unit Matrix'!G200</f>
        <v>NOT IN SCOPE</v>
      </c>
      <c r="H200" s="89">
        <f>'[1]OMM_Unit Matrix'!H200</f>
        <v>0</v>
      </c>
      <c r="I200" s="89">
        <f>'[1]OMM_Unit Matrix'!I200</f>
        <v>0</v>
      </c>
      <c r="J200" s="89">
        <f>'[1]OMM_Unit Matrix'!J200</f>
        <v>0</v>
      </c>
      <c r="K200" s="89">
        <f>'[1]OMM_Unit Matrix'!K200</f>
        <v>0</v>
      </c>
      <c r="L200" s="89">
        <f>'[1]OMM_Unit Matrix'!L200</f>
        <v>0</v>
      </c>
      <c r="M200" s="89">
        <f>'[1]OMM_Unit Matrix'!M200</f>
        <v>0</v>
      </c>
      <c r="N200" s="89">
        <f>'[1]OMM_Unit Matrix'!N200</f>
        <v>0</v>
      </c>
      <c r="O200" s="89">
        <f>'[1]OMM_Unit Matrix'!O200</f>
        <v>0</v>
      </c>
      <c r="P200" s="89">
        <f>'[1]OMM_Unit Matrix'!P200</f>
        <v>0</v>
      </c>
      <c r="Q200" s="89">
        <f>'[1]OMM_Unit Matrix'!Q200</f>
        <v>0</v>
      </c>
      <c r="R200" s="89">
        <f>'[1]OMM_Unit Matrix'!R200</f>
        <v>0</v>
      </c>
      <c r="S200" s="89">
        <f>'[1]OMM_Unit Matrix'!S200</f>
        <v>0</v>
      </c>
      <c r="T200" s="89">
        <f>'[1]OMM_Unit Matrix'!T200</f>
        <v>0</v>
      </c>
      <c r="U200" s="89">
        <f>'[1]OMM_Unit Matrix'!U200</f>
        <v>0</v>
      </c>
      <c r="V200" s="89">
        <f>'[1]OMM_Unit Matrix'!V200</f>
        <v>0</v>
      </c>
      <c r="W200" s="89">
        <f>'[1]OMM_Unit Matrix'!W200</f>
        <v>0</v>
      </c>
      <c r="X200" s="89">
        <f>'[1]OMM_Unit Matrix'!X200</f>
        <v>0</v>
      </c>
      <c r="Y200" s="89">
        <f>'[1]OMM_Unit Matrix'!Y200</f>
        <v>0</v>
      </c>
      <c r="Z200" s="89">
        <f>'[1]OMM_Unit Matrix'!Z200</f>
        <v>0</v>
      </c>
      <c r="AA200" s="89">
        <f>'[1]OMM_Unit Matrix'!AA200</f>
        <v>0</v>
      </c>
      <c r="AB200" s="89">
        <f>'[1]OMM_Unit Matrix'!AB200</f>
        <v>0</v>
      </c>
      <c r="AC200" s="89">
        <f>'[1]OMM_Unit Matrix'!AC200</f>
        <v>0</v>
      </c>
      <c r="AD200" s="89">
        <f>'[1]OMM_Unit Matrix'!AD200</f>
        <v>0</v>
      </c>
      <c r="AE200" s="89">
        <f>'[1]OMM_Unit Matrix'!AE200</f>
        <v>0</v>
      </c>
      <c r="AF200" s="89">
        <f>'[1]OMM_Unit Matrix'!AF200</f>
        <v>0</v>
      </c>
      <c r="AG200" s="89">
        <f>'[1]OMM_Unit Matrix'!AG200</f>
        <v>0</v>
      </c>
      <c r="AH200" s="89">
        <f>'[1]OMM_Unit Matrix'!AH200</f>
        <v>0</v>
      </c>
      <c r="AI200" s="89">
        <f>'[1]OMM_Unit Matrix'!AI200</f>
        <v>0</v>
      </c>
      <c r="AJ200" s="89">
        <f>'[1]OMM_Unit Matrix'!AJ200</f>
        <v>0</v>
      </c>
      <c r="AK200" s="89">
        <f>'[1]OMM_Unit Matrix'!AK200</f>
        <v>0</v>
      </c>
      <c r="AL200" s="89">
        <f>'[1]OMM_Unit Matrix'!AL200</f>
        <v>0</v>
      </c>
      <c r="AM200" s="89">
        <f>'[1]OMM_Unit Matrix'!AM200</f>
        <v>0</v>
      </c>
      <c r="AN200" s="89">
        <f>'[1]OMM_Unit Matrix'!AN200</f>
        <v>0</v>
      </c>
      <c r="AO200" s="89">
        <f>'[1]OMM_Unit Matrix'!AO200</f>
        <v>0</v>
      </c>
      <c r="AP200" s="89">
        <f>'[1]OMM_Unit Matrix'!AP200</f>
        <v>0</v>
      </c>
      <c r="AQ200" s="270">
        <f>'[1]OMM_Unit Matrix'!AQ200</f>
        <v>0</v>
      </c>
    </row>
    <row r="201" spans="2:43" hidden="1">
      <c r="B201" s="89">
        <f>'[1]OMM_Unit Matrix'!B201</f>
        <v>8</v>
      </c>
      <c r="C201" s="275">
        <f>'[1]OMM_Unit Matrix'!C201</f>
        <v>23</v>
      </c>
      <c r="D201" s="89">
        <f>'[1]OMM_Unit Matrix'!D201</f>
        <v>8023</v>
      </c>
      <c r="E201" s="89">
        <f>'[1]OMM_Unit Matrix'!E201</f>
        <v>0</v>
      </c>
      <c r="F201" s="89">
        <f>'[1]OMM_Unit Matrix'!F201</f>
        <v>0</v>
      </c>
      <c r="G201" s="89" t="str">
        <f>'[1]OMM_Unit Matrix'!G201</f>
        <v>NOT IN SCOPE</v>
      </c>
      <c r="H201" s="89">
        <f>'[1]OMM_Unit Matrix'!H201</f>
        <v>0</v>
      </c>
      <c r="I201" s="89">
        <f>'[1]OMM_Unit Matrix'!I201</f>
        <v>0</v>
      </c>
      <c r="J201" s="89">
        <f>'[1]OMM_Unit Matrix'!J201</f>
        <v>0</v>
      </c>
      <c r="K201" s="89">
        <f>'[1]OMM_Unit Matrix'!K201</f>
        <v>0</v>
      </c>
      <c r="L201" s="89">
        <f>'[1]OMM_Unit Matrix'!L201</f>
        <v>0</v>
      </c>
      <c r="M201" s="89">
        <f>'[1]OMM_Unit Matrix'!M201</f>
        <v>0</v>
      </c>
      <c r="N201" s="89">
        <f>'[1]OMM_Unit Matrix'!N201</f>
        <v>0</v>
      </c>
      <c r="O201" s="89">
        <f>'[1]OMM_Unit Matrix'!O201</f>
        <v>0</v>
      </c>
      <c r="P201" s="89">
        <f>'[1]OMM_Unit Matrix'!P201</f>
        <v>0</v>
      </c>
      <c r="Q201" s="89">
        <f>'[1]OMM_Unit Matrix'!Q201</f>
        <v>0</v>
      </c>
      <c r="R201" s="89">
        <f>'[1]OMM_Unit Matrix'!R201</f>
        <v>0</v>
      </c>
      <c r="S201" s="89">
        <f>'[1]OMM_Unit Matrix'!S201</f>
        <v>0</v>
      </c>
      <c r="T201" s="89">
        <f>'[1]OMM_Unit Matrix'!T201</f>
        <v>0</v>
      </c>
      <c r="U201" s="89">
        <f>'[1]OMM_Unit Matrix'!U201</f>
        <v>0</v>
      </c>
      <c r="V201" s="89">
        <f>'[1]OMM_Unit Matrix'!V201</f>
        <v>0</v>
      </c>
      <c r="W201" s="89">
        <f>'[1]OMM_Unit Matrix'!W201</f>
        <v>0</v>
      </c>
      <c r="X201" s="89">
        <f>'[1]OMM_Unit Matrix'!X201</f>
        <v>0</v>
      </c>
      <c r="Y201" s="89">
        <f>'[1]OMM_Unit Matrix'!Y201</f>
        <v>0</v>
      </c>
      <c r="Z201" s="89">
        <f>'[1]OMM_Unit Matrix'!Z201</f>
        <v>0</v>
      </c>
      <c r="AA201" s="89">
        <f>'[1]OMM_Unit Matrix'!AA201</f>
        <v>0</v>
      </c>
      <c r="AB201" s="89">
        <f>'[1]OMM_Unit Matrix'!AB201</f>
        <v>0</v>
      </c>
      <c r="AC201" s="89">
        <f>'[1]OMM_Unit Matrix'!AC201</f>
        <v>0</v>
      </c>
      <c r="AD201" s="89">
        <f>'[1]OMM_Unit Matrix'!AD201</f>
        <v>0</v>
      </c>
      <c r="AE201" s="89">
        <f>'[1]OMM_Unit Matrix'!AE201</f>
        <v>0</v>
      </c>
      <c r="AF201" s="89">
        <f>'[1]OMM_Unit Matrix'!AF201</f>
        <v>0</v>
      </c>
      <c r="AG201" s="89">
        <f>'[1]OMM_Unit Matrix'!AG201</f>
        <v>0</v>
      </c>
      <c r="AH201" s="89">
        <f>'[1]OMM_Unit Matrix'!AH201</f>
        <v>0</v>
      </c>
      <c r="AI201" s="89">
        <f>'[1]OMM_Unit Matrix'!AI201</f>
        <v>0</v>
      </c>
      <c r="AJ201" s="89">
        <f>'[1]OMM_Unit Matrix'!AJ201</f>
        <v>0</v>
      </c>
      <c r="AK201" s="89">
        <f>'[1]OMM_Unit Matrix'!AK201</f>
        <v>0</v>
      </c>
      <c r="AL201" s="89">
        <f>'[1]OMM_Unit Matrix'!AL201</f>
        <v>0</v>
      </c>
      <c r="AM201" s="89">
        <f>'[1]OMM_Unit Matrix'!AM201</f>
        <v>0</v>
      </c>
      <c r="AN201" s="89">
        <f>'[1]OMM_Unit Matrix'!AN201</f>
        <v>0</v>
      </c>
      <c r="AO201" s="89">
        <f>'[1]OMM_Unit Matrix'!AO201</f>
        <v>0</v>
      </c>
      <c r="AP201" s="89">
        <f>'[1]OMM_Unit Matrix'!AP201</f>
        <v>0</v>
      </c>
      <c r="AQ201" s="270">
        <f>'[1]OMM_Unit Matrix'!AQ201</f>
        <v>0</v>
      </c>
    </row>
    <row r="202" spans="2:43" hidden="1">
      <c r="B202" s="89">
        <f>'[1]OMM_Unit Matrix'!B202</f>
        <v>8</v>
      </c>
      <c r="C202" s="275">
        <f>'[1]OMM_Unit Matrix'!C202</f>
        <v>24</v>
      </c>
      <c r="D202" s="89">
        <f>'[1]OMM_Unit Matrix'!D202</f>
        <v>8024</v>
      </c>
      <c r="E202" s="89">
        <f>'[1]OMM_Unit Matrix'!E202</f>
        <v>0</v>
      </c>
      <c r="F202" s="89">
        <f>'[1]OMM_Unit Matrix'!F202</f>
        <v>0</v>
      </c>
      <c r="G202" s="89" t="str">
        <f>'[1]OMM_Unit Matrix'!G202</f>
        <v>NOT IN SCOPE</v>
      </c>
      <c r="H202" s="89">
        <f>'[1]OMM_Unit Matrix'!H202</f>
        <v>0</v>
      </c>
      <c r="I202" s="89">
        <f>'[1]OMM_Unit Matrix'!I202</f>
        <v>0</v>
      </c>
      <c r="J202" s="89">
        <f>'[1]OMM_Unit Matrix'!J202</f>
        <v>0</v>
      </c>
      <c r="K202" s="89">
        <f>'[1]OMM_Unit Matrix'!K202</f>
        <v>0</v>
      </c>
      <c r="L202" s="89">
        <f>'[1]OMM_Unit Matrix'!L202</f>
        <v>0</v>
      </c>
      <c r="M202" s="89">
        <f>'[1]OMM_Unit Matrix'!M202</f>
        <v>0</v>
      </c>
      <c r="N202" s="89">
        <f>'[1]OMM_Unit Matrix'!N202</f>
        <v>0</v>
      </c>
      <c r="O202" s="89">
        <f>'[1]OMM_Unit Matrix'!O202</f>
        <v>0</v>
      </c>
      <c r="P202" s="89">
        <f>'[1]OMM_Unit Matrix'!P202</f>
        <v>0</v>
      </c>
      <c r="Q202" s="89">
        <f>'[1]OMM_Unit Matrix'!Q202</f>
        <v>0</v>
      </c>
      <c r="R202" s="89">
        <f>'[1]OMM_Unit Matrix'!R202</f>
        <v>0</v>
      </c>
      <c r="S202" s="89">
        <f>'[1]OMM_Unit Matrix'!S202</f>
        <v>0</v>
      </c>
      <c r="T202" s="89">
        <f>'[1]OMM_Unit Matrix'!T202</f>
        <v>0</v>
      </c>
      <c r="U202" s="89">
        <f>'[1]OMM_Unit Matrix'!U202</f>
        <v>0</v>
      </c>
      <c r="V202" s="89">
        <f>'[1]OMM_Unit Matrix'!V202</f>
        <v>0</v>
      </c>
      <c r="W202" s="89">
        <f>'[1]OMM_Unit Matrix'!W202</f>
        <v>0</v>
      </c>
      <c r="X202" s="89">
        <f>'[1]OMM_Unit Matrix'!X202</f>
        <v>0</v>
      </c>
      <c r="Y202" s="89">
        <f>'[1]OMM_Unit Matrix'!Y202</f>
        <v>0</v>
      </c>
      <c r="Z202" s="89">
        <f>'[1]OMM_Unit Matrix'!Z202</f>
        <v>0</v>
      </c>
      <c r="AA202" s="89">
        <f>'[1]OMM_Unit Matrix'!AA202</f>
        <v>0</v>
      </c>
      <c r="AB202" s="89">
        <f>'[1]OMM_Unit Matrix'!AB202</f>
        <v>0</v>
      </c>
      <c r="AC202" s="89">
        <f>'[1]OMM_Unit Matrix'!AC202</f>
        <v>0</v>
      </c>
      <c r="AD202" s="89">
        <f>'[1]OMM_Unit Matrix'!AD202</f>
        <v>0</v>
      </c>
      <c r="AE202" s="89">
        <f>'[1]OMM_Unit Matrix'!AE202</f>
        <v>0</v>
      </c>
      <c r="AF202" s="89">
        <f>'[1]OMM_Unit Matrix'!AF202</f>
        <v>0</v>
      </c>
      <c r="AG202" s="89">
        <f>'[1]OMM_Unit Matrix'!AG202</f>
        <v>0</v>
      </c>
      <c r="AH202" s="89">
        <f>'[1]OMM_Unit Matrix'!AH202</f>
        <v>0</v>
      </c>
      <c r="AI202" s="89">
        <f>'[1]OMM_Unit Matrix'!AI202</f>
        <v>0</v>
      </c>
      <c r="AJ202" s="89">
        <f>'[1]OMM_Unit Matrix'!AJ202</f>
        <v>0</v>
      </c>
      <c r="AK202" s="89">
        <f>'[1]OMM_Unit Matrix'!AK202</f>
        <v>0</v>
      </c>
      <c r="AL202" s="89">
        <f>'[1]OMM_Unit Matrix'!AL202</f>
        <v>0</v>
      </c>
      <c r="AM202" s="89">
        <f>'[1]OMM_Unit Matrix'!AM202</f>
        <v>0</v>
      </c>
      <c r="AN202" s="89">
        <f>'[1]OMM_Unit Matrix'!AN202</f>
        <v>0</v>
      </c>
      <c r="AO202" s="89">
        <f>'[1]OMM_Unit Matrix'!AO202</f>
        <v>0</v>
      </c>
      <c r="AP202" s="89">
        <f>'[1]OMM_Unit Matrix'!AP202</f>
        <v>0</v>
      </c>
      <c r="AQ202" s="270">
        <f>'[1]OMM_Unit Matrix'!AQ202</f>
        <v>0</v>
      </c>
    </row>
    <row r="203" spans="2:43">
      <c r="B203" s="89">
        <f>'[1]OMM_Unit Matrix'!B203</f>
        <v>8</v>
      </c>
      <c r="C203" s="275">
        <f>'[1]OMM_Unit Matrix'!C203</f>
        <v>25</v>
      </c>
      <c r="D203" s="89">
        <f>'[1]OMM_Unit Matrix'!D203</f>
        <v>8025</v>
      </c>
      <c r="E203" s="89" t="str">
        <f>'[1]OMM_Unit Matrix'!E203</f>
        <v>YES</v>
      </c>
      <c r="F203" s="132">
        <f>'[1]OMM_Unit Matrix'!F203</f>
        <v>8025.26</v>
      </c>
      <c r="G203" s="89" t="str">
        <f>'[1]OMM_Unit Matrix'!G203</f>
        <v>PENDING</v>
      </c>
      <c r="H203" s="89">
        <f>'[1]OMM_Unit Matrix'!H203</f>
        <v>0</v>
      </c>
      <c r="I203" s="89">
        <f>'[1]OMM_Unit Matrix'!I203</f>
        <v>0</v>
      </c>
      <c r="J203" s="89">
        <f>'[1]OMM_Unit Matrix'!J203</f>
        <v>0</v>
      </c>
      <c r="K203" s="89">
        <f>'[1]OMM_Unit Matrix'!K203</f>
        <v>0</v>
      </c>
      <c r="L203" s="89">
        <f>'[1]OMM_Unit Matrix'!L203</f>
        <v>0</v>
      </c>
      <c r="M203" s="89">
        <f>'[1]OMM_Unit Matrix'!M203</f>
        <v>0</v>
      </c>
      <c r="N203" s="89">
        <f>'[1]OMM_Unit Matrix'!N203</f>
        <v>0</v>
      </c>
      <c r="O203" s="89">
        <f>'[1]OMM_Unit Matrix'!O203</f>
        <v>0</v>
      </c>
      <c r="P203" s="89">
        <f>'[1]OMM_Unit Matrix'!P203</f>
        <v>0</v>
      </c>
      <c r="Q203" s="89">
        <f>'[1]OMM_Unit Matrix'!Q203</f>
        <v>0</v>
      </c>
      <c r="R203" s="89">
        <f>'[1]OMM_Unit Matrix'!R203</f>
        <v>0</v>
      </c>
      <c r="S203" s="89">
        <f>'[1]OMM_Unit Matrix'!S203</f>
        <v>0</v>
      </c>
      <c r="T203" s="89">
        <f>'[1]OMM_Unit Matrix'!T203</f>
        <v>0</v>
      </c>
      <c r="U203" s="89">
        <f>'[1]OMM_Unit Matrix'!U203</f>
        <v>0</v>
      </c>
      <c r="V203" s="89">
        <f>'[1]OMM_Unit Matrix'!V203</f>
        <v>0</v>
      </c>
      <c r="W203" s="89">
        <f>'[1]OMM_Unit Matrix'!W203</f>
        <v>0</v>
      </c>
      <c r="X203" s="89">
        <f>'[1]OMM_Unit Matrix'!X203</f>
        <v>0</v>
      </c>
      <c r="Y203" s="89">
        <f>'[1]OMM_Unit Matrix'!Y203</f>
        <v>0</v>
      </c>
      <c r="Z203" s="89">
        <f>'[1]OMM_Unit Matrix'!Z203</f>
        <v>0</v>
      </c>
      <c r="AA203" s="89">
        <f>'[1]OMM_Unit Matrix'!AA203</f>
        <v>0</v>
      </c>
      <c r="AB203" s="89">
        <f>'[1]OMM_Unit Matrix'!AB203</f>
        <v>0</v>
      </c>
      <c r="AC203" s="89">
        <f>'[1]OMM_Unit Matrix'!AC203</f>
        <v>0</v>
      </c>
      <c r="AD203" s="89">
        <f>'[1]OMM_Unit Matrix'!AD203</f>
        <v>0</v>
      </c>
      <c r="AE203" s="89">
        <f>'[1]OMM_Unit Matrix'!AE203</f>
        <v>0</v>
      </c>
      <c r="AF203" s="89">
        <f>'[1]OMM_Unit Matrix'!AF203</f>
        <v>0</v>
      </c>
      <c r="AG203" s="89">
        <f>'[1]OMM_Unit Matrix'!AG203</f>
        <v>0</v>
      </c>
      <c r="AH203" s="89">
        <f>'[1]OMM_Unit Matrix'!AH203</f>
        <v>0</v>
      </c>
      <c r="AI203" s="89">
        <f>'[1]OMM_Unit Matrix'!AI203</f>
        <v>0</v>
      </c>
      <c r="AJ203" s="89">
        <f>'[1]OMM_Unit Matrix'!AJ203</f>
        <v>0</v>
      </c>
      <c r="AK203" s="89">
        <f>'[1]OMM_Unit Matrix'!AK203</f>
        <v>0</v>
      </c>
      <c r="AL203" s="89">
        <f>'[1]OMM_Unit Matrix'!AL203</f>
        <v>0</v>
      </c>
      <c r="AM203" s="89">
        <f>'[1]OMM_Unit Matrix'!AM203</f>
        <v>0</v>
      </c>
      <c r="AN203" s="89">
        <f>'[1]OMM_Unit Matrix'!AN203</f>
        <v>0</v>
      </c>
      <c r="AO203" s="89">
        <f>'[1]OMM_Unit Matrix'!AO203</f>
        <v>0</v>
      </c>
      <c r="AP203" s="89">
        <f>'[1]OMM_Unit Matrix'!AP203</f>
        <v>0</v>
      </c>
      <c r="AQ203" s="270">
        <f>'[1]OMM_Unit Matrix'!AQ203</f>
        <v>0</v>
      </c>
    </row>
    <row r="204" spans="2:43">
      <c r="B204" s="89">
        <f>'[1]OMM_Unit Matrix'!B204</f>
        <v>8</v>
      </c>
      <c r="C204" s="275">
        <f>'[1]OMM_Unit Matrix'!C204</f>
        <v>26</v>
      </c>
      <c r="D204" s="89">
        <f>'[1]OMM_Unit Matrix'!D204</f>
        <v>8026</v>
      </c>
      <c r="E204" s="89" t="str">
        <f>'[1]OMM_Unit Matrix'!E204</f>
        <v>YES</v>
      </c>
      <c r="F204" s="132">
        <f>'[1]OMM_Unit Matrix'!F204</f>
        <v>8025.26</v>
      </c>
      <c r="G204" s="89" t="str">
        <f>'[1]OMM_Unit Matrix'!G204</f>
        <v>PENDING</v>
      </c>
      <c r="H204" s="89">
        <f>'[1]OMM_Unit Matrix'!H204</f>
        <v>0</v>
      </c>
      <c r="I204" s="89">
        <f>'[1]OMM_Unit Matrix'!I204</f>
        <v>0</v>
      </c>
      <c r="J204" s="89">
        <f>'[1]OMM_Unit Matrix'!J204</f>
        <v>0</v>
      </c>
      <c r="K204" s="89">
        <f>'[1]OMM_Unit Matrix'!K204</f>
        <v>0</v>
      </c>
      <c r="L204" s="89">
        <f>'[1]OMM_Unit Matrix'!L204</f>
        <v>0</v>
      </c>
      <c r="M204" s="89">
        <f>'[1]OMM_Unit Matrix'!M204</f>
        <v>0</v>
      </c>
      <c r="N204" s="89">
        <f>'[1]OMM_Unit Matrix'!N204</f>
        <v>0</v>
      </c>
      <c r="O204" s="89">
        <f>'[1]OMM_Unit Matrix'!O204</f>
        <v>0</v>
      </c>
      <c r="P204" s="89">
        <f>'[1]OMM_Unit Matrix'!P204</f>
        <v>0</v>
      </c>
      <c r="Q204" s="89">
        <f>'[1]OMM_Unit Matrix'!Q204</f>
        <v>0</v>
      </c>
      <c r="R204" s="89">
        <f>'[1]OMM_Unit Matrix'!R204</f>
        <v>0</v>
      </c>
      <c r="S204" s="89">
        <f>'[1]OMM_Unit Matrix'!S204</f>
        <v>0</v>
      </c>
      <c r="T204" s="89">
        <f>'[1]OMM_Unit Matrix'!T204</f>
        <v>0</v>
      </c>
      <c r="U204" s="89">
        <f>'[1]OMM_Unit Matrix'!U204</f>
        <v>0</v>
      </c>
      <c r="V204" s="89">
        <f>'[1]OMM_Unit Matrix'!V204</f>
        <v>0</v>
      </c>
      <c r="W204" s="89">
        <f>'[1]OMM_Unit Matrix'!W204</f>
        <v>0</v>
      </c>
      <c r="X204" s="89">
        <f>'[1]OMM_Unit Matrix'!X204</f>
        <v>0</v>
      </c>
      <c r="Y204" s="89">
        <f>'[1]OMM_Unit Matrix'!Y204</f>
        <v>0</v>
      </c>
      <c r="Z204" s="89">
        <f>'[1]OMM_Unit Matrix'!Z204</f>
        <v>0</v>
      </c>
      <c r="AA204" s="89">
        <f>'[1]OMM_Unit Matrix'!AA204</f>
        <v>0</v>
      </c>
      <c r="AB204" s="89">
        <f>'[1]OMM_Unit Matrix'!AB204</f>
        <v>0</v>
      </c>
      <c r="AC204" s="89">
        <f>'[1]OMM_Unit Matrix'!AC204</f>
        <v>0</v>
      </c>
      <c r="AD204" s="89">
        <f>'[1]OMM_Unit Matrix'!AD204</f>
        <v>0</v>
      </c>
      <c r="AE204" s="89">
        <f>'[1]OMM_Unit Matrix'!AE204</f>
        <v>0</v>
      </c>
      <c r="AF204" s="89">
        <f>'[1]OMM_Unit Matrix'!AF204</f>
        <v>0</v>
      </c>
      <c r="AG204" s="89">
        <f>'[1]OMM_Unit Matrix'!AG204</f>
        <v>0</v>
      </c>
      <c r="AH204" s="89">
        <f>'[1]OMM_Unit Matrix'!AH204</f>
        <v>0</v>
      </c>
      <c r="AI204" s="89">
        <f>'[1]OMM_Unit Matrix'!AI204</f>
        <v>0</v>
      </c>
      <c r="AJ204" s="89">
        <f>'[1]OMM_Unit Matrix'!AJ204</f>
        <v>0</v>
      </c>
      <c r="AK204" s="89">
        <f>'[1]OMM_Unit Matrix'!AK204</f>
        <v>0</v>
      </c>
      <c r="AL204" s="89">
        <f>'[1]OMM_Unit Matrix'!AL204</f>
        <v>0</v>
      </c>
      <c r="AM204" s="89">
        <f>'[1]OMM_Unit Matrix'!AM204</f>
        <v>0</v>
      </c>
      <c r="AN204" s="89">
        <f>'[1]OMM_Unit Matrix'!AN204</f>
        <v>0</v>
      </c>
      <c r="AO204" s="89">
        <f>'[1]OMM_Unit Matrix'!AO204</f>
        <v>0</v>
      </c>
      <c r="AP204" s="89">
        <f>'[1]OMM_Unit Matrix'!AP204</f>
        <v>0</v>
      </c>
      <c r="AQ204" s="270">
        <f>'[1]OMM_Unit Matrix'!AQ204</f>
        <v>0</v>
      </c>
    </row>
    <row r="205" spans="2:43" hidden="1">
      <c r="B205" s="89">
        <f>'[1]OMM_Unit Matrix'!B205</f>
        <v>8</v>
      </c>
      <c r="C205" s="275">
        <f>'[1]OMM_Unit Matrix'!C205</f>
        <v>27</v>
      </c>
      <c r="D205" s="89">
        <f>'[1]OMM_Unit Matrix'!D205</f>
        <v>8027</v>
      </c>
      <c r="E205" s="89">
        <f>'[1]OMM_Unit Matrix'!E205</f>
        <v>0</v>
      </c>
      <c r="F205" s="89">
        <f>'[1]OMM_Unit Matrix'!F205</f>
        <v>0</v>
      </c>
      <c r="G205" s="89" t="str">
        <f>'[1]OMM_Unit Matrix'!G205</f>
        <v>NOT IN SCOPE</v>
      </c>
      <c r="H205" s="89">
        <f>'[1]OMM_Unit Matrix'!H205</f>
        <v>0</v>
      </c>
      <c r="I205" s="89">
        <f>'[1]OMM_Unit Matrix'!I205</f>
        <v>0</v>
      </c>
      <c r="J205" s="89">
        <f>'[1]OMM_Unit Matrix'!J205</f>
        <v>0</v>
      </c>
      <c r="K205" s="89">
        <f>'[1]OMM_Unit Matrix'!K205</f>
        <v>0</v>
      </c>
      <c r="L205" s="89">
        <f>'[1]OMM_Unit Matrix'!L205</f>
        <v>0</v>
      </c>
      <c r="M205" s="89">
        <f>'[1]OMM_Unit Matrix'!M205</f>
        <v>0</v>
      </c>
      <c r="N205" s="89">
        <f>'[1]OMM_Unit Matrix'!N205</f>
        <v>0</v>
      </c>
      <c r="O205" s="89">
        <f>'[1]OMM_Unit Matrix'!O205</f>
        <v>0</v>
      </c>
      <c r="P205" s="89">
        <f>'[1]OMM_Unit Matrix'!P205</f>
        <v>0</v>
      </c>
      <c r="Q205" s="89">
        <f>'[1]OMM_Unit Matrix'!Q205</f>
        <v>0</v>
      </c>
      <c r="R205" s="89">
        <f>'[1]OMM_Unit Matrix'!R205</f>
        <v>0</v>
      </c>
      <c r="S205" s="89">
        <f>'[1]OMM_Unit Matrix'!S205</f>
        <v>0</v>
      </c>
      <c r="T205" s="89">
        <f>'[1]OMM_Unit Matrix'!T205</f>
        <v>0</v>
      </c>
      <c r="U205" s="89">
        <f>'[1]OMM_Unit Matrix'!U205</f>
        <v>0</v>
      </c>
      <c r="V205" s="89">
        <f>'[1]OMM_Unit Matrix'!V205</f>
        <v>0</v>
      </c>
      <c r="W205" s="89">
        <f>'[1]OMM_Unit Matrix'!W205</f>
        <v>0</v>
      </c>
      <c r="X205" s="89">
        <f>'[1]OMM_Unit Matrix'!X205</f>
        <v>0</v>
      </c>
      <c r="Y205" s="89">
        <f>'[1]OMM_Unit Matrix'!Y205</f>
        <v>0</v>
      </c>
      <c r="Z205" s="89">
        <f>'[1]OMM_Unit Matrix'!Z205</f>
        <v>0</v>
      </c>
      <c r="AA205" s="89">
        <f>'[1]OMM_Unit Matrix'!AA205</f>
        <v>0</v>
      </c>
      <c r="AB205" s="89">
        <f>'[1]OMM_Unit Matrix'!AB205</f>
        <v>0</v>
      </c>
      <c r="AC205" s="89">
        <f>'[1]OMM_Unit Matrix'!AC205</f>
        <v>0</v>
      </c>
      <c r="AD205" s="89">
        <f>'[1]OMM_Unit Matrix'!AD205</f>
        <v>0</v>
      </c>
      <c r="AE205" s="89">
        <f>'[1]OMM_Unit Matrix'!AE205</f>
        <v>0</v>
      </c>
      <c r="AF205" s="89">
        <f>'[1]OMM_Unit Matrix'!AF205</f>
        <v>0</v>
      </c>
      <c r="AG205" s="89">
        <f>'[1]OMM_Unit Matrix'!AG205</f>
        <v>0</v>
      </c>
      <c r="AH205" s="89">
        <f>'[1]OMM_Unit Matrix'!AH205</f>
        <v>0</v>
      </c>
      <c r="AI205" s="89">
        <f>'[1]OMM_Unit Matrix'!AI205</f>
        <v>0</v>
      </c>
      <c r="AJ205" s="89">
        <f>'[1]OMM_Unit Matrix'!AJ205</f>
        <v>0</v>
      </c>
      <c r="AK205" s="89">
        <f>'[1]OMM_Unit Matrix'!AK205</f>
        <v>0</v>
      </c>
      <c r="AL205" s="89">
        <f>'[1]OMM_Unit Matrix'!AL205</f>
        <v>0</v>
      </c>
      <c r="AM205" s="89">
        <f>'[1]OMM_Unit Matrix'!AM205</f>
        <v>0</v>
      </c>
      <c r="AN205" s="89">
        <f>'[1]OMM_Unit Matrix'!AN205</f>
        <v>0</v>
      </c>
      <c r="AO205" s="89">
        <f>'[1]OMM_Unit Matrix'!AO205</f>
        <v>0</v>
      </c>
      <c r="AP205" s="89">
        <f>'[1]OMM_Unit Matrix'!AP205</f>
        <v>0</v>
      </c>
      <c r="AQ205" s="270">
        <f>'[1]OMM_Unit Matrix'!AQ205</f>
        <v>0</v>
      </c>
    </row>
    <row r="206" spans="2:43" hidden="1">
      <c r="B206" s="89">
        <f>'[1]OMM_Unit Matrix'!B206</f>
        <v>8</v>
      </c>
      <c r="C206" s="275">
        <f>'[1]OMM_Unit Matrix'!C206</f>
        <v>28</v>
      </c>
      <c r="D206" s="89">
        <f>'[1]OMM_Unit Matrix'!D206</f>
        <v>8028</v>
      </c>
      <c r="E206" s="89">
        <f>'[1]OMM_Unit Matrix'!E206</f>
        <v>0</v>
      </c>
      <c r="F206" s="89">
        <f>'[1]OMM_Unit Matrix'!F206</f>
        <v>0</v>
      </c>
      <c r="G206" s="89" t="str">
        <f>'[1]OMM_Unit Matrix'!G206</f>
        <v>NOT IN SCOPE</v>
      </c>
      <c r="H206" s="89">
        <f>'[1]OMM_Unit Matrix'!H206</f>
        <v>0</v>
      </c>
      <c r="I206" s="89">
        <f>'[1]OMM_Unit Matrix'!I206</f>
        <v>0</v>
      </c>
      <c r="J206" s="89">
        <f>'[1]OMM_Unit Matrix'!J206</f>
        <v>0</v>
      </c>
      <c r="K206" s="89">
        <f>'[1]OMM_Unit Matrix'!K206</f>
        <v>0</v>
      </c>
      <c r="L206" s="276">
        <f>'[1]OMM_Unit Matrix'!L206</f>
        <v>0</v>
      </c>
      <c r="M206" s="276">
        <f>'[1]OMM_Unit Matrix'!M206</f>
        <v>0</v>
      </c>
      <c r="N206" s="276">
        <f>'[1]OMM_Unit Matrix'!N206</f>
        <v>0</v>
      </c>
      <c r="O206" s="276">
        <f>'[1]OMM_Unit Matrix'!O206</f>
        <v>0</v>
      </c>
      <c r="P206" s="276">
        <f>'[1]OMM_Unit Matrix'!P206</f>
        <v>0</v>
      </c>
      <c r="Q206" s="276">
        <f>'[1]OMM_Unit Matrix'!Q206</f>
        <v>0</v>
      </c>
      <c r="R206" s="276">
        <f>'[1]OMM_Unit Matrix'!R206</f>
        <v>0</v>
      </c>
      <c r="S206" s="276">
        <f>'[1]OMM_Unit Matrix'!S206</f>
        <v>0</v>
      </c>
      <c r="T206" s="276">
        <f>'[1]OMM_Unit Matrix'!T206</f>
        <v>0</v>
      </c>
      <c r="U206" s="276">
        <f>'[1]OMM_Unit Matrix'!U206</f>
        <v>0</v>
      </c>
      <c r="V206" s="276">
        <f>'[1]OMM_Unit Matrix'!V206</f>
        <v>0</v>
      </c>
      <c r="W206" s="276">
        <f>'[1]OMM_Unit Matrix'!W206</f>
        <v>0</v>
      </c>
      <c r="X206" s="276">
        <f>'[1]OMM_Unit Matrix'!X206</f>
        <v>0</v>
      </c>
      <c r="Y206" s="276">
        <f>'[1]OMM_Unit Matrix'!Y206</f>
        <v>0</v>
      </c>
      <c r="Z206" s="276">
        <f>'[1]OMM_Unit Matrix'!Z206</f>
        <v>0</v>
      </c>
      <c r="AA206" s="276">
        <f>'[1]OMM_Unit Matrix'!AA206</f>
        <v>0</v>
      </c>
      <c r="AB206" s="276">
        <f>'[1]OMM_Unit Matrix'!AB206</f>
        <v>0</v>
      </c>
      <c r="AC206" s="276">
        <f>'[1]OMM_Unit Matrix'!AC206</f>
        <v>0</v>
      </c>
      <c r="AD206" s="276">
        <f>'[1]OMM_Unit Matrix'!AD206</f>
        <v>0</v>
      </c>
      <c r="AE206" s="276">
        <f>'[1]OMM_Unit Matrix'!AE206</f>
        <v>0</v>
      </c>
      <c r="AF206" s="276">
        <f>'[1]OMM_Unit Matrix'!AF206</f>
        <v>0</v>
      </c>
      <c r="AG206" s="276">
        <f>'[1]OMM_Unit Matrix'!AG206</f>
        <v>0</v>
      </c>
      <c r="AH206" s="276">
        <f>'[1]OMM_Unit Matrix'!AH206</f>
        <v>0</v>
      </c>
      <c r="AI206" s="276">
        <f>'[1]OMM_Unit Matrix'!AI206</f>
        <v>0</v>
      </c>
      <c r="AJ206" s="276">
        <f>'[1]OMM_Unit Matrix'!AJ206</f>
        <v>0</v>
      </c>
      <c r="AK206" s="276">
        <f>'[1]OMM_Unit Matrix'!AK206</f>
        <v>0</v>
      </c>
      <c r="AL206" s="276">
        <f>'[1]OMM_Unit Matrix'!AL206</f>
        <v>0</v>
      </c>
      <c r="AM206" s="276">
        <f>'[1]OMM_Unit Matrix'!AM206</f>
        <v>0</v>
      </c>
      <c r="AN206" s="276">
        <f>'[1]OMM_Unit Matrix'!AN206</f>
        <v>0</v>
      </c>
      <c r="AO206" s="276">
        <f>'[1]OMM_Unit Matrix'!AO206</f>
        <v>0</v>
      </c>
      <c r="AP206" s="276">
        <f>'[1]OMM_Unit Matrix'!AP206</f>
        <v>0</v>
      </c>
      <c r="AQ206" s="271">
        <f>'[1]OMM_Unit Matrix'!AQ206</f>
        <v>0</v>
      </c>
    </row>
    <row r="207" spans="2:43" ht="16.149999999999999" customHeight="1">
      <c r="B207" s="136" t="s">
        <v>797</v>
      </c>
      <c r="C207" s="136">
        <f>SUBTOTAL(103,Table2[UNIT '#])</f>
        <v>49</v>
      </c>
      <c r="D207" s="137"/>
      <c r="E207" s="137"/>
      <c r="F207" s="137"/>
      <c r="G207" s="137"/>
      <c r="H207" s="139"/>
      <c r="I207" s="139"/>
      <c r="J207" s="139"/>
      <c r="K207" s="139"/>
      <c r="L207" s="133"/>
      <c r="M207" s="133"/>
      <c r="N207" s="133"/>
      <c r="O207" s="133"/>
      <c r="P207" s="133"/>
      <c r="Q207" s="133"/>
      <c r="R207" s="133"/>
      <c r="S207" s="133"/>
      <c r="T207" s="133"/>
      <c r="U207" s="133"/>
      <c r="V207" s="133"/>
      <c r="W207" s="133"/>
      <c r="X207" s="133"/>
      <c r="Y207" s="133"/>
      <c r="Z207" s="133"/>
      <c r="AA207" s="133"/>
      <c r="AB207" s="133"/>
      <c r="AC207" s="133"/>
      <c r="AD207" s="133"/>
      <c r="AE207" s="133"/>
      <c r="AF207" s="133"/>
      <c r="AG207" s="133"/>
      <c r="AH207" s="133"/>
      <c r="AI207" s="133"/>
      <c r="AJ207" s="133"/>
      <c r="AK207" s="133"/>
      <c r="AL207" s="133"/>
      <c r="AM207" s="133"/>
      <c r="AN207" s="133"/>
      <c r="AO207" s="133"/>
      <c r="AP207" s="133"/>
      <c r="AQ207" s="133"/>
    </row>
  </sheetData>
  <mergeCells count="24">
    <mergeCell ref="AH8:AI8"/>
    <mergeCell ref="AF8:AG8"/>
    <mergeCell ref="AD8:AE8"/>
    <mergeCell ref="AB8:AC8"/>
    <mergeCell ref="AJ7:AQ7"/>
    <mergeCell ref="AP8:AQ8"/>
    <mergeCell ref="AN8:AO8"/>
    <mergeCell ref="AL8:AM8"/>
    <mergeCell ref="AJ8:AK8"/>
    <mergeCell ref="AB7:AI7"/>
    <mergeCell ref="G7:G8"/>
    <mergeCell ref="B7:F8"/>
    <mergeCell ref="H8:I8"/>
    <mergeCell ref="L8:M8"/>
    <mergeCell ref="N8:O8"/>
    <mergeCell ref="H7:U7"/>
    <mergeCell ref="R8:S8"/>
    <mergeCell ref="V8:W8"/>
    <mergeCell ref="X8:Y8"/>
    <mergeCell ref="Z8:AA8"/>
    <mergeCell ref="V7:AA7"/>
    <mergeCell ref="J8:K8"/>
    <mergeCell ref="P8:Q8"/>
    <mergeCell ref="T8:U8"/>
  </mergeCells>
  <conditionalFormatting sqref="E10:F206">
    <cfRule type="expression" dxfId="198" priority="76">
      <formula>$G10="NOT IN SCOPE"</formula>
    </cfRule>
  </conditionalFormatting>
  <conditionalFormatting sqref="H11:I206">
    <cfRule type="expression" dxfId="197" priority="74">
      <formula>$H11="NO"</formula>
    </cfRule>
  </conditionalFormatting>
  <conditionalFormatting sqref="H10:AQ206">
    <cfRule type="expression" dxfId="196" priority="75">
      <formula>$G10="NOT IN SCOPE"</formula>
    </cfRule>
  </conditionalFormatting>
  <conditionalFormatting sqref="I25">
    <cfRule type="expression" dxfId="195" priority="49">
      <formula>$N25="NO"</formula>
    </cfRule>
    <cfRule type="expression" dxfId="194" priority="50">
      <formula>$V25="NO"</formula>
    </cfRule>
  </conditionalFormatting>
  <conditionalFormatting sqref="I33">
    <cfRule type="expression" dxfId="193" priority="29">
      <formula>$N33="NO"</formula>
    </cfRule>
    <cfRule type="expression" dxfId="192" priority="30">
      <formula>$V33="NO"</formula>
    </cfRule>
  </conditionalFormatting>
  <conditionalFormatting sqref="I55">
    <cfRule type="expression" dxfId="191" priority="8">
      <formula>$N55="NO"</formula>
    </cfRule>
  </conditionalFormatting>
  <conditionalFormatting sqref="I58">
    <cfRule type="expression" dxfId="190" priority="7">
      <formula>$N58="NO"</formula>
    </cfRule>
  </conditionalFormatting>
  <conditionalFormatting sqref="I65">
    <cfRule type="expression" dxfId="189" priority="6">
      <formula>$N65="NO"</formula>
    </cfRule>
  </conditionalFormatting>
  <conditionalFormatting sqref="J11:K206">
    <cfRule type="expression" dxfId="188" priority="73">
      <formula>$J11="NO"</formula>
    </cfRule>
  </conditionalFormatting>
  <conditionalFormatting sqref="L131">
    <cfRule type="expression" dxfId="187" priority="56">
      <formula>$J131="NO"</formula>
    </cfRule>
  </conditionalFormatting>
  <conditionalFormatting sqref="L197">
    <cfRule type="expression" dxfId="186" priority="5">
      <formula>$J197="NO"</formula>
    </cfRule>
  </conditionalFormatting>
  <conditionalFormatting sqref="L11:M206">
    <cfRule type="expression" dxfId="185" priority="72">
      <formula>$L11="NO"</formula>
    </cfRule>
  </conditionalFormatting>
  <conditionalFormatting sqref="M25">
    <cfRule type="expression" dxfId="184" priority="46">
      <formula>$N25="NO"</formula>
    </cfRule>
    <cfRule type="expression" dxfId="183" priority="47">
      <formula>$V25="NO"</formula>
    </cfRule>
    <cfRule type="expression" dxfId="182" priority="48">
      <formula>$H25="NO"</formula>
    </cfRule>
  </conditionalFormatting>
  <conditionalFormatting sqref="M33">
    <cfRule type="expression" dxfId="181" priority="26">
      <formula>$N33="NO"</formula>
    </cfRule>
    <cfRule type="expression" dxfId="180" priority="27">
      <formula>$V33="NO"</formula>
    </cfRule>
    <cfRule type="expression" dxfId="179" priority="28">
      <formula>$H33="NO"</formula>
    </cfRule>
  </conditionalFormatting>
  <conditionalFormatting sqref="N197">
    <cfRule type="expression" dxfId="178" priority="3">
      <formula>$J197="NO"</formula>
    </cfRule>
    <cfRule type="expression" dxfId="177" priority="4">
      <formula>$L197="NO"</formula>
    </cfRule>
  </conditionalFormatting>
  <conditionalFormatting sqref="N11:O206">
    <cfRule type="expression" dxfId="176" priority="71">
      <formula>$N11="NO"</formula>
    </cfRule>
  </conditionalFormatting>
  <conditionalFormatting sqref="O25">
    <cfRule type="expression" dxfId="175" priority="43">
      <formula>$N25="NO"</formula>
    </cfRule>
    <cfRule type="expression" dxfId="174" priority="44">
      <formula>$V25="NO"</formula>
    </cfRule>
    <cfRule type="expression" dxfId="173" priority="45">
      <formula>$H25="NO"</formula>
    </cfRule>
  </conditionalFormatting>
  <conditionalFormatting sqref="O33">
    <cfRule type="expression" dxfId="172" priority="23">
      <formula>$N33="NO"</formula>
    </cfRule>
    <cfRule type="expression" dxfId="171" priority="24">
      <formula>$V33="NO"</formula>
    </cfRule>
    <cfRule type="expression" dxfId="170" priority="25">
      <formula>$H33="NO"</formula>
    </cfRule>
  </conditionalFormatting>
  <conditionalFormatting sqref="P131">
    <cfRule type="expression" dxfId="169" priority="54">
      <formula>$J131="NO"</formula>
    </cfRule>
    <cfRule type="expression" dxfId="168" priority="55">
      <formula>$L131="NO"</formula>
    </cfRule>
  </conditionalFormatting>
  <conditionalFormatting sqref="P197">
    <cfRule type="expression" dxfId="167" priority="1">
      <formula>$J197="NO"</formula>
    </cfRule>
    <cfRule type="expression" dxfId="166" priority="2">
      <formula>$L197="NO"</formula>
    </cfRule>
  </conditionalFormatting>
  <conditionalFormatting sqref="P11:Q206">
    <cfRule type="expression" dxfId="165" priority="70">
      <formula>$P11="NO"</formula>
    </cfRule>
  </conditionalFormatting>
  <conditionalFormatting sqref="R11:S206">
    <cfRule type="expression" dxfId="164" priority="69">
      <formula>$R11="NO"</formula>
    </cfRule>
  </conditionalFormatting>
  <conditionalFormatting sqref="T11:U206">
    <cfRule type="expression" dxfId="163" priority="68">
      <formula>$T11="NO"</formula>
    </cfRule>
  </conditionalFormatting>
  <conditionalFormatting sqref="V11:W206">
    <cfRule type="expression" dxfId="162" priority="67">
      <formula>$V11="NO"</formula>
    </cfRule>
  </conditionalFormatting>
  <conditionalFormatting sqref="W17">
    <cfRule type="expression" dxfId="161" priority="53">
      <formula>$N17="NO"</formula>
    </cfRule>
  </conditionalFormatting>
  <conditionalFormatting sqref="W25">
    <cfRule type="expression" dxfId="160" priority="39">
      <formula>$N25="NO"</formula>
    </cfRule>
    <cfRule type="expression" dxfId="159" priority="40">
      <formula>$V25="NO"</formula>
    </cfRule>
    <cfRule type="expression" dxfId="158" priority="41">
      <formula>$H25="NO"</formula>
    </cfRule>
  </conditionalFormatting>
  <conditionalFormatting sqref="W33">
    <cfRule type="expression" dxfId="157" priority="20">
      <formula>$N33="NO"</formula>
    </cfRule>
    <cfRule type="expression" dxfId="156" priority="21">
      <formula>$V33="NO"</formula>
    </cfRule>
    <cfRule type="expression" dxfId="155" priority="22">
      <formula>$H33="NO"</formula>
    </cfRule>
  </conditionalFormatting>
  <conditionalFormatting sqref="W43">
    <cfRule type="expression" dxfId="154" priority="10">
      <formula>$N43="NO"</formula>
    </cfRule>
  </conditionalFormatting>
  <conditionalFormatting sqref="X11:Y206">
    <cfRule type="expression" dxfId="153" priority="66">
      <formula>$X11="NO"</formula>
    </cfRule>
  </conditionalFormatting>
  <conditionalFormatting sqref="Y43">
    <cfRule type="expression" dxfId="152" priority="9">
      <formula>$N43="NO"</formula>
    </cfRule>
  </conditionalFormatting>
  <conditionalFormatting sqref="Z11:AA206">
    <cfRule type="expression" dxfId="151" priority="65">
      <formula>$Z11="NO"</formula>
    </cfRule>
  </conditionalFormatting>
  <conditionalFormatting sqref="AB11:AC206">
    <cfRule type="expression" dxfId="150" priority="64">
      <formula>$AB11="NO"</formula>
    </cfRule>
  </conditionalFormatting>
  <conditionalFormatting sqref="AC17">
    <cfRule type="expression" dxfId="149" priority="51">
      <formula>$N17="NO"</formula>
    </cfRule>
    <cfRule type="expression" dxfId="148" priority="52">
      <formula>$V17="NO"</formula>
    </cfRule>
  </conditionalFormatting>
  <conditionalFormatting sqref="AC25">
    <cfRule type="expression" dxfId="147" priority="35">
      <formula>$N25="NO"</formula>
    </cfRule>
    <cfRule type="expression" dxfId="146" priority="36">
      <formula>$V25="NO"</formula>
    </cfRule>
    <cfRule type="expression" dxfId="145" priority="37">
      <formula>$H25="NO"</formula>
    </cfRule>
  </conditionalFormatting>
  <conditionalFormatting sqref="AC33">
    <cfRule type="expression" dxfId="144" priority="17">
      <formula>$N33="NO"</formula>
    </cfRule>
    <cfRule type="expression" dxfId="143" priority="18">
      <formula>$V33="NO"</formula>
    </cfRule>
    <cfRule type="expression" dxfId="142" priority="19">
      <formula>$H33="NO"</formula>
    </cfRule>
  </conditionalFormatting>
  <conditionalFormatting sqref="AD11:AE206">
    <cfRule type="expression" dxfId="141" priority="63">
      <formula>$AD11="NO"</formula>
    </cfRule>
  </conditionalFormatting>
  <conditionalFormatting sqref="AE25">
    <cfRule type="expression" dxfId="140" priority="31">
      <formula>$N25="NO"</formula>
    </cfRule>
    <cfRule type="expression" dxfId="139" priority="32">
      <formula>$V25="NO"</formula>
    </cfRule>
    <cfRule type="expression" dxfId="138" priority="33">
      <formula>$H25="NO"</formula>
    </cfRule>
  </conditionalFormatting>
  <conditionalFormatting sqref="AE33">
    <cfRule type="expression" dxfId="137" priority="14">
      <formula>$N33="NO"</formula>
    </cfRule>
    <cfRule type="expression" dxfId="136" priority="15">
      <formula>$V33="NO"</formula>
    </cfRule>
    <cfRule type="expression" dxfId="135" priority="16">
      <formula>$H33="NO"</formula>
    </cfRule>
  </conditionalFormatting>
  <conditionalFormatting sqref="AF11:AG206">
    <cfRule type="expression" dxfId="134" priority="62">
      <formula>$AF11="NO"</formula>
    </cfRule>
  </conditionalFormatting>
  <conditionalFormatting sqref="AH11:AI206">
    <cfRule type="expression" dxfId="133" priority="61">
      <formula>$AH11="NO"</formula>
    </cfRule>
  </conditionalFormatting>
  <conditionalFormatting sqref="AJ11:AK206">
    <cfRule type="expression" dxfId="132" priority="60">
      <formula>$AJ11="NO"</formula>
    </cfRule>
  </conditionalFormatting>
  <conditionalFormatting sqref="AL11:AM206">
    <cfRule type="expression" dxfId="131" priority="59">
      <formula>$AL11="NO"</formula>
    </cfRule>
  </conditionalFormatting>
  <conditionalFormatting sqref="AM33">
    <cfRule type="expression" dxfId="130" priority="11">
      <formula>$N33="NO"</formula>
    </cfRule>
    <cfRule type="expression" dxfId="129" priority="12">
      <formula>$V33="NO"</formula>
    </cfRule>
    <cfRule type="expression" dxfId="128" priority="13">
      <formula>$H33="NO"</formula>
    </cfRule>
  </conditionalFormatting>
  <conditionalFormatting sqref="AN11:AO206">
    <cfRule type="expression" dxfId="127" priority="58">
      <formula>$AN11="NO"</formula>
    </cfRule>
  </conditionalFormatting>
  <conditionalFormatting sqref="AP11:AQ206">
    <cfRule type="expression" dxfId="126" priority="57">
      <formula>$AP11="NO"</formula>
    </cfRule>
  </conditionalFormatting>
  <dataValidations count="2">
    <dataValidation type="list" allowBlank="1" showInputMessage="1" showErrorMessage="1" sqref="E11:E66 T16:T17 H25 H33 AP33 H43:H45 AD55 AN58 AN63 AL65 H102:H103 R203 H119 H124:H125 H129 H131:H132 H139:H142 H147 H156:H157 H159:H161 H169:H171 H175 H179 H183:H184 H186:H190 P131 H203:H204 J16:J17 L16:L17 N16:N17 P16:P17 R16:R17 H16:H17 V16:V17 AB16:AB17 J25 L25 N25 T25 P25 R25 V25 AB25 AD25 J33 L33 N33 P33 R33 T33 V33 AB33 AD33 X16 Z16:Z17 Z25 Z33 AD16:AD17 AF16:AF17 AF25 AF33 AH16:AH19 AH25 AH33 AJ16:AJ17 AJ25 AJ33 AL16:AL19 AL25 AL33 AN16:AN17 AN25 AN33 AP16:AP17 AP25 AP43:AP45 J43:J45 L43:L45 N43:N45 P43:P45 R43:R45 T43:T45 V43:V45 X43:X45 Z43:Z45 AB43:AB45 AD43:AD45 AF43:AF45 AH43:AH45 AJ43:AJ45 AL43:AL45 AN43:AN45 H55 J55 L55 N55 P55 R55 T55 V55 X55 Z55 AB55 AP55 AF55 AH55 AJ55 AL55 AN55 H58 J58 L58 N58 P58 R58 T58 V58 X58 Z58 AB58 AD58 AP58 AF58 AH58 AJ58 AL58 H63 J63 L63 N63 P63 R63 T63 V63 AP63 X63 Z63 AB63 AD63 AF63 AH63 AJ63 AL63 H65 J65 L65 N65 P65 R65 T65 V65 X65 Z65 AB65 AD65 AN65 AP65 AF65 AH65 AJ65 H74 J74 L74 N74 P74 R74 T74 V74 X74 Z74 AB74 AD74 AF74 AH74 AJ74 AL74 AN74 AP74 J114 L114 N114 P114 R114 J203 L203 N203 P203 H113:H115 L131 H197:H198 J197:J198 L197:L198 N197 P197" xr:uid="{A7A7DEF8-1625-46FB-80FD-8336F8572276}">
      <formula1>"YES, NO"</formula1>
    </dataValidation>
    <dataValidation type="list" allowBlank="1" showInputMessage="1" showErrorMessage="1" sqref="G11:G206" xr:uid="{6FCD4893-7CE1-484D-977A-C849DD2A2400}">
      <formula1>"ORDERED, PENDING, NOT IN SCOPE"</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3A9F9-3200-47F4-BB2B-B962AFB8DA5B}">
  <sheetPr>
    <tabColor theme="8"/>
    <pageSetUpPr fitToPage="1"/>
  </sheetPr>
  <dimension ref="B1:I49"/>
  <sheetViews>
    <sheetView zoomScaleNormal="100" workbookViewId="0">
      <selection activeCell="K18" sqref="K18"/>
    </sheetView>
  </sheetViews>
  <sheetFormatPr defaultColWidth="9" defaultRowHeight="14.25"/>
  <cols>
    <col min="1" max="1" width="2.125" style="90" customWidth="1"/>
    <col min="2" max="2" width="7.25" style="90" customWidth="1"/>
    <col min="3" max="3" width="8.125" style="90" customWidth="1"/>
    <col min="4" max="4" width="12.125" style="90" bestFit="1" customWidth="1"/>
    <col min="5" max="8" width="13.25" style="90" customWidth="1"/>
    <col min="9" max="9" width="14.75" style="90" customWidth="1"/>
    <col min="10" max="16384" width="9" style="90"/>
  </cols>
  <sheetData>
    <row r="1" spans="2:9" ht="13.9" customHeight="1"/>
    <row r="2" spans="2:9" ht="19.5">
      <c r="B2" s="88" t="s">
        <v>798</v>
      </c>
      <c r="C2" s="88"/>
      <c r="D2" s="88"/>
      <c r="E2"/>
      <c r="F2"/>
      <c r="G2"/>
      <c r="H2"/>
    </row>
    <row r="3" spans="2:9">
      <c r="B3" s="169" t="s">
        <v>799</v>
      </c>
      <c r="C3" s="169"/>
      <c r="D3" s="169"/>
    </row>
    <row r="4" spans="2:9">
      <c r="F4" s="353" t="s">
        <v>800</v>
      </c>
    </row>
    <row r="5" spans="2:9" ht="13.9" customHeight="1">
      <c r="B5" s="350" t="s">
        <v>801</v>
      </c>
      <c r="C5" s="351"/>
      <c r="D5" s="351"/>
      <c r="E5" s="352" t="s">
        <v>802</v>
      </c>
      <c r="F5" s="352"/>
      <c r="G5" s="352"/>
      <c r="H5" s="352"/>
      <c r="I5" s="352"/>
    </row>
    <row r="6" spans="2:9" ht="28.5">
      <c r="B6" s="89" t="s">
        <v>28</v>
      </c>
      <c r="C6" s="89" t="s">
        <v>803</v>
      </c>
      <c r="D6" s="89" t="s">
        <v>804</v>
      </c>
      <c r="E6" s="354" t="s">
        <v>805</v>
      </c>
      <c r="F6" s="355" t="s">
        <v>806</v>
      </c>
      <c r="G6" s="356" t="s">
        <v>807</v>
      </c>
      <c r="H6" s="357" t="s">
        <v>808</v>
      </c>
      <c r="I6" s="357" t="s">
        <v>809</v>
      </c>
    </row>
    <row r="7" spans="2:9">
      <c r="B7" s="92">
        <v>1</v>
      </c>
      <c r="C7" s="94"/>
      <c r="D7" s="94"/>
      <c r="E7" s="233"/>
      <c r="F7" s="237"/>
      <c r="G7" s="235"/>
      <c r="H7" s="95"/>
      <c r="I7" s="95"/>
    </row>
    <row r="8" spans="2:9">
      <c r="B8" s="92" cm="1">
        <f t="array" ref="B8:I49">'[1]OMM_Buildout '!$B$8:$I$49</f>
        <v>2</v>
      </c>
      <c r="C8" s="92">
        <v>1</v>
      </c>
      <c r="D8" s="92">
        <v>5</v>
      </c>
      <c r="E8" s="234">
        <v>46276</v>
      </c>
      <c r="F8" s="238">
        <v>46281</v>
      </c>
      <c r="G8" s="236">
        <v>46282</v>
      </c>
      <c r="H8" s="93">
        <v>46484</v>
      </c>
      <c r="I8" s="93">
        <v>46478</v>
      </c>
    </row>
    <row r="9" spans="2:9">
      <c r="B9" s="92">
        <v>2</v>
      </c>
      <c r="C9" s="92">
        <v>2</v>
      </c>
      <c r="D9" s="92">
        <v>5</v>
      </c>
      <c r="E9" s="234">
        <v>46282</v>
      </c>
      <c r="F9" s="238">
        <v>46286</v>
      </c>
      <c r="G9" s="236">
        <v>46287</v>
      </c>
      <c r="H9" s="93">
        <v>46484</v>
      </c>
      <c r="I9" s="93">
        <v>46483</v>
      </c>
    </row>
    <row r="10" spans="2:9">
      <c r="B10" s="92">
        <v>2</v>
      </c>
      <c r="C10" s="92">
        <v>3</v>
      </c>
      <c r="D10" s="92">
        <v>5</v>
      </c>
      <c r="E10" s="234">
        <v>46287</v>
      </c>
      <c r="F10" s="238">
        <v>46289</v>
      </c>
      <c r="G10" s="236">
        <v>46290</v>
      </c>
      <c r="H10" s="93">
        <v>46484</v>
      </c>
      <c r="I10" s="93">
        <v>46486</v>
      </c>
    </row>
    <row r="11" spans="2:9">
      <c r="B11" s="92">
        <v>2</v>
      </c>
      <c r="C11" s="92">
        <v>4</v>
      </c>
      <c r="D11" s="92">
        <v>5</v>
      </c>
      <c r="E11" s="234">
        <v>46290</v>
      </c>
      <c r="F11" s="238">
        <v>46294</v>
      </c>
      <c r="G11" s="236">
        <v>46295</v>
      </c>
      <c r="H11" s="93">
        <v>46484</v>
      </c>
      <c r="I11" s="93">
        <v>46491</v>
      </c>
    </row>
    <row r="12" spans="2:9">
      <c r="B12" s="92">
        <v>2</v>
      </c>
      <c r="C12" s="92">
        <v>5</v>
      </c>
      <c r="D12" s="92">
        <v>5</v>
      </c>
      <c r="E12" s="234">
        <v>46295</v>
      </c>
      <c r="F12" s="238">
        <v>46297</v>
      </c>
      <c r="G12" s="236">
        <v>46300</v>
      </c>
      <c r="H12" s="93">
        <v>46484</v>
      </c>
      <c r="I12" s="93">
        <v>46496</v>
      </c>
    </row>
    <row r="13" spans="2:9">
      <c r="B13" s="92">
        <v>2</v>
      </c>
      <c r="C13" s="92">
        <v>6</v>
      </c>
      <c r="D13" s="92">
        <v>5</v>
      </c>
      <c r="E13" s="234">
        <v>46300</v>
      </c>
      <c r="F13" s="238">
        <v>46302</v>
      </c>
      <c r="G13" s="236">
        <v>46303</v>
      </c>
      <c r="H13" s="93">
        <v>46484</v>
      </c>
      <c r="I13" s="93">
        <v>46499</v>
      </c>
    </row>
    <row r="14" spans="2:9">
      <c r="B14" s="92">
        <v>3</v>
      </c>
      <c r="C14" s="92">
        <v>1</v>
      </c>
      <c r="D14" s="92">
        <v>5</v>
      </c>
      <c r="E14" s="234">
        <v>46302</v>
      </c>
      <c r="F14" s="238">
        <v>46304</v>
      </c>
      <c r="G14" s="236">
        <v>46308</v>
      </c>
      <c r="H14" s="93">
        <v>46513</v>
      </c>
      <c r="I14" s="93">
        <v>46478</v>
      </c>
    </row>
    <row r="15" spans="2:9">
      <c r="B15" s="92">
        <v>3</v>
      </c>
      <c r="C15" s="92">
        <v>2</v>
      </c>
      <c r="D15" s="92">
        <v>5</v>
      </c>
      <c r="E15" s="234">
        <v>46307</v>
      </c>
      <c r="F15" s="238">
        <v>46309</v>
      </c>
      <c r="G15" s="236">
        <v>46311</v>
      </c>
      <c r="H15" s="93">
        <v>46513</v>
      </c>
      <c r="I15" s="93">
        <v>46483</v>
      </c>
    </row>
    <row r="16" spans="2:9">
      <c r="B16" s="92">
        <v>3</v>
      </c>
      <c r="C16" s="92">
        <v>3</v>
      </c>
      <c r="D16" s="92">
        <v>5</v>
      </c>
      <c r="E16" s="234">
        <v>46310</v>
      </c>
      <c r="F16" s="238">
        <v>46314</v>
      </c>
      <c r="G16" s="236">
        <v>46316</v>
      </c>
      <c r="H16" s="93">
        <v>46513</v>
      </c>
      <c r="I16" s="93">
        <v>46486</v>
      </c>
    </row>
    <row r="17" spans="2:9">
      <c r="B17" s="92">
        <v>3</v>
      </c>
      <c r="C17" s="92">
        <v>4</v>
      </c>
      <c r="D17" s="92">
        <v>5</v>
      </c>
      <c r="E17" s="234">
        <v>46315</v>
      </c>
      <c r="F17" s="238">
        <v>46317</v>
      </c>
      <c r="G17" s="236">
        <v>46321</v>
      </c>
      <c r="H17" s="93">
        <v>46513</v>
      </c>
      <c r="I17" s="93">
        <v>46491</v>
      </c>
    </row>
    <row r="18" spans="2:9">
      <c r="B18" s="92">
        <v>3</v>
      </c>
      <c r="C18" s="92">
        <v>5</v>
      </c>
      <c r="D18" s="92">
        <v>5</v>
      </c>
      <c r="E18" s="234">
        <v>46318</v>
      </c>
      <c r="F18" s="238">
        <v>46322</v>
      </c>
      <c r="G18" s="236">
        <v>46324</v>
      </c>
      <c r="H18" s="93">
        <v>46513</v>
      </c>
      <c r="I18" s="93">
        <v>46496</v>
      </c>
    </row>
    <row r="19" spans="2:9">
      <c r="B19" s="92">
        <v>3</v>
      </c>
      <c r="C19" s="92">
        <v>6</v>
      </c>
      <c r="D19" s="92">
        <v>5</v>
      </c>
      <c r="E19" s="234">
        <v>46323</v>
      </c>
      <c r="F19" s="238">
        <v>46325</v>
      </c>
      <c r="G19" s="236">
        <v>46329</v>
      </c>
      <c r="H19" s="93">
        <v>46513</v>
      </c>
      <c r="I19" s="93">
        <v>46499</v>
      </c>
    </row>
    <row r="20" spans="2:9">
      <c r="B20" s="92">
        <v>4</v>
      </c>
      <c r="C20" s="92">
        <v>1</v>
      </c>
      <c r="D20" s="92">
        <v>5</v>
      </c>
      <c r="E20" s="234">
        <v>46324</v>
      </c>
      <c r="F20" s="238">
        <v>46328</v>
      </c>
      <c r="G20" s="236">
        <v>46332</v>
      </c>
      <c r="H20" s="93">
        <v>46534</v>
      </c>
      <c r="I20" s="93">
        <v>46478</v>
      </c>
    </row>
    <row r="21" spans="2:9">
      <c r="B21" s="92">
        <v>4</v>
      </c>
      <c r="C21" s="92">
        <v>2</v>
      </c>
      <c r="D21" s="92">
        <v>5</v>
      </c>
      <c r="E21" s="234">
        <v>46329</v>
      </c>
      <c r="F21" s="238">
        <v>46331</v>
      </c>
      <c r="G21" s="236">
        <v>46337</v>
      </c>
      <c r="H21" s="93">
        <v>46534</v>
      </c>
      <c r="I21" s="93">
        <v>46483</v>
      </c>
    </row>
    <row r="22" spans="2:9">
      <c r="B22" s="92">
        <v>4</v>
      </c>
      <c r="C22" s="92">
        <v>3</v>
      </c>
      <c r="D22" s="92">
        <v>5</v>
      </c>
      <c r="E22" s="234">
        <v>46332</v>
      </c>
      <c r="F22" s="238">
        <v>46336</v>
      </c>
      <c r="G22" s="236">
        <v>46342</v>
      </c>
      <c r="H22" s="93">
        <v>46534</v>
      </c>
      <c r="I22" s="93">
        <v>46486</v>
      </c>
    </row>
    <row r="23" spans="2:9">
      <c r="B23" s="92">
        <v>4</v>
      </c>
      <c r="C23" s="92">
        <v>4</v>
      </c>
      <c r="D23" s="92">
        <v>5</v>
      </c>
      <c r="E23" s="234">
        <v>46337</v>
      </c>
      <c r="F23" s="238">
        <v>46339</v>
      </c>
      <c r="G23" s="236">
        <v>46345</v>
      </c>
      <c r="H23" s="93">
        <v>46534</v>
      </c>
      <c r="I23" s="93">
        <v>46491</v>
      </c>
    </row>
    <row r="24" spans="2:9">
      <c r="B24" s="92">
        <v>4</v>
      </c>
      <c r="C24" s="92">
        <v>5</v>
      </c>
      <c r="D24" s="92">
        <v>5</v>
      </c>
      <c r="E24" s="234">
        <v>46342</v>
      </c>
      <c r="F24" s="238">
        <v>46344</v>
      </c>
      <c r="G24" s="236">
        <v>46350</v>
      </c>
      <c r="H24" s="93">
        <v>46534</v>
      </c>
      <c r="I24" s="93">
        <v>46496</v>
      </c>
    </row>
    <row r="25" spans="2:9">
      <c r="B25" s="92">
        <v>4</v>
      </c>
      <c r="C25" s="92">
        <v>6</v>
      </c>
      <c r="D25" s="92">
        <v>5</v>
      </c>
      <c r="E25" s="234">
        <v>46345</v>
      </c>
      <c r="F25" s="238">
        <v>46349</v>
      </c>
      <c r="G25" s="236">
        <v>46353</v>
      </c>
      <c r="H25" s="93">
        <v>46534</v>
      </c>
      <c r="I25" s="93">
        <v>46499</v>
      </c>
    </row>
    <row r="26" spans="2:9">
      <c r="B26" s="92">
        <v>5</v>
      </c>
      <c r="C26" s="92">
        <v>1</v>
      </c>
      <c r="D26" s="92">
        <v>5</v>
      </c>
      <c r="E26" s="234">
        <v>46350</v>
      </c>
      <c r="F26" s="238">
        <v>46356</v>
      </c>
      <c r="G26" s="236">
        <v>46358</v>
      </c>
      <c r="H26" s="93">
        <v>46561</v>
      </c>
      <c r="I26" s="93">
        <v>46478</v>
      </c>
    </row>
    <row r="27" spans="2:9">
      <c r="B27" s="92">
        <v>5</v>
      </c>
      <c r="C27" s="92">
        <v>2</v>
      </c>
      <c r="D27" s="92">
        <v>5</v>
      </c>
      <c r="E27" s="234">
        <v>46357</v>
      </c>
      <c r="F27" s="238">
        <v>46359</v>
      </c>
      <c r="G27" s="236">
        <v>46363</v>
      </c>
      <c r="H27" s="93">
        <v>46561</v>
      </c>
      <c r="I27" s="93">
        <v>46483</v>
      </c>
    </row>
    <row r="28" spans="2:9">
      <c r="B28" s="92">
        <v>5</v>
      </c>
      <c r="C28" s="92">
        <v>3</v>
      </c>
      <c r="D28" s="92">
        <v>5</v>
      </c>
      <c r="E28" s="234">
        <v>46360</v>
      </c>
      <c r="F28" s="238">
        <v>46364</v>
      </c>
      <c r="G28" s="236">
        <v>46366</v>
      </c>
      <c r="H28" s="93">
        <v>46561</v>
      </c>
      <c r="I28" s="93">
        <v>46486</v>
      </c>
    </row>
    <row r="29" spans="2:9">
      <c r="B29" s="92">
        <v>5</v>
      </c>
      <c r="C29" s="92">
        <v>4</v>
      </c>
      <c r="D29" s="92">
        <v>5</v>
      </c>
      <c r="E29" s="234">
        <v>46365</v>
      </c>
      <c r="F29" s="238">
        <v>46367</v>
      </c>
      <c r="G29" s="236">
        <v>46371</v>
      </c>
      <c r="H29" s="93">
        <v>46561</v>
      </c>
      <c r="I29" s="93">
        <v>46491</v>
      </c>
    </row>
    <row r="30" spans="2:9">
      <c r="B30" s="92">
        <v>5</v>
      </c>
      <c r="C30" s="92">
        <v>5</v>
      </c>
      <c r="D30" s="92">
        <v>5</v>
      </c>
      <c r="E30" s="234">
        <v>46370</v>
      </c>
      <c r="F30" s="238">
        <v>46372</v>
      </c>
      <c r="G30" s="236">
        <v>46374</v>
      </c>
      <c r="H30" s="93">
        <v>46561</v>
      </c>
      <c r="I30" s="93">
        <v>46496</v>
      </c>
    </row>
    <row r="31" spans="2:9">
      <c r="B31" s="92">
        <v>5</v>
      </c>
      <c r="C31" s="92">
        <v>6</v>
      </c>
      <c r="D31" s="92">
        <v>5</v>
      </c>
      <c r="E31" s="234">
        <v>46373</v>
      </c>
      <c r="F31" s="238">
        <v>46377</v>
      </c>
      <c r="G31" s="236">
        <v>46379</v>
      </c>
      <c r="H31" s="93">
        <v>46561</v>
      </c>
      <c r="I31" s="93">
        <v>46499</v>
      </c>
    </row>
    <row r="32" spans="2:9">
      <c r="B32" s="92">
        <v>6</v>
      </c>
      <c r="C32" s="92">
        <v>1</v>
      </c>
      <c r="D32" s="92">
        <v>5</v>
      </c>
      <c r="E32" s="234">
        <v>46378</v>
      </c>
      <c r="F32" s="238">
        <v>46384</v>
      </c>
      <c r="G32" s="236">
        <v>46384</v>
      </c>
      <c r="H32" s="93">
        <v>46587</v>
      </c>
      <c r="I32" s="93">
        <v>46478</v>
      </c>
    </row>
    <row r="33" spans="2:9">
      <c r="B33" s="92">
        <v>6</v>
      </c>
      <c r="C33" s="92">
        <v>2</v>
      </c>
      <c r="D33" s="92">
        <v>5</v>
      </c>
      <c r="E33" s="234">
        <v>46385</v>
      </c>
      <c r="F33" s="238">
        <v>46391</v>
      </c>
      <c r="G33" s="236">
        <v>46387</v>
      </c>
      <c r="H33" s="93">
        <v>46587</v>
      </c>
      <c r="I33" s="93">
        <v>46483</v>
      </c>
    </row>
    <row r="34" spans="2:9">
      <c r="B34" s="92">
        <v>6</v>
      </c>
      <c r="C34" s="92">
        <v>3</v>
      </c>
      <c r="D34" s="92">
        <v>5</v>
      </c>
      <c r="E34" s="234">
        <v>46392</v>
      </c>
      <c r="F34" s="238">
        <v>46394</v>
      </c>
      <c r="G34" s="236">
        <v>46392</v>
      </c>
      <c r="H34" s="93">
        <v>46587</v>
      </c>
      <c r="I34" s="93">
        <v>46486</v>
      </c>
    </row>
    <row r="35" spans="2:9">
      <c r="B35" s="92">
        <v>6</v>
      </c>
      <c r="C35" s="92">
        <v>4</v>
      </c>
      <c r="D35" s="92">
        <v>5</v>
      </c>
      <c r="E35" s="234">
        <v>46395</v>
      </c>
      <c r="F35" s="238">
        <v>46399</v>
      </c>
      <c r="G35" s="236">
        <v>46395</v>
      </c>
      <c r="H35" s="93">
        <v>46587</v>
      </c>
      <c r="I35" s="93">
        <v>46491</v>
      </c>
    </row>
    <row r="36" spans="2:9">
      <c r="B36" s="92">
        <v>6</v>
      </c>
      <c r="C36" s="92">
        <v>5</v>
      </c>
      <c r="D36" s="92">
        <v>5</v>
      </c>
      <c r="E36" s="234">
        <v>46400</v>
      </c>
      <c r="F36" s="238">
        <v>46402</v>
      </c>
      <c r="G36" s="236">
        <v>46400</v>
      </c>
      <c r="H36" s="93">
        <v>46587</v>
      </c>
      <c r="I36" s="93">
        <v>46496</v>
      </c>
    </row>
    <row r="37" spans="2:9">
      <c r="B37" s="92">
        <v>6</v>
      </c>
      <c r="C37" s="92">
        <v>6</v>
      </c>
      <c r="D37" s="92">
        <v>5</v>
      </c>
      <c r="E37" s="234">
        <v>46405</v>
      </c>
      <c r="F37" s="238">
        <v>46407</v>
      </c>
      <c r="G37" s="236">
        <v>46405</v>
      </c>
      <c r="H37" s="93">
        <v>46587</v>
      </c>
      <c r="I37" s="93">
        <v>46499</v>
      </c>
    </row>
    <row r="38" spans="2:9">
      <c r="B38" s="92">
        <v>7</v>
      </c>
      <c r="C38" s="92">
        <v>1</v>
      </c>
      <c r="D38" s="92">
        <v>5</v>
      </c>
      <c r="E38" s="234">
        <v>46408</v>
      </c>
      <c r="F38" s="238">
        <v>46412</v>
      </c>
      <c r="G38" s="236">
        <v>46408</v>
      </c>
      <c r="H38" s="93">
        <v>46608</v>
      </c>
      <c r="I38" s="93">
        <v>46478</v>
      </c>
    </row>
    <row r="39" spans="2:9">
      <c r="B39" s="92">
        <v>7</v>
      </c>
      <c r="C39" s="92">
        <v>2</v>
      </c>
      <c r="D39" s="92">
        <v>5</v>
      </c>
      <c r="E39" s="234">
        <v>46413</v>
      </c>
      <c r="F39" s="238">
        <v>46415</v>
      </c>
      <c r="G39" s="236">
        <v>46413</v>
      </c>
      <c r="H39" s="93">
        <v>46608</v>
      </c>
      <c r="I39" s="93">
        <v>46483</v>
      </c>
    </row>
    <row r="40" spans="2:9">
      <c r="B40" s="92">
        <v>7</v>
      </c>
      <c r="C40" s="92">
        <v>3</v>
      </c>
      <c r="D40" s="92">
        <v>5</v>
      </c>
      <c r="E40" s="234">
        <v>46416</v>
      </c>
      <c r="F40" s="238">
        <v>46420</v>
      </c>
      <c r="G40" s="236">
        <v>46416</v>
      </c>
      <c r="H40" s="93">
        <v>46608</v>
      </c>
      <c r="I40" s="93">
        <v>46486</v>
      </c>
    </row>
    <row r="41" spans="2:9">
      <c r="B41" s="92">
        <v>7</v>
      </c>
      <c r="C41" s="92">
        <v>4</v>
      </c>
      <c r="D41" s="92">
        <v>5</v>
      </c>
      <c r="E41" s="234">
        <v>46421</v>
      </c>
      <c r="F41" s="238">
        <v>46423</v>
      </c>
      <c r="G41" s="236">
        <v>46421</v>
      </c>
      <c r="H41" s="93">
        <v>46608</v>
      </c>
      <c r="I41" s="93">
        <v>46491</v>
      </c>
    </row>
    <row r="42" spans="2:9">
      <c r="B42" s="92">
        <v>7</v>
      </c>
      <c r="C42" s="92">
        <v>5</v>
      </c>
      <c r="D42" s="92">
        <v>5</v>
      </c>
      <c r="E42" s="234">
        <v>46426</v>
      </c>
      <c r="F42" s="238">
        <v>46428</v>
      </c>
      <c r="G42" s="236">
        <v>46426</v>
      </c>
      <c r="H42" s="93">
        <v>46608</v>
      </c>
      <c r="I42" s="93">
        <v>46496</v>
      </c>
    </row>
    <row r="43" spans="2:9">
      <c r="B43" s="92">
        <v>7</v>
      </c>
      <c r="C43" s="92">
        <v>6</v>
      </c>
      <c r="D43" s="92">
        <v>5</v>
      </c>
      <c r="E43" s="234">
        <v>46429</v>
      </c>
      <c r="F43" s="238">
        <v>46433</v>
      </c>
      <c r="G43" s="236">
        <v>46429</v>
      </c>
      <c r="H43" s="93">
        <v>46608</v>
      </c>
      <c r="I43" s="93">
        <v>46499</v>
      </c>
    </row>
    <row r="44" spans="2:9">
      <c r="B44" s="92">
        <v>8</v>
      </c>
      <c r="C44" s="92">
        <v>1</v>
      </c>
      <c r="D44" s="92">
        <v>5</v>
      </c>
      <c r="E44" s="234">
        <v>46434</v>
      </c>
      <c r="F44" s="238">
        <v>46436</v>
      </c>
      <c r="G44" s="236">
        <v>46434</v>
      </c>
      <c r="H44" s="93">
        <v>46630</v>
      </c>
      <c r="I44" s="93">
        <v>46478</v>
      </c>
    </row>
    <row r="45" spans="2:9">
      <c r="B45" s="92">
        <v>8</v>
      </c>
      <c r="C45" s="92">
        <v>2</v>
      </c>
      <c r="D45" s="92">
        <v>5</v>
      </c>
      <c r="E45" s="234">
        <v>46437</v>
      </c>
      <c r="F45" s="238">
        <v>46441</v>
      </c>
      <c r="G45" s="236">
        <v>46437</v>
      </c>
      <c r="H45" s="93">
        <v>46630</v>
      </c>
      <c r="I45" s="93">
        <v>46483</v>
      </c>
    </row>
    <row r="46" spans="2:9">
      <c r="B46" s="92">
        <v>8</v>
      </c>
      <c r="C46" s="92">
        <v>3</v>
      </c>
      <c r="D46" s="92">
        <v>5</v>
      </c>
      <c r="E46" s="234">
        <v>46442</v>
      </c>
      <c r="F46" s="238">
        <v>46444</v>
      </c>
      <c r="G46" s="236">
        <v>46442</v>
      </c>
      <c r="H46" s="93">
        <v>46630</v>
      </c>
      <c r="I46" s="93">
        <v>46486</v>
      </c>
    </row>
    <row r="47" spans="2:9">
      <c r="B47" s="92">
        <v>8</v>
      </c>
      <c r="C47" s="92">
        <v>4</v>
      </c>
      <c r="D47" s="92">
        <v>5</v>
      </c>
      <c r="E47" s="234">
        <v>46447</v>
      </c>
      <c r="F47" s="238">
        <v>46449</v>
      </c>
      <c r="G47" s="236">
        <v>46447</v>
      </c>
      <c r="H47" s="93">
        <v>46630</v>
      </c>
      <c r="I47" s="93">
        <v>46491</v>
      </c>
    </row>
    <row r="48" spans="2:9">
      <c r="B48" s="92">
        <v>8</v>
      </c>
      <c r="C48" s="92">
        <v>5</v>
      </c>
      <c r="D48" s="92">
        <v>5</v>
      </c>
      <c r="E48" s="234">
        <v>46450</v>
      </c>
      <c r="F48" s="238">
        <v>46454</v>
      </c>
      <c r="G48" s="236">
        <v>46450</v>
      </c>
      <c r="H48" s="93">
        <v>46630</v>
      </c>
      <c r="I48" s="93">
        <v>46496</v>
      </c>
    </row>
    <row r="49" spans="2:9">
      <c r="B49" s="92">
        <v>8</v>
      </c>
      <c r="C49" s="92">
        <v>6</v>
      </c>
      <c r="D49" s="92">
        <v>5</v>
      </c>
      <c r="E49" s="234">
        <v>46455</v>
      </c>
      <c r="F49" s="239">
        <v>46457</v>
      </c>
      <c r="G49" s="236">
        <v>46455</v>
      </c>
      <c r="H49" s="93">
        <v>46630</v>
      </c>
      <c r="I49" s="93">
        <v>46499</v>
      </c>
    </row>
  </sheetData>
  <mergeCells count="2">
    <mergeCell ref="B5:D5"/>
    <mergeCell ref="E5:I5"/>
  </mergeCells>
  <conditionalFormatting sqref="B7:I49">
    <cfRule type="expression" dxfId="36" priority="1">
      <formula>MOD(SUMPRODUCT(--($B$7:$B7&lt;&gt;$B$6:$B6)),2)=0</formula>
    </cfRule>
  </conditionalFormatting>
  <pageMargins left="0.7" right="0.7" top="0.75" bottom="0.75" header="0.3" footer="0.3"/>
  <pageSetup scale="7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C245-153B-4CD8-A176-66AA57709DB6}">
  <dimension ref="A1"/>
  <sheetViews>
    <sheetView workbookViewId="0"/>
  </sheetViews>
  <sheetFormatPr defaultRowHeight="13.9"/>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5B8-459D-440F-A3EB-E67832387B47}">
  <dimension ref="B2:AD14"/>
  <sheetViews>
    <sheetView workbookViewId="0">
      <selection activeCell="D13" sqref="D13"/>
    </sheetView>
  </sheetViews>
  <sheetFormatPr defaultRowHeight="13.9"/>
  <cols>
    <col min="1" max="1" width="3.25" customWidth="1"/>
    <col min="3" max="31" width="5.75" customWidth="1"/>
  </cols>
  <sheetData>
    <row r="2" spans="2:30" ht="20.45">
      <c r="B2" s="88" t="s">
        <v>810</v>
      </c>
    </row>
    <row r="3" spans="2:30">
      <c r="B3" s="91" t="s">
        <v>811</v>
      </c>
    </row>
    <row r="5" spans="2:30">
      <c r="B5" s="89" t="s">
        <v>812</v>
      </c>
      <c r="C5" s="96" t="s">
        <v>813</v>
      </c>
      <c r="D5" s="96" t="s">
        <v>814</v>
      </c>
      <c r="E5" s="96" t="s">
        <v>815</v>
      </c>
      <c r="F5" s="96" t="s">
        <v>816</v>
      </c>
      <c r="G5" s="96" t="s">
        <v>817</v>
      </c>
      <c r="H5" s="96" t="s">
        <v>818</v>
      </c>
      <c r="I5" s="96" t="s">
        <v>819</v>
      </c>
      <c r="J5" s="96" t="s">
        <v>820</v>
      </c>
      <c r="K5" s="96" t="s">
        <v>821</v>
      </c>
      <c r="L5" s="96" t="s">
        <v>822</v>
      </c>
      <c r="M5" s="96" t="s">
        <v>823</v>
      </c>
      <c r="N5" s="96" t="s">
        <v>824</v>
      </c>
      <c r="O5" s="96">
        <v>13</v>
      </c>
      <c r="P5" s="96">
        <v>14</v>
      </c>
      <c r="Q5" s="96">
        <v>15</v>
      </c>
      <c r="R5" s="96">
        <v>16</v>
      </c>
      <c r="S5" s="96">
        <v>17</v>
      </c>
      <c r="T5" s="96">
        <v>18</v>
      </c>
      <c r="U5" s="96">
        <v>19</v>
      </c>
      <c r="V5" s="96">
        <v>20</v>
      </c>
      <c r="W5" s="96">
        <v>21</v>
      </c>
      <c r="X5" s="96">
        <v>22</v>
      </c>
      <c r="Y5" s="96">
        <v>23</v>
      </c>
      <c r="Z5" s="96">
        <v>24</v>
      </c>
      <c r="AA5" s="96">
        <v>25</v>
      </c>
      <c r="AB5" s="96">
        <v>26</v>
      </c>
      <c r="AC5" s="96">
        <v>27</v>
      </c>
      <c r="AD5" s="96">
        <v>28</v>
      </c>
    </row>
    <row r="6" spans="2:30">
      <c r="B6" s="89" t="s">
        <v>28</v>
      </c>
      <c r="C6" s="100"/>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row>
    <row r="7" spans="2:30">
      <c r="B7" s="89">
        <v>8</v>
      </c>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row>
    <row r="8" spans="2:30">
      <c r="B8" s="89">
        <v>7</v>
      </c>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row>
    <row r="9" spans="2:30">
      <c r="B9" s="89">
        <v>6</v>
      </c>
      <c r="C9" s="78"/>
      <c r="D9" s="78"/>
      <c r="E9" s="78"/>
      <c r="F9" s="78"/>
      <c r="G9" s="78"/>
      <c r="H9" s="78"/>
      <c r="I9" s="78"/>
      <c r="J9" s="78"/>
      <c r="K9" s="78"/>
      <c r="L9" s="78"/>
      <c r="M9" s="78"/>
      <c r="N9" s="78"/>
      <c r="O9" s="78"/>
      <c r="P9" s="78"/>
      <c r="Q9" s="78"/>
      <c r="R9" s="78"/>
      <c r="S9" s="78"/>
      <c r="T9" s="78"/>
      <c r="U9" s="78"/>
      <c r="V9" s="78"/>
      <c r="W9" s="78"/>
      <c r="X9" s="78"/>
      <c r="Y9" s="78"/>
      <c r="Z9" s="78"/>
      <c r="AA9" s="78"/>
      <c r="AB9" s="78"/>
      <c r="AC9" s="78"/>
      <c r="AD9" s="78"/>
    </row>
    <row r="10" spans="2:30">
      <c r="B10" s="89">
        <v>5</v>
      </c>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row>
    <row r="11" spans="2:30">
      <c r="B11" s="89">
        <v>4</v>
      </c>
      <c r="C11" s="78"/>
      <c r="D11" s="78"/>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row>
    <row r="12" spans="2:30">
      <c r="B12" s="89">
        <v>3</v>
      </c>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row>
    <row r="13" spans="2:30">
      <c r="B13" s="89">
        <v>2</v>
      </c>
      <c r="C13" s="78"/>
      <c r="D13" s="78"/>
      <c r="E13" s="78"/>
      <c r="F13" s="78"/>
      <c r="G13" s="78"/>
      <c r="H13" s="78"/>
      <c r="I13" s="78"/>
      <c r="J13" s="78"/>
      <c r="K13" s="78"/>
      <c r="L13" s="78"/>
      <c r="M13" s="78"/>
      <c r="N13" s="78"/>
      <c r="O13" s="78"/>
      <c r="P13" s="78"/>
      <c r="Q13" s="78"/>
      <c r="R13" s="78"/>
      <c r="S13" s="78"/>
      <c r="T13" s="78"/>
      <c r="U13" s="78"/>
      <c r="V13" s="78"/>
      <c r="W13" s="78"/>
      <c r="X13" s="78"/>
      <c r="Y13" s="78"/>
      <c r="Z13" s="78"/>
      <c r="AA13" s="78"/>
      <c r="AB13" s="78"/>
      <c r="AC13" s="78"/>
      <c r="AD13" s="78"/>
    </row>
    <row r="14" spans="2:30">
      <c r="B14" s="89">
        <v>1</v>
      </c>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E0043-7F32-451F-8B87-641B2888169E}">
  <sheetPr>
    <tabColor theme="7"/>
    <pageSetUpPr fitToPage="1"/>
  </sheetPr>
  <dimension ref="B1:AT1048576"/>
  <sheetViews>
    <sheetView zoomScale="70" zoomScaleNormal="70" zoomScaleSheetLayoutView="50" workbookViewId="0">
      <selection activeCell="I10" sqref="I10"/>
    </sheetView>
  </sheetViews>
  <sheetFormatPr defaultColWidth="8.75" defaultRowHeight="13.9"/>
  <cols>
    <col min="1" max="1" width="4.875" style="140" customWidth="1"/>
    <col min="2" max="2" width="9.75" style="140" customWidth="1"/>
    <col min="3" max="30" width="10.75" style="140" customWidth="1"/>
    <col min="31" max="31" width="4" style="140" customWidth="1"/>
    <col min="32" max="34" width="10.75" style="140" customWidth="1"/>
    <col min="35" max="35" width="16.625" style="140" customWidth="1"/>
    <col min="36" max="38" width="8.75" style="140"/>
    <col min="39" max="39" width="10.75" style="140" customWidth="1"/>
    <col min="40" max="40" width="2.75" style="140" customWidth="1"/>
    <col min="41" max="41" width="14.875" style="140" customWidth="1"/>
    <col min="42" max="42" width="13.125" style="140" customWidth="1"/>
    <col min="43" max="43" width="10.875" style="140" customWidth="1"/>
    <col min="44" max="16384" width="8.75" style="140"/>
  </cols>
  <sheetData>
    <row r="1" spans="2:46" ht="14.45" thickBot="1"/>
    <row r="2" spans="2:46" ht="21" thickBot="1">
      <c r="B2" s="88" t="s">
        <v>825</v>
      </c>
      <c r="G2" s="215"/>
      <c r="H2" s="160" t="s">
        <v>826</v>
      </c>
      <c r="J2" s="211"/>
      <c r="K2" s="160" t="s">
        <v>827</v>
      </c>
      <c r="L2" s="160"/>
      <c r="M2" s="210"/>
      <c r="N2" s="160" t="s">
        <v>828</v>
      </c>
      <c r="O2" s="160"/>
      <c r="P2" s="206"/>
      <c r="Q2" s="160" t="s">
        <v>829</v>
      </c>
      <c r="R2" s="160"/>
      <c r="S2" s="226"/>
      <c r="T2" s="160" t="s">
        <v>830</v>
      </c>
      <c r="U2" s="160"/>
      <c r="V2" s="207"/>
      <c r="W2" s="160" t="s">
        <v>831</v>
      </c>
      <c r="Y2" s="208"/>
      <c r="Z2" s="160" t="s">
        <v>832</v>
      </c>
      <c r="AB2" s="209"/>
      <c r="AC2" s="160" t="s">
        <v>833</v>
      </c>
      <c r="AF2" s="212"/>
      <c r="AG2" s="160" t="s">
        <v>834</v>
      </c>
      <c r="AI2" s="160"/>
    </row>
    <row r="3" spans="2:46">
      <c r="B3" s="142" t="s">
        <v>835</v>
      </c>
      <c r="C3" s="141"/>
      <c r="D3" s="141"/>
      <c r="E3" s="141"/>
    </row>
    <row r="4" spans="2:46" ht="14.45" thickBot="1">
      <c r="B4" s="296" t="s">
        <v>836</v>
      </c>
      <c r="C4" s="296"/>
      <c r="D4" s="296"/>
      <c r="E4" s="296"/>
      <c r="F4" s="296"/>
      <c r="G4" s="296"/>
      <c r="H4" s="296"/>
      <c r="I4" s="296"/>
      <c r="J4" s="296"/>
      <c r="K4" s="296"/>
      <c r="L4" s="296"/>
      <c r="M4" s="296"/>
      <c r="N4" s="296"/>
      <c r="O4" s="296"/>
      <c r="P4" s="296"/>
      <c r="Q4" s="296"/>
      <c r="R4" s="296"/>
      <c r="S4" s="296"/>
      <c r="T4" s="296"/>
      <c r="U4" s="296"/>
      <c r="V4" s="296"/>
      <c r="W4" s="296"/>
      <c r="X4" s="296"/>
      <c r="Y4" s="296"/>
      <c r="Z4" s="296"/>
      <c r="AA4" s="296"/>
      <c r="AB4" s="296"/>
      <c r="AC4" s="296"/>
      <c r="AD4" s="296"/>
    </row>
    <row r="5" spans="2:46" ht="15" customHeight="1">
      <c r="B5" s="145" t="s">
        <v>38</v>
      </c>
      <c r="C5" s="145" t="s">
        <v>837</v>
      </c>
      <c r="D5" s="145" t="s">
        <v>838</v>
      </c>
      <c r="E5" s="145" t="s">
        <v>839</v>
      </c>
      <c r="F5" s="145" t="s">
        <v>839</v>
      </c>
      <c r="G5" s="145" t="s">
        <v>838</v>
      </c>
      <c r="H5" s="145" t="s">
        <v>840</v>
      </c>
      <c r="I5" s="145" t="s">
        <v>841</v>
      </c>
      <c r="J5" s="145" t="s">
        <v>842</v>
      </c>
      <c r="K5" s="145" t="s">
        <v>843</v>
      </c>
      <c r="L5" s="145" t="s">
        <v>844</v>
      </c>
      <c r="M5" s="145" t="s">
        <v>844</v>
      </c>
      <c r="N5" s="145" t="s">
        <v>845</v>
      </c>
      <c r="O5" s="145" t="s">
        <v>846</v>
      </c>
      <c r="P5" s="145" t="s">
        <v>847</v>
      </c>
      <c r="Q5" s="145" t="s">
        <v>848</v>
      </c>
      <c r="R5" s="145" t="s">
        <v>849</v>
      </c>
      <c r="S5" s="145" t="s">
        <v>850</v>
      </c>
      <c r="T5" s="145" t="s">
        <v>851</v>
      </c>
      <c r="U5" s="145" t="s">
        <v>852</v>
      </c>
      <c r="V5" s="145" t="s">
        <v>853</v>
      </c>
      <c r="W5" s="145" t="s">
        <v>854</v>
      </c>
      <c r="X5" s="145" t="s">
        <v>855</v>
      </c>
      <c r="Y5" s="145" t="s">
        <v>856</v>
      </c>
      <c r="Z5" s="145" t="s">
        <v>857</v>
      </c>
      <c r="AA5" s="145" t="s">
        <v>858</v>
      </c>
      <c r="AB5" s="145" t="s">
        <v>859</v>
      </c>
      <c r="AC5" s="145" t="s">
        <v>860</v>
      </c>
      <c r="AD5" s="145" t="s">
        <v>861</v>
      </c>
      <c r="AF5" s="297" t="s">
        <v>862</v>
      </c>
      <c r="AG5" s="297"/>
      <c r="AH5" s="297"/>
      <c r="AI5" s="297"/>
      <c r="AO5" s="274" t="str" cm="1">
        <f t="array" ref="AO5:AQ26">'[1]OMM_Container Status'!$AO$5:$AQ$26</f>
        <v>CTN #</v>
      </c>
      <c r="AP5" s="245" t="str">
        <v>CTNR CODE</v>
      </c>
      <c r="AQ5" s="246" t="str">
        <v>STATUS</v>
      </c>
      <c r="AT5"/>
    </row>
    <row r="6" spans="2:46" ht="13.9" customHeight="1">
      <c r="B6" s="145" t="s">
        <v>752</v>
      </c>
      <c r="C6" s="145" t="s">
        <v>813</v>
      </c>
      <c r="D6" s="145" t="s">
        <v>814</v>
      </c>
      <c r="E6" s="145" t="s">
        <v>815</v>
      </c>
      <c r="F6" s="145" t="s">
        <v>816</v>
      </c>
      <c r="G6" s="145" t="s">
        <v>817</v>
      </c>
      <c r="H6" s="145" t="s">
        <v>818</v>
      </c>
      <c r="I6" s="145" t="s">
        <v>819</v>
      </c>
      <c r="J6" s="145" t="s">
        <v>820</v>
      </c>
      <c r="K6" s="145" t="s">
        <v>821</v>
      </c>
      <c r="L6" s="145" t="s">
        <v>822</v>
      </c>
      <c r="M6" s="145" t="s">
        <v>823</v>
      </c>
      <c r="N6" s="145" t="s">
        <v>824</v>
      </c>
      <c r="O6" s="145" t="s">
        <v>863</v>
      </c>
      <c r="P6" s="145" t="s">
        <v>864</v>
      </c>
      <c r="Q6" s="145" t="s">
        <v>865</v>
      </c>
      <c r="R6" s="145" t="s">
        <v>866</v>
      </c>
      <c r="S6" s="145" t="s">
        <v>867</v>
      </c>
      <c r="T6" s="145" t="s">
        <v>868</v>
      </c>
      <c r="U6" s="145" t="s">
        <v>869</v>
      </c>
      <c r="V6" s="145" t="s">
        <v>870</v>
      </c>
      <c r="W6" s="145" t="s">
        <v>871</v>
      </c>
      <c r="X6" s="145" t="s">
        <v>872</v>
      </c>
      <c r="Y6" s="145" t="s">
        <v>873</v>
      </c>
      <c r="Z6" s="145" t="s">
        <v>874</v>
      </c>
      <c r="AA6" s="145" t="s">
        <v>875</v>
      </c>
      <c r="AB6" s="145" t="s">
        <v>876</v>
      </c>
      <c r="AC6" s="145" t="s">
        <v>877</v>
      </c>
      <c r="AD6" s="145" t="s">
        <v>878</v>
      </c>
      <c r="AF6" s="297"/>
      <c r="AG6" s="297"/>
      <c r="AH6" s="297"/>
      <c r="AI6" s="297"/>
      <c r="AO6" s="247">
        <v>1</v>
      </c>
      <c r="AP6" s="241" t="str">
        <v>XXXXXXXXX</v>
      </c>
      <c r="AQ6" s="248" t="str">
        <v>PROJ</v>
      </c>
    </row>
    <row r="7" spans="2:46" ht="16.899999999999999" customHeight="1">
      <c r="B7" s="145" t="s">
        <v>879</v>
      </c>
      <c r="C7" s="143"/>
      <c r="D7" s="143"/>
      <c r="E7" s="143"/>
      <c r="F7" s="143"/>
      <c r="G7" s="155"/>
      <c r="H7" s="155"/>
      <c r="I7" s="143"/>
      <c r="J7" s="155"/>
      <c r="K7" s="155"/>
      <c r="L7" s="155"/>
      <c r="M7" s="155"/>
      <c r="N7" s="143"/>
      <c r="O7" s="143"/>
      <c r="P7" s="143"/>
      <c r="Q7" s="143"/>
      <c r="R7" s="143"/>
      <c r="S7" s="143"/>
      <c r="T7" s="143"/>
      <c r="U7" s="155"/>
      <c r="V7" s="155"/>
      <c r="W7" s="143"/>
      <c r="X7" s="143"/>
      <c r="Y7" s="143"/>
      <c r="Z7" s="143"/>
      <c r="AA7" s="155"/>
      <c r="AB7" s="155"/>
      <c r="AC7" s="143"/>
      <c r="AD7" s="143"/>
      <c r="AF7" s="298"/>
      <c r="AG7" s="298"/>
      <c r="AH7" s="298"/>
      <c r="AI7" s="298"/>
      <c r="AO7" s="247">
        <v>2</v>
      </c>
      <c r="AP7" s="241" t="str">
        <v>XXXXXXXXX</v>
      </c>
      <c r="AQ7" s="248" t="str">
        <v>PROJ</v>
      </c>
    </row>
    <row r="8" spans="2:46" ht="18" customHeight="1">
      <c r="B8" s="289">
        <v>8</v>
      </c>
      <c r="C8" s="273" cm="1">
        <f t="array" ref="C8:AD84">'[1]OMM_Container Status'!$C$8:$AD$84</f>
        <v>8001</v>
      </c>
      <c r="D8" s="144">
        <v>8002</v>
      </c>
      <c r="E8" s="144">
        <v>8003</v>
      </c>
      <c r="F8" s="146">
        <v>8004</v>
      </c>
      <c r="G8" s="216">
        <v>8005</v>
      </c>
      <c r="H8" s="217">
        <v>8006</v>
      </c>
      <c r="I8" s="152">
        <v>8007</v>
      </c>
      <c r="J8" s="216">
        <v>8008</v>
      </c>
      <c r="K8" s="217">
        <v>8009</v>
      </c>
      <c r="L8" s="216">
        <v>8010</v>
      </c>
      <c r="M8" s="217">
        <v>8011</v>
      </c>
      <c r="N8" s="147">
        <v>8012</v>
      </c>
      <c r="O8" s="144">
        <v>8013</v>
      </c>
      <c r="P8" s="144">
        <v>8014</v>
      </c>
      <c r="Q8" s="144">
        <v>8015</v>
      </c>
      <c r="R8" s="144">
        <v>8016</v>
      </c>
      <c r="S8" s="144">
        <v>8017</v>
      </c>
      <c r="T8" s="146">
        <v>8018</v>
      </c>
      <c r="U8" s="216">
        <v>8019</v>
      </c>
      <c r="V8" s="217">
        <v>8020</v>
      </c>
      <c r="W8" s="147">
        <v>8021</v>
      </c>
      <c r="X8" s="144">
        <v>8022</v>
      </c>
      <c r="Y8" s="144">
        <v>8023</v>
      </c>
      <c r="Z8" s="146">
        <v>8024</v>
      </c>
      <c r="AA8" s="216">
        <v>8025</v>
      </c>
      <c r="AB8" s="217">
        <v>8026</v>
      </c>
      <c r="AC8" s="147">
        <v>8027</v>
      </c>
      <c r="AD8" s="144">
        <v>8028</v>
      </c>
      <c r="AF8" s="299" t="s">
        <v>880</v>
      </c>
      <c r="AG8" s="300"/>
      <c r="AH8" s="300"/>
      <c r="AI8" s="301"/>
      <c r="AO8" s="247">
        <v>3</v>
      </c>
      <c r="AP8" s="241" t="str">
        <v>XXXXXXXXX</v>
      </c>
      <c r="AQ8" s="248" t="str">
        <v>PROJ</v>
      </c>
    </row>
    <row r="9" spans="2:46" ht="13.9" customHeight="1">
      <c r="B9" s="293"/>
      <c r="C9" s="180" t="str">
        <v/>
      </c>
      <c r="D9" s="180">
        <v>0</v>
      </c>
      <c r="E9" s="180">
        <v>0</v>
      </c>
      <c r="F9" s="181">
        <v>0</v>
      </c>
      <c r="G9" s="218">
        <v>0</v>
      </c>
      <c r="H9" s="219">
        <v>0</v>
      </c>
      <c r="I9" s="189">
        <v>0</v>
      </c>
      <c r="J9" s="218">
        <v>0</v>
      </c>
      <c r="K9" s="219">
        <v>0</v>
      </c>
      <c r="L9" s="218">
        <v>0</v>
      </c>
      <c r="M9" s="219">
        <v>0</v>
      </c>
      <c r="N9" s="184">
        <v>0</v>
      </c>
      <c r="O9" s="180">
        <v>0</v>
      </c>
      <c r="P9" s="180">
        <v>0</v>
      </c>
      <c r="Q9" s="180">
        <v>0</v>
      </c>
      <c r="R9" s="180">
        <v>0</v>
      </c>
      <c r="S9" s="180">
        <v>0</v>
      </c>
      <c r="T9" s="181">
        <v>0</v>
      </c>
      <c r="U9" s="218">
        <v>0</v>
      </c>
      <c r="V9" s="219">
        <v>0</v>
      </c>
      <c r="W9" s="184">
        <v>0</v>
      </c>
      <c r="X9" s="180">
        <v>0</v>
      </c>
      <c r="Y9" s="180">
        <v>0</v>
      </c>
      <c r="Z9" s="181">
        <v>0</v>
      </c>
      <c r="AA9" s="218">
        <v>0</v>
      </c>
      <c r="AB9" s="219">
        <v>0</v>
      </c>
      <c r="AC9" s="184">
        <v>0</v>
      </c>
      <c r="AD9" s="180">
        <v>0</v>
      </c>
      <c r="AF9" s="285" t="s">
        <v>881</v>
      </c>
      <c r="AG9" s="286"/>
      <c r="AH9" s="286"/>
      <c r="AI9" s="287"/>
      <c r="AO9" s="247">
        <v>4</v>
      </c>
      <c r="AP9" s="241" t="str">
        <v>XXXXXXXXX</v>
      </c>
      <c r="AQ9" s="248" t="str">
        <v>PROJ</v>
      </c>
    </row>
    <row r="10" spans="2:46" ht="13.9" customHeight="1">
      <c r="B10" s="293"/>
      <c r="C10" s="180" t="str">
        <v/>
      </c>
      <c r="D10" s="180" t="str">
        <v/>
      </c>
      <c r="E10" s="180" t="str">
        <v/>
      </c>
      <c r="F10" s="181" t="str">
        <v/>
      </c>
      <c r="G10" s="218" t="str">
        <v/>
      </c>
      <c r="H10" s="219" t="str">
        <v/>
      </c>
      <c r="I10" s="189" t="str">
        <v/>
      </c>
      <c r="J10" s="218" t="str">
        <v/>
      </c>
      <c r="K10" s="219" t="str">
        <v/>
      </c>
      <c r="L10" s="218" t="str">
        <v/>
      </c>
      <c r="M10" s="219" t="str">
        <v/>
      </c>
      <c r="N10" s="184" t="str">
        <v/>
      </c>
      <c r="O10" s="180" t="str">
        <v/>
      </c>
      <c r="P10" s="180" t="str">
        <v/>
      </c>
      <c r="Q10" s="180" t="str">
        <v/>
      </c>
      <c r="R10" s="180" t="str">
        <v/>
      </c>
      <c r="S10" s="180" t="str">
        <v/>
      </c>
      <c r="T10" s="181" t="str">
        <v/>
      </c>
      <c r="U10" s="218" t="str">
        <v/>
      </c>
      <c r="V10" s="219" t="str">
        <v/>
      </c>
      <c r="W10" s="184" t="str">
        <v/>
      </c>
      <c r="X10" s="180" t="str">
        <v/>
      </c>
      <c r="Y10" s="180" t="str">
        <v/>
      </c>
      <c r="Z10" s="181" t="str">
        <v/>
      </c>
      <c r="AA10" s="218" t="str">
        <v/>
      </c>
      <c r="AB10" s="219" t="str">
        <v/>
      </c>
      <c r="AC10" s="184" t="str">
        <v/>
      </c>
      <c r="AD10" s="180" t="str">
        <v/>
      </c>
      <c r="AF10" s="260" t="s">
        <v>882</v>
      </c>
      <c r="AG10" s="261">
        <v>0</v>
      </c>
      <c r="AH10" s="253" t="s">
        <v>883</v>
      </c>
      <c r="AI10" s="205" t="s">
        <v>883</v>
      </c>
      <c r="AO10" s="247">
        <v>5</v>
      </c>
      <c r="AP10" s="241" t="str">
        <v>XXXXXXXXX</v>
      </c>
      <c r="AQ10" s="248" t="str">
        <v>PROJ</v>
      </c>
    </row>
    <row r="11" spans="2:46" ht="13.9" customHeight="1">
      <c r="B11" s="293"/>
      <c r="C11" s="180" t="str">
        <v/>
      </c>
      <c r="D11" s="180" t="str">
        <v/>
      </c>
      <c r="E11" s="180" t="str">
        <v/>
      </c>
      <c r="F11" s="181" t="str">
        <v/>
      </c>
      <c r="G11" s="218" t="str">
        <v/>
      </c>
      <c r="H11" s="219" t="str">
        <v/>
      </c>
      <c r="I11" s="189" t="str">
        <v/>
      </c>
      <c r="J11" s="218" t="str">
        <v/>
      </c>
      <c r="K11" s="219" t="str">
        <v/>
      </c>
      <c r="L11" s="218" t="str">
        <v/>
      </c>
      <c r="M11" s="219" t="str">
        <v/>
      </c>
      <c r="N11" s="184" t="str">
        <v/>
      </c>
      <c r="O11" s="180" t="str">
        <v/>
      </c>
      <c r="P11" s="180" t="str">
        <v/>
      </c>
      <c r="Q11" s="180" t="str">
        <v/>
      </c>
      <c r="R11" s="180" t="str">
        <v/>
      </c>
      <c r="S11" s="180" t="str">
        <v/>
      </c>
      <c r="T11" s="181" t="str">
        <v/>
      </c>
      <c r="U11" s="218" t="str">
        <v/>
      </c>
      <c r="V11" s="219" t="str">
        <v/>
      </c>
      <c r="W11" s="184" t="str">
        <v/>
      </c>
      <c r="X11" s="180" t="str">
        <v/>
      </c>
      <c r="Y11" s="180" t="str">
        <v/>
      </c>
      <c r="Z11" s="181" t="str">
        <v/>
      </c>
      <c r="AA11" s="218" t="str">
        <v/>
      </c>
      <c r="AB11" s="219" t="str">
        <v/>
      </c>
      <c r="AC11" s="184" t="str">
        <v/>
      </c>
      <c r="AD11" s="180" t="str">
        <v/>
      </c>
      <c r="AF11" s="260" t="s">
        <v>884</v>
      </c>
      <c r="AG11" s="288">
        <v>0</v>
      </c>
      <c r="AH11" s="288"/>
      <c r="AI11" s="205" t="s">
        <v>883</v>
      </c>
      <c r="AO11" s="247">
        <v>6</v>
      </c>
      <c r="AP11" s="241" t="str">
        <v>EDWIN</v>
      </c>
      <c r="AQ11" s="248" t="str">
        <v>PROJ</v>
      </c>
    </row>
    <row r="12" spans="2:46" ht="13.9" customHeight="1">
      <c r="B12" s="293"/>
      <c r="C12" s="180" t="str">
        <v/>
      </c>
      <c r="D12" s="180" t="str">
        <v/>
      </c>
      <c r="E12" s="180" t="str">
        <v/>
      </c>
      <c r="F12" s="181" t="str">
        <v/>
      </c>
      <c r="G12" s="218" t="str">
        <v/>
      </c>
      <c r="H12" s="219" t="str">
        <v/>
      </c>
      <c r="I12" s="189" t="str">
        <v/>
      </c>
      <c r="J12" s="218" t="str">
        <v/>
      </c>
      <c r="K12" s="219" t="str">
        <v/>
      </c>
      <c r="L12" s="218" t="str">
        <v/>
      </c>
      <c r="M12" s="219" t="str">
        <v/>
      </c>
      <c r="N12" s="184" t="str">
        <v/>
      </c>
      <c r="O12" s="180" t="str">
        <v/>
      </c>
      <c r="P12" s="180" t="str">
        <v/>
      </c>
      <c r="Q12" s="180" t="str">
        <v/>
      </c>
      <c r="R12" s="180" t="str">
        <v/>
      </c>
      <c r="S12" s="180" t="str">
        <v/>
      </c>
      <c r="T12" s="181" t="str">
        <v/>
      </c>
      <c r="U12" s="218" t="str">
        <v/>
      </c>
      <c r="V12" s="219" t="str">
        <v/>
      </c>
      <c r="W12" s="184" t="str">
        <v/>
      </c>
      <c r="X12" s="180" t="str">
        <v/>
      </c>
      <c r="Y12" s="180" t="str">
        <v/>
      </c>
      <c r="Z12" s="181" t="str">
        <v/>
      </c>
      <c r="AA12" s="218" t="str">
        <v/>
      </c>
      <c r="AB12" s="219" t="str">
        <v/>
      </c>
      <c r="AC12" s="184" t="str">
        <v/>
      </c>
      <c r="AD12" s="180" t="str">
        <v/>
      </c>
      <c r="AF12" s="260" t="s">
        <v>885</v>
      </c>
      <c r="AG12" s="262">
        <v>0</v>
      </c>
      <c r="AH12" s="140" t="s">
        <v>883</v>
      </c>
      <c r="AI12" s="257" t="s">
        <v>883</v>
      </c>
      <c r="AO12" s="247">
        <v>7</v>
      </c>
      <c r="AP12" s="241" t="str">
        <v>XXXXXXXXX</v>
      </c>
      <c r="AQ12" s="248" t="str">
        <v>PROJ</v>
      </c>
    </row>
    <row r="13" spans="2:46" ht="13.9" customHeight="1">
      <c r="B13" s="293"/>
      <c r="C13" s="180" t="str">
        <v/>
      </c>
      <c r="D13" s="180" t="str">
        <v/>
      </c>
      <c r="E13" s="180" t="str">
        <v/>
      </c>
      <c r="F13" s="181" t="str">
        <v/>
      </c>
      <c r="G13" s="218" t="str">
        <v/>
      </c>
      <c r="H13" s="219" t="str">
        <v/>
      </c>
      <c r="I13" s="189" t="str">
        <v/>
      </c>
      <c r="J13" s="218" t="str">
        <v/>
      </c>
      <c r="K13" s="219" t="str">
        <v/>
      </c>
      <c r="L13" s="218" t="str">
        <v/>
      </c>
      <c r="M13" s="219" t="str">
        <v/>
      </c>
      <c r="N13" s="184" t="str">
        <v/>
      </c>
      <c r="O13" s="180" t="str">
        <v/>
      </c>
      <c r="P13" s="180" t="str">
        <v/>
      </c>
      <c r="Q13" s="180" t="str">
        <v/>
      </c>
      <c r="R13" s="180" t="str">
        <v/>
      </c>
      <c r="S13" s="180" t="str">
        <v/>
      </c>
      <c r="T13" s="181" t="str">
        <v/>
      </c>
      <c r="U13" s="218" t="str">
        <v/>
      </c>
      <c r="V13" s="219" t="str">
        <v/>
      </c>
      <c r="W13" s="184" t="str">
        <v/>
      </c>
      <c r="X13" s="180" t="str">
        <v/>
      </c>
      <c r="Y13" s="180" t="str">
        <v/>
      </c>
      <c r="Z13" s="181" t="str">
        <v/>
      </c>
      <c r="AA13" s="218" t="str">
        <v/>
      </c>
      <c r="AB13" s="219" t="str">
        <v/>
      </c>
      <c r="AC13" s="184" t="str">
        <v/>
      </c>
      <c r="AD13" s="180" t="str">
        <v/>
      </c>
      <c r="AF13" s="278" t="s">
        <v>886</v>
      </c>
      <c r="AG13" s="279"/>
      <c r="AH13" s="280">
        <v>46420</v>
      </c>
      <c r="AI13" s="281"/>
      <c r="AO13" s="247">
        <v>8</v>
      </c>
      <c r="AP13" s="241" t="str">
        <v>XXXXXXXXX</v>
      </c>
      <c r="AQ13" s="248" t="str">
        <v>PROJ</v>
      </c>
    </row>
    <row r="14" spans="2:46" ht="13.9" customHeight="1">
      <c r="B14" s="293"/>
      <c r="C14" s="180" t="str">
        <v/>
      </c>
      <c r="D14" s="180" t="str">
        <v/>
      </c>
      <c r="E14" s="180" t="str">
        <v/>
      </c>
      <c r="F14" s="181" t="str">
        <v/>
      </c>
      <c r="G14" s="218" t="str">
        <v/>
      </c>
      <c r="H14" s="219" t="str">
        <v/>
      </c>
      <c r="I14" s="189" t="str">
        <v/>
      </c>
      <c r="J14" s="218" t="str">
        <v/>
      </c>
      <c r="K14" s="219" t="str">
        <v/>
      </c>
      <c r="L14" s="218" t="str">
        <v/>
      </c>
      <c r="M14" s="219" t="str">
        <v/>
      </c>
      <c r="N14" s="184" t="str">
        <v/>
      </c>
      <c r="O14" s="180" t="str">
        <v/>
      </c>
      <c r="P14" s="180" t="str">
        <v/>
      </c>
      <c r="Q14" s="180" t="str">
        <v/>
      </c>
      <c r="R14" s="180" t="str">
        <v/>
      </c>
      <c r="S14" s="180" t="str">
        <v/>
      </c>
      <c r="T14" s="181" t="str">
        <v/>
      </c>
      <c r="U14" s="218" t="str">
        <v/>
      </c>
      <c r="V14" s="219" t="str">
        <v/>
      </c>
      <c r="W14" s="184" t="str">
        <v/>
      </c>
      <c r="X14" s="180" t="str">
        <v/>
      </c>
      <c r="Y14" s="180" t="str">
        <v/>
      </c>
      <c r="Z14" s="181" t="str">
        <v/>
      </c>
      <c r="AA14" s="218" t="str">
        <v/>
      </c>
      <c r="AB14" s="219" t="str">
        <v/>
      </c>
      <c r="AC14" s="184" t="str">
        <v/>
      </c>
      <c r="AD14" s="180" t="str">
        <v/>
      </c>
      <c r="AF14" s="256" t="s">
        <v>883</v>
      </c>
      <c r="AG14" s="140" t="s">
        <v>883</v>
      </c>
      <c r="AH14" s="140" t="s">
        <v>883</v>
      </c>
      <c r="AI14" s="257" t="s">
        <v>883</v>
      </c>
      <c r="AO14" s="247">
        <v>9</v>
      </c>
      <c r="AP14" s="241" t="str">
        <v>XXXXXXXXX</v>
      </c>
      <c r="AQ14" s="248" t="str">
        <v>PROJ</v>
      </c>
    </row>
    <row r="15" spans="2:46" ht="13.9" customHeight="1">
      <c r="B15" s="293"/>
      <c r="C15" s="180" t="str">
        <v/>
      </c>
      <c r="D15" s="180" t="str">
        <v/>
      </c>
      <c r="E15" s="180" t="str">
        <v/>
      </c>
      <c r="F15" s="181" t="str">
        <v/>
      </c>
      <c r="G15" s="218" t="str">
        <v/>
      </c>
      <c r="H15" s="219" t="str">
        <v/>
      </c>
      <c r="I15" s="189" t="str">
        <v/>
      </c>
      <c r="J15" s="218" t="str">
        <v/>
      </c>
      <c r="K15" s="219" t="str">
        <v/>
      </c>
      <c r="L15" s="218" t="str">
        <v/>
      </c>
      <c r="M15" s="219" t="str">
        <v/>
      </c>
      <c r="N15" s="184" t="str">
        <v/>
      </c>
      <c r="O15" s="180" t="str">
        <v/>
      </c>
      <c r="P15" s="180" t="str">
        <v/>
      </c>
      <c r="Q15" s="180" t="str">
        <v/>
      </c>
      <c r="R15" s="180" t="str">
        <v/>
      </c>
      <c r="S15" s="180" t="str">
        <v/>
      </c>
      <c r="T15" s="181" t="str">
        <v/>
      </c>
      <c r="U15" s="218" t="str">
        <v/>
      </c>
      <c r="V15" s="219" t="str">
        <v/>
      </c>
      <c r="W15" s="184" t="str">
        <v/>
      </c>
      <c r="X15" s="180" t="str">
        <v/>
      </c>
      <c r="Y15" s="180" t="str">
        <v/>
      </c>
      <c r="Z15" s="181" t="str">
        <v/>
      </c>
      <c r="AA15" s="218" t="str">
        <v/>
      </c>
      <c r="AB15" s="219" t="str">
        <v/>
      </c>
      <c r="AC15" s="184" t="str">
        <v/>
      </c>
      <c r="AD15" s="180" t="str">
        <v/>
      </c>
      <c r="AF15" s="282" t="s">
        <v>887</v>
      </c>
      <c r="AG15" s="283"/>
      <c r="AH15" s="283"/>
      <c r="AI15" s="284"/>
      <c r="AO15" s="247">
        <v>10</v>
      </c>
      <c r="AP15" s="241" t="str">
        <v>XXXXXXXXX</v>
      </c>
      <c r="AQ15" s="248" t="str">
        <v>PROJ</v>
      </c>
    </row>
    <row r="16" spans="2:46" ht="13.9" customHeight="1">
      <c r="B16" s="293"/>
      <c r="C16" s="180" t="str">
        <v/>
      </c>
      <c r="D16" s="180" t="str">
        <v/>
      </c>
      <c r="E16" s="180" t="str">
        <v/>
      </c>
      <c r="F16" s="181" t="str">
        <v/>
      </c>
      <c r="G16" s="218" t="str">
        <v/>
      </c>
      <c r="H16" s="219" t="str">
        <v/>
      </c>
      <c r="I16" s="189" t="str">
        <v/>
      </c>
      <c r="J16" s="218" t="str">
        <v/>
      </c>
      <c r="K16" s="219" t="str">
        <v/>
      </c>
      <c r="L16" s="218" t="str">
        <v/>
      </c>
      <c r="M16" s="219" t="str">
        <v/>
      </c>
      <c r="N16" s="184" t="str">
        <v/>
      </c>
      <c r="O16" s="180" t="str">
        <v/>
      </c>
      <c r="P16" s="180" t="str">
        <v/>
      </c>
      <c r="Q16" s="180" t="str">
        <v/>
      </c>
      <c r="R16" s="180" t="str">
        <v/>
      </c>
      <c r="S16" s="180" t="str">
        <v/>
      </c>
      <c r="T16" s="181" t="str">
        <v/>
      </c>
      <c r="U16" s="218" t="str">
        <v/>
      </c>
      <c r="V16" s="219" t="str">
        <v/>
      </c>
      <c r="W16" s="184" t="str">
        <v/>
      </c>
      <c r="X16" s="180" t="str">
        <v/>
      </c>
      <c r="Y16" s="180" t="str">
        <v/>
      </c>
      <c r="Z16" s="181" t="str">
        <v/>
      </c>
      <c r="AA16" s="218" t="str">
        <v/>
      </c>
      <c r="AB16" s="219" t="str">
        <v/>
      </c>
      <c r="AC16" s="184" t="str">
        <v/>
      </c>
      <c r="AD16" s="180" t="str">
        <v/>
      </c>
      <c r="AF16" s="258">
        <v>0</v>
      </c>
      <c r="AG16" s="259" t="s">
        <v>888</v>
      </c>
      <c r="AH16" s="255">
        <v>0</v>
      </c>
      <c r="AI16" s="254">
        <v>0</v>
      </c>
      <c r="AO16" s="247">
        <v>11</v>
      </c>
      <c r="AP16" s="241" t="str">
        <v>XXXXXXXXX</v>
      </c>
      <c r="AQ16" s="248" t="str">
        <v>PROJ</v>
      </c>
    </row>
    <row r="17" spans="2:43" ht="13.9" customHeight="1">
      <c r="B17" s="293"/>
      <c r="C17" s="180" t="str">
        <v/>
      </c>
      <c r="D17" s="180" t="str">
        <v/>
      </c>
      <c r="E17" s="180" t="str">
        <v/>
      </c>
      <c r="F17" s="181" t="str">
        <v/>
      </c>
      <c r="G17" s="218" t="str">
        <v/>
      </c>
      <c r="H17" s="219" t="str">
        <v/>
      </c>
      <c r="I17" s="189" t="str">
        <v/>
      </c>
      <c r="J17" s="218" t="str">
        <v/>
      </c>
      <c r="K17" s="219" t="str">
        <v/>
      </c>
      <c r="L17" s="218" t="str">
        <v/>
      </c>
      <c r="M17" s="219" t="str">
        <v/>
      </c>
      <c r="N17" s="184" t="str">
        <v/>
      </c>
      <c r="O17" s="180" t="str">
        <v/>
      </c>
      <c r="P17" s="180" t="str">
        <v/>
      </c>
      <c r="Q17" s="180" t="str">
        <v/>
      </c>
      <c r="R17" s="180" t="str">
        <v/>
      </c>
      <c r="S17" s="180" t="str">
        <v/>
      </c>
      <c r="T17" s="181" t="str">
        <v/>
      </c>
      <c r="U17" s="218" t="str">
        <v/>
      </c>
      <c r="V17" s="219" t="str">
        <v/>
      </c>
      <c r="W17" s="184" t="str">
        <v/>
      </c>
      <c r="X17" s="180" t="str">
        <v/>
      </c>
      <c r="Y17" s="180" t="str">
        <v/>
      </c>
      <c r="Z17" s="181" t="str">
        <v/>
      </c>
      <c r="AA17" s="218" t="str">
        <v/>
      </c>
      <c r="AB17" s="219" t="str">
        <v/>
      </c>
      <c r="AC17" s="184" t="str">
        <v/>
      </c>
      <c r="AD17" s="180" t="str">
        <v/>
      </c>
      <c r="AF17" s="263">
        <v>0</v>
      </c>
      <c r="AG17" s="259" t="s">
        <v>888</v>
      </c>
      <c r="AH17" s="255">
        <v>0</v>
      </c>
      <c r="AI17" s="254">
        <v>0</v>
      </c>
      <c r="AO17" s="247">
        <v>12</v>
      </c>
      <c r="AP17" s="241" t="str">
        <v>XXXXXXXXX</v>
      </c>
      <c r="AQ17" s="248" t="str">
        <v>PROJ</v>
      </c>
    </row>
    <row r="18" spans="2:43" ht="13.9" customHeight="1">
      <c r="B18" s="294"/>
      <c r="C18" s="180" t="str">
        <v/>
      </c>
      <c r="D18" s="180" t="str">
        <v/>
      </c>
      <c r="E18" s="180" t="str">
        <v/>
      </c>
      <c r="F18" s="181" t="str">
        <v/>
      </c>
      <c r="G18" s="220" t="str">
        <v/>
      </c>
      <c r="H18" s="222" t="str">
        <v/>
      </c>
      <c r="I18" s="213" t="str">
        <v/>
      </c>
      <c r="J18" s="220" t="str">
        <v/>
      </c>
      <c r="K18" s="221" t="str">
        <v/>
      </c>
      <c r="L18" s="220" t="str">
        <v/>
      </c>
      <c r="M18" s="221" t="str">
        <v/>
      </c>
      <c r="N18" s="184" t="str">
        <v/>
      </c>
      <c r="O18" s="180" t="str">
        <v/>
      </c>
      <c r="P18" s="180" t="str">
        <v/>
      </c>
      <c r="Q18" s="180" t="str">
        <v/>
      </c>
      <c r="R18" s="180" t="str">
        <v/>
      </c>
      <c r="S18" s="180" t="str">
        <v/>
      </c>
      <c r="T18" s="181" t="str">
        <v/>
      </c>
      <c r="U18" s="220" t="str">
        <v/>
      </c>
      <c r="V18" s="222" t="str">
        <v/>
      </c>
      <c r="W18" s="214" t="str">
        <v/>
      </c>
      <c r="X18" s="180" t="str">
        <v/>
      </c>
      <c r="Y18" s="180" t="str">
        <v/>
      </c>
      <c r="Z18" s="181" t="str">
        <v/>
      </c>
      <c r="AA18" s="220" t="str">
        <v/>
      </c>
      <c r="AB18" s="221" t="str">
        <v/>
      </c>
      <c r="AC18" s="184" t="str">
        <v/>
      </c>
      <c r="AD18" s="180" t="str">
        <v/>
      </c>
      <c r="AF18" s="264">
        <v>0</v>
      </c>
      <c r="AG18" s="265" t="s">
        <v>888</v>
      </c>
      <c r="AH18" s="266">
        <v>0</v>
      </c>
      <c r="AI18" s="267">
        <v>0</v>
      </c>
      <c r="AO18" s="247">
        <v>13</v>
      </c>
      <c r="AP18" s="241" t="str">
        <v>XXXXXXXXX</v>
      </c>
      <c r="AQ18" s="248" t="str">
        <v>PROJ</v>
      </c>
    </row>
    <row r="19" spans="2:43" ht="18" customHeight="1">
      <c r="B19" s="289">
        <v>7</v>
      </c>
      <c r="C19" s="144">
        <v>7001</v>
      </c>
      <c r="D19" s="144">
        <v>7002</v>
      </c>
      <c r="E19" s="144">
        <v>7003</v>
      </c>
      <c r="F19" s="144">
        <v>7004</v>
      </c>
      <c r="G19" s="156">
        <v>7005</v>
      </c>
      <c r="H19" s="216">
        <v>7006</v>
      </c>
      <c r="I19" s="217">
        <v>7007</v>
      </c>
      <c r="J19" s="158">
        <v>7008</v>
      </c>
      <c r="K19" s="216">
        <v>7009</v>
      </c>
      <c r="L19" s="217">
        <v>7010</v>
      </c>
      <c r="M19" s="154">
        <v>7011</v>
      </c>
      <c r="N19" s="144">
        <v>7012</v>
      </c>
      <c r="O19" s="144">
        <v>7013</v>
      </c>
      <c r="P19" s="144">
        <v>7014</v>
      </c>
      <c r="Q19" s="144">
        <v>7015</v>
      </c>
      <c r="R19" s="144">
        <v>7016</v>
      </c>
      <c r="S19" s="144">
        <v>7017</v>
      </c>
      <c r="T19" s="144">
        <v>7018</v>
      </c>
      <c r="U19" s="156">
        <v>7019</v>
      </c>
      <c r="V19" s="216">
        <v>7020</v>
      </c>
      <c r="W19" s="217">
        <v>7021</v>
      </c>
      <c r="X19" s="147">
        <v>7022</v>
      </c>
      <c r="Y19" s="144">
        <v>7023</v>
      </c>
      <c r="Z19" s="144">
        <v>7024</v>
      </c>
      <c r="AA19" s="148">
        <v>7025</v>
      </c>
      <c r="AB19" s="148">
        <v>7026</v>
      </c>
      <c r="AC19" s="144">
        <v>7027</v>
      </c>
      <c r="AD19" s="144">
        <v>7028</v>
      </c>
      <c r="AF19" s="292" t="s">
        <v>889</v>
      </c>
      <c r="AG19" s="292"/>
      <c r="AH19" s="292"/>
      <c r="AI19" s="292"/>
      <c r="AO19" s="247">
        <v>14</v>
      </c>
      <c r="AP19" s="241" t="str">
        <v>XXXXXXXXX</v>
      </c>
      <c r="AQ19" s="248" t="str">
        <v>PROJ</v>
      </c>
    </row>
    <row r="20" spans="2:43" ht="13.9" customHeight="1">
      <c r="B20" s="290"/>
      <c r="C20" s="180" t="str">
        <v/>
      </c>
      <c r="D20" s="180" t="str">
        <v/>
      </c>
      <c r="E20" s="180" t="str">
        <v/>
      </c>
      <c r="F20" s="180" t="str">
        <v/>
      </c>
      <c r="G20" s="181" t="str">
        <v/>
      </c>
      <c r="H20" s="218" t="str">
        <v/>
      </c>
      <c r="I20" s="219" t="str">
        <v/>
      </c>
      <c r="J20" s="189" t="str">
        <v/>
      </c>
      <c r="K20" s="218" t="str">
        <v/>
      </c>
      <c r="L20" s="219" t="str">
        <v/>
      </c>
      <c r="M20" s="184" t="str">
        <v/>
      </c>
      <c r="N20" s="180" t="str">
        <v/>
      </c>
      <c r="O20" s="180" t="str">
        <v/>
      </c>
      <c r="P20" s="180" t="str">
        <v/>
      </c>
      <c r="Q20" s="180" t="str">
        <v/>
      </c>
      <c r="R20" s="180" t="str">
        <v/>
      </c>
      <c r="S20" s="180" t="str">
        <v/>
      </c>
      <c r="T20" s="180" t="str">
        <v/>
      </c>
      <c r="U20" s="181" t="str">
        <v/>
      </c>
      <c r="V20" s="218" t="str">
        <v/>
      </c>
      <c r="W20" s="219" t="str">
        <v/>
      </c>
      <c r="X20" s="184" t="str">
        <v/>
      </c>
      <c r="Y20" s="180" t="str">
        <v/>
      </c>
      <c r="Z20" s="180" t="str">
        <v/>
      </c>
      <c r="AA20" s="180" t="str">
        <v/>
      </c>
      <c r="AB20" s="180" t="str">
        <v/>
      </c>
      <c r="AC20" s="180" t="str">
        <v/>
      </c>
      <c r="AD20" s="180" t="str">
        <v/>
      </c>
      <c r="AF20" s="285" t="s">
        <v>881</v>
      </c>
      <c r="AG20" s="286"/>
      <c r="AH20" s="286"/>
      <c r="AI20" s="287"/>
      <c r="AO20" s="247">
        <v>15</v>
      </c>
      <c r="AP20" s="241" t="str">
        <v>XXXXXXXXX</v>
      </c>
      <c r="AQ20" s="248" t="str">
        <v>PROJ</v>
      </c>
    </row>
    <row r="21" spans="2:43" ht="13.9" customHeight="1">
      <c r="B21" s="290"/>
      <c r="C21" s="180" t="str">
        <v/>
      </c>
      <c r="D21" s="180" t="str">
        <v/>
      </c>
      <c r="E21" s="180" t="str">
        <v/>
      </c>
      <c r="F21" s="180" t="str">
        <v/>
      </c>
      <c r="G21" s="181" t="str">
        <v/>
      </c>
      <c r="H21" s="218" t="str">
        <v/>
      </c>
      <c r="I21" s="219" t="str">
        <v/>
      </c>
      <c r="J21" s="189" t="str">
        <v/>
      </c>
      <c r="K21" s="218" t="str">
        <v/>
      </c>
      <c r="L21" s="219" t="str">
        <v/>
      </c>
      <c r="M21" s="184" t="str">
        <v/>
      </c>
      <c r="N21" s="180" t="str">
        <v/>
      </c>
      <c r="O21" s="180" t="str">
        <v/>
      </c>
      <c r="P21" s="180" t="str">
        <v/>
      </c>
      <c r="Q21" s="180" t="str">
        <v/>
      </c>
      <c r="R21" s="180" t="str">
        <v/>
      </c>
      <c r="S21" s="180" t="str">
        <v/>
      </c>
      <c r="T21" s="180" t="str">
        <v/>
      </c>
      <c r="U21" s="181" t="str">
        <v/>
      </c>
      <c r="V21" s="218" t="str">
        <v/>
      </c>
      <c r="W21" s="219" t="str">
        <v/>
      </c>
      <c r="X21" s="184" t="str">
        <v/>
      </c>
      <c r="Y21" s="180" t="str">
        <v/>
      </c>
      <c r="Z21" s="180" t="str">
        <v/>
      </c>
      <c r="AA21" s="180" t="str">
        <v/>
      </c>
      <c r="AB21" s="180" t="str">
        <v/>
      </c>
      <c r="AC21" s="180" t="str">
        <v/>
      </c>
      <c r="AD21" s="180" t="str">
        <v/>
      </c>
      <c r="AF21" s="260" t="s">
        <v>882</v>
      </c>
      <c r="AG21" s="261">
        <v>0</v>
      </c>
      <c r="AH21" s="253" t="s">
        <v>883</v>
      </c>
      <c r="AI21" s="205" t="s">
        <v>883</v>
      </c>
      <c r="AO21" s="247">
        <v>16</v>
      </c>
      <c r="AP21" s="241" t="str">
        <v>XXXXXXXXX</v>
      </c>
      <c r="AQ21" s="248" t="str">
        <v>PROJ</v>
      </c>
    </row>
    <row r="22" spans="2:43" ht="13.9" customHeight="1">
      <c r="B22" s="290"/>
      <c r="C22" s="180" t="str">
        <v/>
      </c>
      <c r="D22" s="180" t="str">
        <v/>
      </c>
      <c r="E22" s="180" t="str">
        <v/>
      </c>
      <c r="F22" s="180" t="str">
        <v/>
      </c>
      <c r="G22" s="181" t="str">
        <v/>
      </c>
      <c r="H22" s="218" t="str">
        <v/>
      </c>
      <c r="I22" s="219" t="str">
        <v/>
      </c>
      <c r="J22" s="189" t="str">
        <v/>
      </c>
      <c r="K22" s="218" t="str">
        <v/>
      </c>
      <c r="L22" s="219" t="str">
        <v/>
      </c>
      <c r="M22" s="184" t="str">
        <v/>
      </c>
      <c r="N22" s="180" t="str">
        <v/>
      </c>
      <c r="O22" s="180" t="str">
        <v/>
      </c>
      <c r="P22" s="180" t="str">
        <v/>
      </c>
      <c r="Q22" s="180" t="str">
        <v/>
      </c>
      <c r="R22" s="180" t="str">
        <v/>
      </c>
      <c r="S22" s="180" t="str">
        <v/>
      </c>
      <c r="T22" s="180" t="str">
        <v/>
      </c>
      <c r="U22" s="181" t="str">
        <v/>
      </c>
      <c r="V22" s="218" t="str">
        <v/>
      </c>
      <c r="W22" s="219" t="str">
        <v/>
      </c>
      <c r="X22" s="184" t="str">
        <v/>
      </c>
      <c r="Y22" s="180" t="str">
        <v/>
      </c>
      <c r="Z22" s="180" t="str">
        <v/>
      </c>
      <c r="AA22" s="180" t="str">
        <v/>
      </c>
      <c r="AB22" s="180" t="str">
        <v/>
      </c>
      <c r="AC22" s="180" t="str">
        <v/>
      </c>
      <c r="AD22" s="180" t="str">
        <v/>
      </c>
      <c r="AF22" s="260" t="s">
        <v>884</v>
      </c>
      <c r="AG22" s="288">
        <v>0</v>
      </c>
      <c r="AH22" s="288"/>
      <c r="AI22" s="205" t="s">
        <v>883</v>
      </c>
      <c r="AO22" s="247">
        <v>17</v>
      </c>
      <c r="AP22" s="241" t="str">
        <v>XXXXXXXXX</v>
      </c>
      <c r="AQ22" s="248" t="str">
        <v>PROJ</v>
      </c>
    </row>
    <row r="23" spans="2:43" ht="13.9" customHeight="1">
      <c r="B23" s="290"/>
      <c r="C23" s="180" t="str">
        <v/>
      </c>
      <c r="D23" s="180" t="str">
        <v/>
      </c>
      <c r="E23" s="180" t="str">
        <v/>
      </c>
      <c r="F23" s="180" t="str">
        <v/>
      </c>
      <c r="G23" s="181" t="str">
        <v/>
      </c>
      <c r="H23" s="218" t="str">
        <v/>
      </c>
      <c r="I23" s="219" t="str">
        <v/>
      </c>
      <c r="J23" s="189" t="str">
        <v/>
      </c>
      <c r="K23" s="218" t="str">
        <v/>
      </c>
      <c r="L23" s="219" t="str">
        <v/>
      </c>
      <c r="M23" s="184" t="str">
        <v/>
      </c>
      <c r="N23" s="180" t="str">
        <v/>
      </c>
      <c r="O23" s="180" t="str">
        <v/>
      </c>
      <c r="P23" s="180" t="str">
        <v/>
      </c>
      <c r="Q23" s="180" t="str">
        <v/>
      </c>
      <c r="R23" s="180" t="str">
        <v/>
      </c>
      <c r="S23" s="180" t="str">
        <v/>
      </c>
      <c r="T23" s="180" t="str">
        <v/>
      </c>
      <c r="U23" s="181" t="str">
        <v/>
      </c>
      <c r="V23" s="218" t="str">
        <v/>
      </c>
      <c r="W23" s="219" t="str">
        <v/>
      </c>
      <c r="X23" s="184" t="str">
        <v/>
      </c>
      <c r="Y23" s="180" t="str">
        <v/>
      </c>
      <c r="Z23" s="180" t="str">
        <v/>
      </c>
      <c r="AA23" s="180" t="str">
        <v/>
      </c>
      <c r="AB23" s="180" t="str">
        <v/>
      </c>
      <c r="AC23" s="180" t="str">
        <v/>
      </c>
      <c r="AD23" s="180" t="str">
        <v/>
      </c>
      <c r="AF23" s="260" t="s">
        <v>885</v>
      </c>
      <c r="AG23" s="262">
        <v>0</v>
      </c>
      <c r="AH23" s="140" t="s">
        <v>883</v>
      </c>
      <c r="AI23" s="257" t="s">
        <v>883</v>
      </c>
      <c r="AO23" s="247">
        <v>18</v>
      </c>
      <c r="AP23" s="241" t="str">
        <v>XXXXXXXXX</v>
      </c>
      <c r="AQ23" s="248" t="str">
        <v>PROJ</v>
      </c>
    </row>
    <row r="24" spans="2:43" ht="13.9" customHeight="1">
      <c r="B24" s="290"/>
      <c r="C24" s="180" t="str">
        <v/>
      </c>
      <c r="D24" s="180" t="str">
        <v/>
      </c>
      <c r="E24" s="180" t="str">
        <v/>
      </c>
      <c r="F24" s="180" t="str">
        <v/>
      </c>
      <c r="G24" s="181" t="str">
        <v/>
      </c>
      <c r="H24" s="218" t="str">
        <v/>
      </c>
      <c r="I24" s="219" t="str">
        <v/>
      </c>
      <c r="J24" s="189" t="str">
        <v/>
      </c>
      <c r="K24" s="218" t="str">
        <v/>
      </c>
      <c r="L24" s="219" t="str">
        <v/>
      </c>
      <c r="M24" s="184" t="str">
        <v/>
      </c>
      <c r="N24" s="180" t="str">
        <v/>
      </c>
      <c r="O24" s="180" t="str">
        <v/>
      </c>
      <c r="P24" s="180" t="str">
        <v/>
      </c>
      <c r="Q24" s="180" t="str">
        <v/>
      </c>
      <c r="R24" s="180" t="str">
        <v/>
      </c>
      <c r="S24" s="180" t="str">
        <v/>
      </c>
      <c r="T24" s="180" t="str">
        <v/>
      </c>
      <c r="U24" s="181" t="str">
        <v/>
      </c>
      <c r="V24" s="218" t="str">
        <v/>
      </c>
      <c r="W24" s="219" t="str">
        <v/>
      </c>
      <c r="X24" s="184" t="str">
        <v/>
      </c>
      <c r="Y24" s="180" t="str">
        <v/>
      </c>
      <c r="Z24" s="180" t="str">
        <v/>
      </c>
      <c r="AA24" s="180" t="str">
        <v/>
      </c>
      <c r="AB24" s="180" t="str">
        <v/>
      </c>
      <c r="AC24" s="180" t="str">
        <v/>
      </c>
      <c r="AD24" s="180" t="str">
        <v/>
      </c>
      <c r="AF24" s="278" t="s">
        <v>886</v>
      </c>
      <c r="AG24" s="279"/>
      <c r="AH24" s="280">
        <v>46394</v>
      </c>
      <c r="AI24" s="281"/>
      <c r="AO24" s="247">
        <v>19</v>
      </c>
      <c r="AP24" s="241" t="str">
        <v>XXXXXXXXX</v>
      </c>
      <c r="AQ24" s="248" t="str">
        <v>PROJ</v>
      </c>
    </row>
    <row r="25" spans="2:43" ht="13.9" customHeight="1">
      <c r="B25" s="290"/>
      <c r="C25" s="180" t="str">
        <v/>
      </c>
      <c r="D25" s="180" t="str">
        <v/>
      </c>
      <c r="E25" s="180" t="str">
        <v/>
      </c>
      <c r="F25" s="180" t="str">
        <v/>
      </c>
      <c r="G25" s="181" t="str">
        <v/>
      </c>
      <c r="H25" s="218" t="str">
        <v/>
      </c>
      <c r="I25" s="219" t="str">
        <v/>
      </c>
      <c r="J25" s="189" t="str">
        <v/>
      </c>
      <c r="K25" s="218" t="str">
        <v/>
      </c>
      <c r="L25" s="219" t="str">
        <v/>
      </c>
      <c r="M25" s="184" t="str">
        <v/>
      </c>
      <c r="N25" s="180" t="str">
        <v/>
      </c>
      <c r="O25" s="180" t="str">
        <v/>
      </c>
      <c r="P25" s="180" t="str">
        <v/>
      </c>
      <c r="Q25" s="180" t="str">
        <v/>
      </c>
      <c r="R25" s="180" t="str">
        <v/>
      </c>
      <c r="S25" s="180" t="str">
        <v/>
      </c>
      <c r="T25" s="180" t="str">
        <v/>
      </c>
      <c r="U25" s="181" t="str">
        <v/>
      </c>
      <c r="V25" s="218" t="str">
        <v/>
      </c>
      <c r="W25" s="219" t="str">
        <v/>
      </c>
      <c r="X25" s="184" t="str">
        <v/>
      </c>
      <c r="Y25" s="180" t="str">
        <v/>
      </c>
      <c r="Z25" s="180" t="str">
        <v/>
      </c>
      <c r="AA25" s="180" t="str">
        <v/>
      </c>
      <c r="AB25" s="180" t="str">
        <v/>
      </c>
      <c r="AC25" s="180" t="str">
        <v/>
      </c>
      <c r="AD25" s="180" t="str">
        <v/>
      </c>
      <c r="AF25" s="256" t="s">
        <v>883</v>
      </c>
      <c r="AG25" s="140" t="s">
        <v>883</v>
      </c>
      <c r="AH25" s="140" t="s">
        <v>883</v>
      </c>
      <c r="AI25" s="257" t="s">
        <v>883</v>
      </c>
      <c r="AO25" s="247">
        <v>20</v>
      </c>
      <c r="AP25" s="241" t="str">
        <v>XXXXXXXXX</v>
      </c>
      <c r="AQ25" s="248" t="str">
        <v>PROJ</v>
      </c>
    </row>
    <row r="26" spans="2:43" ht="13.9" customHeight="1">
      <c r="B26" s="290"/>
      <c r="C26" s="180" t="str">
        <v/>
      </c>
      <c r="D26" s="180" t="str">
        <v/>
      </c>
      <c r="E26" s="180" t="str">
        <v/>
      </c>
      <c r="F26" s="180" t="str">
        <v/>
      </c>
      <c r="G26" s="181" t="str">
        <v/>
      </c>
      <c r="H26" s="218" t="str">
        <v/>
      </c>
      <c r="I26" s="219" t="str">
        <v/>
      </c>
      <c r="J26" s="189" t="str">
        <v/>
      </c>
      <c r="K26" s="218" t="str">
        <v/>
      </c>
      <c r="L26" s="219" t="str">
        <v/>
      </c>
      <c r="M26" s="184" t="str">
        <v/>
      </c>
      <c r="N26" s="180" t="str">
        <v/>
      </c>
      <c r="O26" s="180" t="str">
        <v/>
      </c>
      <c r="P26" s="180" t="str">
        <v/>
      </c>
      <c r="Q26" s="180" t="str">
        <v/>
      </c>
      <c r="R26" s="180" t="str">
        <v/>
      </c>
      <c r="S26" s="180" t="str">
        <v/>
      </c>
      <c r="T26" s="180" t="str">
        <v/>
      </c>
      <c r="U26" s="181" t="str">
        <v/>
      </c>
      <c r="V26" s="218" t="str">
        <v/>
      </c>
      <c r="W26" s="219" t="str">
        <v/>
      </c>
      <c r="X26" s="184" t="str">
        <v/>
      </c>
      <c r="Y26" s="180" t="str">
        <v/>
      </c>
      <c r="Z26" s="180" t="str">
        <v/>
      </c>
      <c r="AA26" s="180" t="str">
        <v/>
      </c>
      <c r="AB26" s="180" t="str">
        <v/>
      </c>
      <c r="AC26" s="180" t="str">
        <v/>
      </c>
      <c r="AD26" s="180" t="str">
        <v/>
      </c>
      <c r="AF26" s="282" t="s">
        <v>887</v>
      </c>
      <c r="AG26" s="283"/>
      <c r="AH26" s="283"/>
      <c r="AI26" s="284"/>
      <c r="AO26" s="249">
        <v>21</v>
      </c>
      <c r="AP26" s="250" t="str">
        <v>XXXXXXXXX</v>
      </c>
      <c r="AQ26" s="251" t="str">
        <v>PROJ</v>
      </c>
    </row>
    <row r="27" spans="2:43" ht="13.9" customHeight="1">
      <c r="B27" s="290"/>
      <c r="C27" s="180" t="str">
        <v/>
      </c>
      <c r="D27" s="180" t="str">
        <v/>
      </c>
      <c r="E27" s="180" t="str">
        <v/>
      </c>
      <c r="F27" s="180" t="str">
        <v/>
      </c>
      <c r="G27" s="181" t="str">
        <v/>
      </c>
      <c r="H27" s="218" t="str">
        <v/>
      </c>
      <c r="I27" s="219" t="str">
        <v/>
      </c>
      <c r="J27" s="189" t="str">
        <v/>
      </c>
      <c r="K27" s="218" t="str">
        <v/>
      </c>
      <c r="L27" s="219" t="str">
        <v/>
      </c>
      <c r="M27" s="184" t="str">
        <v/>
      </c>
      <c r="N27" s="180" t="str">
        <v/>
      </c>
      <c r="O27" s="180" t="str">
        <v/>
      </c>
      <c r="P27" s="180" t="str">
        <v/>
      </c>
      <c r="Q27" s="180" t="str">
        <v/>
      </c>
      <c r="R27" s="180" t="str">
        <v/>
      </c>
      <c r="S27" s="180" t="str">
        <v/>
      </c>
      <c r="T27" s="180" t="str">
        <v/>
      </c>
      <c r="U27" s="181" t="str">
        <v/>
      </c>
      <c r="V27" s="218" t="str">
        <v/>
      </c>
      <c r="W27" s="219" t="str">
        <v/>
      </c>
      <c r="X27" s="184" t="str">
        <v/>
      </c>
      <c r="Y27" s="180" t="str">
        <v/>
      </c>
      <c r="Z27" s="180" t="str">
        <v/>
      </c>
      <c r="AA27" s="180" t="str">
        <v/>
      </c>
      <c r="AB27" s="180" t="str">
        <v/>
      </c>
      <c r="AC27" s="180" t="str">
        <v/>
      </c>
      <c r="AD27" s="180" t="str">
        <v/>
      </c>
      <c r="AF27" s="258">
        <v>0</v>
      </c>
      <c r="AG27" s="259" t="s">
        <v>888</v>
      </c>
      <c r="AH27" s="255">
        <v>0</v>
      </c>
      <c r="AI27" s="254">
        <v>0</v>
      </c>
      <c r="AO27"/>
      <c r="AP27"/>
      <c r="AQ27"/>
    </row>
    <row r="28" spans="2:43" ht="13.9" customHeight="1">
      <c r="B28" s="290"/>
      <c r="C28" s="180" t="str">
        <v/>
      </c>
      <c r="D28" s="180" t="str">
        <v/>
      </c>
      <c r="E28" s="180" t="str">
        <v/>
      </c>
      <c r="F28" s="180" t="str">
        <v/>
      </c>
      <c r="G28" s="181" t="str">
        <v/>
      </c>
      <c r="H28" s="218" t="str">
        <v/>
      </c>
      <c r="I28" s="219" t="str">
        <v/>
      </c>
      <c r="J28" s="189" t="str">
        <v/>
      </c>
      <c r="K28" s="218" t="str">
        <v/>
      </c>
      <c r="L28" s="219" t="str">
        <v/>
      </c>
      <c r="M28" s="184" t="str">
        <v/>
      </c>
      <c r="N28" s="180" t="str">
        <v/>
      </c>
      <c r="O28" s="180" t="str">
        <v/>
      </c>
      <c r="P28" s="180" t="str">
        <v/>
      </c>
      <c r="Q28" s="180" t="str">
        <v/>
      </c>
      <c r="R28" s="180" t="str">
        <v/>
      </c>
      <c r="S28" s="180" t="str">
        <v/>
      </c>
      <c r="T28" s="180" t="str">
        <v/>
      </c>
      <c r="U28" s="181" t="str">
        <v/>
      </c>
      <c r="V28" s="218" t="str">
        <v/>
      </c>
      <c r="W28" s="219" t="str">
        <v/>
      </c>
      <c r="X28" s="184" t="str">
        <v/>
      </c>
      <c r="Y28" s="180" t="str">
        <v/>
      </c>
      <c r="Z28" s="180" t="str">
        <v/>
      </c>
      <c r="AA28" s="180" t="str">
        <v/>
      </c>
      <c r="AB28" s="180" t="str">
        <v/>
      </c>
      <c r="AC28" s="180" t="str">
        <v/>
      </c>
      <c r="AD28" s="180" t="str">
        <v/>
      </c>
      <c r="AF28" s="263">
        <v>0</v>
      </c>
      <c r="AG28" s="259" t="s">
        <v>888</v>
      </c>
      <c r="AH28" s="255">
        <v>0</v>
      </c>
      <c r="AI28" s="254">
        <v>0</v>
      </c>
      <c r="AO28"/>
      <c r="AP28"/>
      <c r="AQ28"/>
    </row>
    <row r="29" spans="2:43" ht="13.9" customHeight="1">
      <c r="B29" s="291"/>
      <c r="C29" s="180" t="str">
        <v/>
      </c>
      <c r="D29" s="188" t="str">
        <v/>
      </c>
      <c r="E29" s="188" t="str">
        <v/>
      </c>
      <c r="F29" s="180" t="str">
        <v/>
      </c>
      <c r="G29" s="181" t="str">
        <v/>
      </c>
      <c r="H29" s="220" t="str">
        <v/>
      </c>
      <c r="I29" s="221" t="str">
        <v/>
      </c>
      <c r="J29" s="189" t="str">
        <v/>
      </c>
      <c r="K29" s="220" t="str">
        <v/>
      </c>
      <c r="L29" s="221" t="str">
        <v/>
      </c>
      <c r="M29" s="184" t="str">
        <v/>
      </c>
      <c r="N29" s="180" t="str">
        <v/>
      </c>
      <c r="O29" s="180" t="str">
        <v/>
      </c>
      <c r="P29" s="180" t="str">
        <v/>
      </c>
      <c r="Q29" s="180" t="str">
        <v/>
      </c>
      <c r="R29" s="180" t="str">
        <v/>
      </c>
      <c r="S29" s="188" t="str">
        <v/>
      </c>
      <c r="T29" s="188" t="str">
        <v/>
      </c>
      <c r="U29" s="190" t="str">
        <v/>
      </c>
      <c r="V29" s="225" t="str">
        <v/>
      </c>
      <c r="W29" s="221" t="str">
        <v/>
      </c>
      <c r="X29" s="184" t="str">
        <v/>
      </c>
      <c r="Y29" s="180" t="str">
        <v/>
      </c>
      <c r="Z29" s="180" t="str">
        <v/>
      </c>
      <c r="AA29" s="180" t="str">
        <v/>
      </c>
      <c r="AB29" s="180" t="str">
        <v/>
      </c>
      <c r="AC29" s="180" t="str">
        <v/>
      </c>
      <c r="AD29" s="180" t="str">
        <v/>
      </c>
      <c r="AF29" s="264">
        <v>0</v>
      </c>
      <c r="AG29" s="265" t="s">
        <v>888</v>
      </c>
      <c r="AH29" s="266">
        <v>0</v>
      </c>
      <c r="AI29" s="267">
        <v>0</v>
      </c>
      <c r="AO29"/>
      <c r="AP29"/>
      <c r="AQ29"/>
    </row>
    <row r="30" spans="2:43" ht="18" customHeight="1">
      <c r="B30" s="289">
        <v>6</v>
      </c>
      <c r="C30" s="156">
        <v>6001</v>
      </c>
      <c r="D30" s="216">
        <v>6002</v>
      </c>
      <c r="E30" s="217">
        <v>6003</v>
      </c>
      <c r="F30" s="154">
        <v>6004</v>
      </c>
      <c r="G30" s="148">
        <v>6005</v>
      </c>
      <c r="H30" s="148">
        <v>6006</v>
      </c>
      <c r="I30" s="148">
        <v>6007</v>
      </c>
      <c r="J30" s="148">
        <v>6008</v>
      </c>
      <c r="K30" s="148">
        <v>6009</v>
      </c>
      <c r="L30" s="148">
        <v>6010</v>
      </c>
      <c r="M30" s="148">
        <v>6011</v>
      </c>
      <c r="N30" s="148">
        <v>6012</v>
      </c>
      <c r="O30" s="148">
        <v>6013</v>
      </c>
      <c r="P30" s="148">
        <v>6014</v>
      </c>
      <c r="Q30" s="148">
        <v>6015</v>
      </c>
      <c r="R30" s="156">
        <v>6016</v>
      </c>
      <c r="S30" s="216">
        <v>6017</v>
      </c>
      <c r="T30" s="217">
        <v>6018</v>
      </c>
      <c r="U30" s="216">
        <v>6019</v>
      </c>
      <c r="V30" s="217">
        <v>6020</v>
      </c>
      <c r="W30" s="154">
        <v>6021</v>
      </c>
      <c r="X30" s="148">
        <v>6022</v>
      </c>
      <c r="Y30" s="148">
        <v>6023</v>
      </c>
      <c r="Z30" s="148">
        <v>6024</v>
      </c>
      <c r="AA30" s="148">
        <v>6025</v>
      </c>
      <c r="AB30" s="148">
        <v>6026</v>
      </c>
      <c r="AC30" s="148">
        <v>6027</v>
      </c>
      <c r="AD30" s="148">
        <v>6028</v>
      </c>
      <c r="AF30" s="292" t="s">
        <v>890</v>
      </c>
      <c r="AG30" s="292"/>
      <c r="AH30" s="292"/>
      <c r="AI30" s="292"/>
      <c r="AO30"/>
      <c r="AP30"/>
      <c r="AQ30"/>
    </row>
    <row r="31" spans="2:43" ht="13.9" customHeight="1">
      <c r="B31" s="290"/>
      <c r="C31" s="181" t="str">
        <v/>
      </c>
      <c r="D31" s="218" t="str">
        <v>(4) FOYER</v>
      </c>
      <c r="E31" s="219" t="str">
        <v/>
      </c>
      <c r="F31" s="184" t="str">
        <v/>
      </c>
      <c r="G31" s="180" t="str">
        <v/>
      </c>
      <c r="H31" s="180" t="str">
        <v/>
      </c>
      <c r="I31" s="180" t="str">
        <v>FOYER</v>
      </c>
      <c r="J31" s="180" t="str">
        <v/>
      </c>
      <c r="K31" s="180" t="str">
        <v>FOYER</v>
      </c>
      <c r="L31" s="180" t="str">
        <v>FOYER</v>
      </c>
      <c r="M31" s="180" t="str">
        <v/>
      </c>
      <c r="N31" s="180" t="str">
        <v/>
      </c>
      <c r="O31" s="180" t="str">
        <v/>
      </c>
      <c r="P31" s="180" t="str">
        <v/>
      </c>
      <c r="Q31" s="180" t="str">
        <v/>
      </c>
      <c r="R31" s="181" t="str">
        <v/>
      </c>
      <c r="S31" s="218" t="str">
        <v>UTILITY ROOM</v>
      </c>
      <c r="T31" s="219" t="str">
        <v/>
      </c>
      <c r="U31" s="218" t="str">
        <v>FOYER</v>
      </c>
      <c r="V31" s="219" t="str">
        <v/>
      </c>
      <c r="W31" s="184" t="str">
        <v/>
      </c>
      <c r="X31" s="180" t="str">
        <v/>
      </c>
      <c r="Y31" s="180" t="str">
        <v/>
      </c>
      <c r="Z31" s="180" t="str">
        <v/>
      </c>
      <c r="AA31" s="180" t="str">
        <v>FOYER</v>
      </c>
      <c r="AB31" s="180" t="str">
        <v/>
      </c>
      <c r="AC31" s="180" t="str">
        <v/>
      </c>
      <c r="AD31" s="180" t="str">
        <v/>
      </c>
      <c r="AF31" s="285" t="s">
        <v>881</v>
      </c>
      <c r="AG31" s="286"/>
      <c r="AH31" s="286"/>
      <c r="AI31" s="287"/>
      <c r="AO31"/>
      <c r="AP31"/>
      <c r="AQ31"/>
    </row>
    <row r="32" spans="2:43" ht="13.9" customHeight="1">
      <c r="B32" s="290"/>
      <c r="C32" s="181" t="str">
        <v/>
      </c>
      <c r="D32" s="218" t="str">
        <v>(4) UTILITY ROOM</v>
      </c>
      <c r="E32" s="219" t="str">
        <v/>
      </c>
      <c r="F32" s="184" t="str">
        <v/>
      </c>
      <c r="G32" s="180" t="str">
        <v/>
      </c>
      <c r="H32" s="180" t="str">
        <v/>
      </c>
      <c r="I32" s="180" t="str">
        <v>UTILITY ROOM</v>
      </c>
      <c r="J32" s="180" t="str">
        <v/>
      </c>
      <c r="K32" s="180" t="str">
        <v>UTILITY ROOM</v>
      </c>
      <c r="L32" s="180" t="str">
        <v>UTILITY ROOM</v>
      </c>
      <c r="M32" s="180" t="str">
        <v/>
      </c>
      <c r="N32" s="180" t="str">
        <v/>
      </c>
      <c r="O32" s="180" t="str">
        <v/>
      </c>
      <c r="P32" s="180" t="str">
        <v/>
      </c>
      <c r="Q32" s="180" t="str">
        <v/>
      </c>
      <c r="R32" s="181" t="str">
        <v/>
      </c>
      <c r="S32" s="218" t="str">
        <v>KITCHEN</v>
      </c>
      <c r="T32" s="219" t="str">
        <v/>
      </c>
      <c r="U32" s="218" t="str">
        <v>UTILITY ROOM</v>
      </c>
      <c r="V32" s="219" t="str">
        <v/>
      </c>
      <c r="W32" s="184" t="str">
        <v/>
      </c>
      <c r="X32" s="180" t="str">
        <v/>
      </c>
      <c r="Y32" s="180" t="str">
        <v/>
      </c>
      <c r="Z32" s="180" t="str">
        <v/>
      </c>
      <c r="AA32" s="180" t="str">
        <v>UTILITY ROOM</v>
      </c>
      <c r="AB32" s="180" t="str">
        <v/>
      </c>
      <c r="AC32" s="180" t="str">
        <v/>
      </c>
      <c r="AD32" s="180" t="str">
        <v/>
      </c>
      <c r="AF32" s="260" t="s">
        <v>882</v>
      </c>
      <c r="AG32" s="261">
        <v>0</v>
      </c>
      <c r="AH32" s="253" t="s">
        <v>883</v>
      </c>
      <c r="AI32" s="205" t="s">
        <v>883</v>
      </c>
      <c r="AO32"/>
      <c r="AP32"/>
      <c r="AQ32"/>
    </row>
    <row r="33" spans="2:43" ht="13.9" customHeight="1">
      <c r="B33" s="290"/>
      <c r="C33" s="181" t="str">
        <v/>
      </c>
      <c r="D33" s="218" t="str">
        <v>(4) KITCHEN</v>
      </c>
      <c r="E33" s="219" t="str">
        <v/>
      </c>
      <c r="F33" s="184" t="str">
        <v/>
      </c>
      <c r="G33" s="180" t="str">
        <v/>
      </c>
      <c r="H33" s="180" t="str">
        <v/>
      </c>
      <c r="I33" s="180" t="str">
        <v>KITCHEN</v>
      </c>
      <c r="J33" s="180" t="str">
        <v/>
      </c>
      <c r="K33" s="180" t="str">
        <v>KITCHEN</v>
      </c>
      <c r="L33" s="180" t="str">
        <v>KITCHEN</v>
      </c>
      <c r="M33" s="180" t="str">
        <v/>
      </c>
      <c r="N33" s="180" t="str">
        <v/>
      </c>
      <c r="O33" s="180" t="str">
        <v/>
      </c>
      <c r="P33" s="180" t="str">
        <v/>
      </c>
      <c r="Q33" s="180" t="str">
        <v/>
      </c>
      <c r="R33" s="181" t="str">
        <v/>
      </c>
      <c r="S33" s="218" t="str">
        <v>PRIM BATH</v>
      </c>
      <c r="T33" s="219" t="str">
        <v/>
      </c>
      <c r="U33" s="218" t="str">
        <v>BEV CENTER</v>
      </c>
      <c r="V33" s="219" t="str">
        <v/>
      </c>
      <c r="W33" s="184" t="str">
        <v/>
      </c>
      <c r="X33" s="180" t="str">
        <v/>
      </c>
      <c r="Y33" s="180" t="str">
        <v/>
      </c>
      <c r="Z33" s="180" t="str">
        <v/>
      </c>
      <c r="AA33" s="180" t="str">
        <v>KITCHEN</v>
      </c>
      <c r="AB33" s="180" t="str">
        <v/>
      </c>
      <c r="AC33" s="180" t="str">
        <v/>
      </c>
      <c r="AD33" s="180" t="str">
        <v/>
      </c>
      <c r="AF33" s="260" t="s">
        <v>884</v>
      </c>
      <c r="AG33" s="288">
        <v>0</v>
      </c>
      <c r="AH33" s="288"/>
      <c r="AI33" s="205" t="s">
        <v>883</v>
      </c>
      <c r="AO33"/>
      <c r="AP33"/>
      <c r="AQ33"/>
    </row>
    <row r="34" spans="2:43" ht="13.9" customHeight="1">
      <c r="B34" s="290"/>
      <c r="C34" s="181" t="str">
        <v/>
      </c>
      <c r="D34" s="218" t="str">
        <v>(4) PRIM BATH</v>
      </c>
      <c r="E34" s="219" t="str">
        <v/>
      </c>
      <c r="F34" s="184" t="str">
        <v/>
      </c>
      <c r="G34" s="180" t="str">
        <v/>
      </c>
      <c r="H34" s="180" t="str">
        <v/>
      </c>
      <c r="I34" s="180" t="str">
        <v>PRIM BATH</v>
      </c>
      <c r="J34" s="180" t="str">
        <v/>
      </c>
      <c r="K34" s="180" t="str">
        <v>PRIM BATH</v>
      </c>
      <c r="L34" s="180" t="str">
        <v>PRIM BATH</v>
      </c>
      <c r="M34" s="180" t="str">
        <v/>
      </c>
      <c r="N34" s="180" t="str">
        <v/>
      </c>
      <c r="O34" s="180" t="str">
        <v/>
      </c>
      <c r="P34" s="180" t="str">
        <v/>
      </c>
      <c r="Q34" s="180" t="str">
        <v/>
      </c>
      <c r="R34" s="181" t="str">
        <v/>
      </c>
      <c r="S34" s="218" t="str">
        <v>BATH 2</v>
      </c>
      <c r="T34" s="219" t="str">
        <v/>
      </c>
      <c r="U34" s="218" t="str">
        <v>KITCHEN</v>
      </c>
      <c r="V34" s="219" t="str">
        <v/>
      </c>
      <c r="W34" s="184" t="str">
        <v/>
      </c>
      <c r="X34" s="180" t="str">
        <v/>
      </c>
      <c r="Y34" s="180" t="str">
        <v/>
      </c>
      <c r="Z34" s="180" t="str">
        <v/>
      </c>
      <c r="AA34" s="180" t="str">
        <v>PRIM BATH</v>
      </c>
      <c r="AB34" s="180" t="str">
        <v/>
      </c>
      <c r="AC34" s="180" t="str">
        <v/>
      </c>
      <c r="AD34" s="180" t="str">
        <v/>
      </c>
      <c r="AF34" s="260" t="s">
        <v>885</v>
      </c>
      <c r="AG34" s="262">
        <v>0</v>
      </c>
      <c r="AH34" s="140" t="s">
        <v>883</v>
      </c>
      <c r="AI34" s="257" t="s">
        <v>883</v>
      </c>
      <c r="AO34"/>
      <c r="AP34"/>
      <c r="AQ34"/>
    </row>
    <row r="35" spans="2:43" ht="13.9" customHeight="1">
      <c r="B35" s="290"/>
      <c r="C35" s="181" t="str">
        <v/>
      </c>
      <c r="D35" s="218" t="str">
        <v>(4) BATH 2</v>
      </c>
      <c r="E35" s="219" t="str">
        <v/>
      </c>
      <c r="F35" s="184" t="str">
        <v/>
      </c>
      <c r="G35" s="180" t="str">
        <v/>
      </c>
      <c r="H35" s="180" t="str">
        <v/>
      </c>
      <c r="I35" s="180" t="str">
        <v/>
      </c>
      <c r="J35" s="180" t="str">
        <v/>
      </c>
      <c r="K35" s="180" t="str">
        <v>PRIM BED</v>
      </c>
      <c r="L35" s="180" t="str">
        <v>BATH 2</v>
      </c>
      <c r="M35" s="180" t="str">
        <v/>
      </c>
      <c r="N35" s="180" t="str">
        <v/>
      </c>
      <c r="O35" s="180" t="str">
        <v/>
      </c>
      <c r="P35" s="180" t="str">
        <v/>
      </c>
      <c r="Q35" s="180" t="str">
        <v/>
      </c>
      <c r="R35" s="181" t="str">
        <v/>
      </c>
      <c r="S35" s="218" t="str">
        <v>BATH 3</v>
      </c>
      <c r="T35" s="219" t="str">
        <v/>
      </c>
      <c r="U35" s="218" t="str">
        <v>GREAT ROOM</v>
      </c>
      <c r="V35" s="219" t="str">
        <v/>
      </c>
      <c r="W35" s="184" t="str">
        <v/>
      </c>
      <c r="X35" s="180" t="str">
        <v/>
      </c>
      <c r="Y35" s="180" t="str">
        <v/>
      </c>
      <c r="Z35" s="180" t="str">
        <v/>
      </c>
      <c r="AA35" s="180" t="str">
        <v>BATH 2</v>
      </c>
      <c r="AB35" s="180" t="str">
        <v/>
      </c>
      <c r="AC35" s="180" t="str">
        <v/>
      </c>
      <c r="AD35" s="180" t="str">
        <v/>
      </c>
      <c r="AF35" s="278" t="s">
        <v>886</v>
      </c>
      <c r="AG35" s="279"/>
      <c r="AH35" s="280">
        <v>46370</v>
      </c>
      <c r="AI35" s="281"/>
      <c r="AO35"/>
      <c r="AP35"/>
      <c r="AQ35"/>
    </row>
    <row r="36" spans="2:43" ht="13.9" customHeight="1">
      <c r="B36" s="290"/>
      <c r="C36" s="181" t="str">
        <v/>
      </c>
      <c r="D36" s="218" t="str">
        <v>(4) BATH 3</v>
      </c>
      <c r="E36" s="219" t="str">
        <v/>
      </c>
      <c r="F36" s="184" t="str">
        <v/>
      </c>
      <c r="G36" s="180" t="str">
        <v/>
      </c>
      <c r="H36" s="180" t="str">
        <v/>
      </c>
      <c r="I36" s="180" t="str">
        <v/>
      </c>
      <c r="J36" s="180" t="str">
        <v/>
      </c>
      <c r="K36" s="180" t="str">
        <v/>
      </c>
      <c r="L36" s="180" t="str">
        <v/>
      </c>
      <c r="M36" s="180" t="str">
        <v/>
      </c>
      <c r="N36" s="180" t="str">
        <v/>
      </c>
      <c r="O36" s="180" t="str">
        <v/>
      </c>
      <c r="P36" s="180" t="str">
        <v/>
      </c>
      <c r="Q36" s="180" t="str">
        <v/>
      </c>
      <c r="R36" s="181" t="str">
        <v/>
      </c>
      <c r="S36" s="218" t="str">
        <v>BATH 4</v>
      </c>
      <c r="T36" s="219" t="str">
        <v/>
      </c>
      <c r="U36" s="218" t="str">
        <v>PRIM BATH</v>
      </c>
      <c r="V36" s="219" t="str">
        <v/>
      </c>
      <c r="W36" s="184" t="str">
        <v/>
      </c>
      <c r="X36" s="180" t="str">
        <v/>
      </c>
      <c r="Y36" s="180" t="str">
        <v/>
      </c>
      <c r="Z36" s="180" t="str">
        <v/>
      </c>
      <c r="AA36" s="180" t="str">
        <v>BED 2</v>
      </c>
      <c r="AB36" s="180" t="str">
        <v/>
      </c>
      <c r="AC36" s="180" t="str">
        <v/>
      </c>
      <c r="AD36" s="180" t="str">
        <v/>
      </c>
      <c r="AF36" s="256" t="s">
        <v>883</v>
      </c>
      <c r="AG36" s="140" t="s">
        <v>883</v>
      </c>
      <c r="AH36" s="140" t="s">
        <v>883</v>
      </c>
      <c r="AI36" s="257" t="s">
        <v>883</v>
      </c>
      <c r="AO36"/>
      <c r="AP36"/>
      <c r="AQ36"/>
    </row>
    <row r="37" spans="2:43" ht="13.9" customHeight="1">
      <c r="B37" s="290"/>
      <c r="C37" s="181" t="str">
        <v/>
      </c>
      <c r="D37" s="218" t="str">
        <v>(4) BATH 4</v>
      </c>
      <c r="E37" s="219" t="str">
        <v/>
      </c>
      <c r="F37" s="184" t="str">
        <v/>
      </c>
      <c r="G37" s="180" t="str">
        <v/>
      </c>
      <c r="H37" s="180" t="str">
        <v/>
      </c>
      <c r="I37" s="180" t="str">
        <v/>
      </c>
      <c r="J37" s="180" t="str">
        <v/>
      </c>
      <c r="K37" s="180" t="str">
        <v/>
      </c>
      <c r="L37" s="180" t="str">
        <v/>
      </c>
      <c r="M37" s="180" t="str">
        <v/>
      </c>
      <c r="N37" s="180" t="str">
        <v/>
      </c>
      <c r="O37" s="180" t="str">
        <v/>
      </c>
      <c r="P37" s="180" t="str">
        <v/>
      </c>
      <c r="Q37" s="180" t="str">
        <v/>
      </c>
      <c r="R37" s="181" t="str">
        <v/>
      </c>
      <c r="S37" s="218" t="str">
        <v>BED 2</v>
      </c>
      <c r="T37" s="219" t="str">
        <v/>
      </c>
      <c r="U37" s="218" t="str">
        <v>BATH 2</v>
      </c>
      <c r="V37" s="219" t="str">
        <v/>
      </c>
      <c r="W37" s="184" t="str">
        <v/>
      </c>
      <c r="X37" s="180" t="str">
        <v/>
      </c>
      <c r="Y37" s="180" t="str">
        <v/>
      </c>
      <c r="Z37" s="180" t="str">
        <v/>
      </c>
      <c r="AA37" s="180" t="str">
        <v/>
      </c>
      <c r="AB37" s="180" t="str">
        <v/>
      </c>
      <c r="AC37" s="180" t="str">
        <v/>
      </c>
      <c r="AD37" s="180" t="str">
        <v/>
      </c>
      <c r="AF37" s="282" t="s">
        <v>887</v>
      </c>
      <c r="AG37" s="283"/>
      <c r="AH37" s="283"/>
      <c r="AI37" s="284"/>
      <c r="AO37"/>
      <c r="AP37"/>
      <c r="AQ37"/>
    </row>
    <row r="38" spans="2:43" ht="13.9" customHeight="1">
      <c r="B38" s="290"/>
      <c r="C38" s="181" t="str">
        <v/>
      </c>
      <c r="D38" s="218" t="str">
        <v>(4) BED 2</v>
      </c>
      <c r="E38" s="219" t="str">
        <v/>
      </c>
      <c r="F38" s="184" t="str">
        <v/>
      </c>
      <c r="G38" s="180" t="str">
        <v/>
      </c>
      <c r="H38" s="180" t="str">
        <v/>
      </c>
      <c r="I38" s="180" t="str">
        <v/>
      </c>
      <c r="J38" s="180" t="str">
        <v/>
      </c>
      <c r="K38" s="180" t="str">
        <v/>
      </c>
      <c r="L38" s="180" t="str">
        <v/>
      </c>
      <c r="M38" s="180" t="str">
        <v/>
      </c>
      <c r="N38" s="180" t="str">
        <v/>
      </c>
      <c r="O38" s="180" t="str">
        <v/>
      </c>
      <c r="P38" s="180" t="str">
        <v/>
      </c>
      <c r="Q38" s="180" t="str">
        <v/>
      </c>
      <c r="R38" s="181" t="str">
        <v/>
      </c>
      <c r="S38" s="218" t="str">
        <v/>
      </c>
      <c r="T38" s="219" t="str">
        <v/>
      </c>
      <c r="U38" s="218" t="str">
        <v>BED 2</v>
      </c>
      <c r="V38" s="219" t="str">
        <v/>
      </c>
      <c r="W38" s="184" t="str">
        <v/>
      </c>
      <c r="X38" s="180" t="str">
        <v/>
      </c>
      <c r="Y38" s="180" t="str">
        <v/>
      </c>
      <c r="Z38" s="180" t="str">
        <v/>
      </c>
      <c r="AA38" s="180" t="str">
        <v/>
      </c>
      <c r="AB38" s="180" t="str">
        <v/>
      </c>
      <c r="AC38" s="180" t="str">
        <v/>
      </c>
      <c r="AD38" s="180" t="str">
        <v/>
      </c>
      <c r="AF38" s="258">
        <v>0</v>
      </c>
      <c r="AG38" s="259" t="s">
        <v>888</v>
      </c>
      <c r="AH38" s="255">
        <v>0</v>
      </c>
      <c r="AI38" s="254">
        <v>0</v>
      </c>
      <c r="AO38"/>
      <c r="AP38"/>
      <c r="AQ38"/>
    </row>
    <row r="39" spans="2:43" ht="13.9" customHeight="1">
      <c r="B39" s="290"/>
      <c r="C39" s="181" t="str">
        <v/>
      </c>
      <c r="D39" s="218" t="str">
        <v/>
      </c>
      <c r="E39" s="219" t="str">
        <v/>
      </c>
      <c r="F39" s="184" t="str">
        <v/>
      </c>
      <c r="G39" s="180" t="str">
        <v/>
      </c>
      <c r="H39" s="180" t="str">
        <v/>
      </c>
      <c r="I39" s="180" t="str">
        <v/>
      </c>
      <c r="J39" s="180" t="str">
        <v/>
      </c>
      <c r="K39" s="180" t="str">
        <v/>
      </c>
      <c r="L39" s="180" t="str">
        <v/>
      </c>
      <c r="M39" s="180" t="str">
        <v/>
      </c>
      <c r="N39" s="180" t="str">
        <v/>
      </c>
      <c r="O39" s="180" t="str">
        <v/>
      </c>
      <c r="P39" s="180" t="str">
        <v/>
      </c>
      <c r="Q39" s="180" t="str">
        <v/>
      </c>
      <c r="R39" s="181" t="str">
        <v/>
      </c>
      <c r="S39" s="218" t="str">
        <v/>
      </c>
      <c r="T39" s="219" t="str">
        <v/>
      </c>
      <c r="U39" s="218" t="str">
        <v/>
      </c>
      <c r="V39" s="219" t="str">
        <v/>
      </c>
      <c r="W39" s="184" t="str">
        <v/>
      </c>
      <c r="X39" s="180" t="str">
        <v/>
      </c>
      <c r="Y39" s="180" t="str">
        <v/>
      </c>
      <c r="Z39" s="180" t="str">
        <v/>
      </c>
      <c r="AA39" s="180" t="str">
        <v/>
      </c>
      <c r="AB39" s="180" t="str">
        <v/>
      </c>
      <c r="AC39" s="180" t="str">
        <v/>
      </c>
      <c r="AD39" s="180" t="str">
        <v/>
      </c>
      <c r="AF39" s="263">
        <v>0</v>
      </c>
      <c r="AG39" s="259" t="s">
        <v>888</v>
      </c>
      <c r="AH39" s="255">
        <v>0</v>
      </c>
      <c r="AI39" s="254">
        <v>0</v>
      </c>
      <c r="AO39"/>
      <c r="AP39"/>
      <c r="AQ39"/>
    </row>
    <row r="40" spans="2:43" ht="13.9" customHeight="1">
      <c r="B40" s="291"/>
      <c r="C40" s="181" t="str">
        <v/>
      </c>
      <c r="D40" s="220" t="str">
        <v/>
      </c>
      <c r="E40" s="221" t="str">
        <v/>
      </c>
      <c r="F40" s="184" t="str">
        <v/>
      </c>
      <c r="G40" s="180" t="str">
        <v/>
      </c>
      <c r="H40" s="180" t="str">
        <v/>
      </c>
      <c r="I40" s="180" t="str">
        <v/>
      </c>
      <c r="J40" s="188" t="str">
        <v/>
      </c>
      <c r="K40" s="188" t="str">
        <v/>
      </c>
      <c r="L40" s="180" t="str">
        <v/>
      </c>
      <c r="M40" s="180" t="str">
        <v/>
      </c>
      <c r="N40" s="180" t="str">
        <v/>
      </c>
      <c r="O40" s="180" t="str">
        <v/>
      </c>
      <c r="P40" s="180" t="str">
        <v/>
      </c>
      <c r="Q40" s="180" t="str">
        <v/>
      </c>
      <c r="R40" s="181" t="str">
        <v/>
      </c>
      <c r="S40" s="220" t="str">
        <v/>
      </c>
      <c r="T40" s="221" t="str">
        <v/>
      </c>
      <c r="U40" s="220" t="str">
        <v/>
      </c>
      <c r="V40" s="221" t="str">
        <v/>
      </c>
      <c r="W40" s="184" t="str">
        <v/>
      </c>
      <c r="X40" s="180" t="str">
        <v/>
      </c>
      <c r="Y40" s="180" t="str">
        <v/>
      </c>
      <c r="Z40" s="180" t="str">
        <v/>
      </c>
      <c r="AA40" s="180" t="str">
        <v/>
      </c>
      <c r="AB40" s="180" t="str">
        <v/>
      </c>
      <c r="AC40" s="180" t="str">
        <v/>
      </c>
      <c r="AD40" s="180" t="str">
        <v/>
      </c>
      <c r="AF40" s="264">
        <v>0</v>
      </c>
      <c r="AG40" s="265" t="s">
        <v>888</v>
      </c>
      <c r="AH40" s="266">
        <v>0</v>
      </c>
      <c r="AI40" s="267">
        <v>0</v>
      </c>
      <c r="AO40"/>
      <c r="AP40"/>
      <c r="AQ40"/>
    </row>
    <row r="41" spans="2:43" ht="18" customHeight="1">
      <c r="B41" s="289">
        <v>5</v>
      </c>
      <c r="C41" s="148">
        <v>5001</v>
      </c>
      <c r="D41" s="148">
        <v>5002</v>
      </c>
      <c r="E41" s="148">
        <v>5003</v>
      </c>
      <c r="F41" s="148">
        <v>5004</v>
      </c>
      <c r="G41" s="148">
        <v>5005</v>
      </c>
      <c r="H41" s="148">
        <v>5006</v>
      </c>
      <c r="I41" s="156">
        <v>5007</v>
      </c>
      <c r="J41" s="216">
        <v>5008</v>
      </c>
      <c r="K41" s="217">
        <v>5009</v>
      </c>
      <c r="L41" s="154">
        <v>5010</v>
      </c>
      <c r="M41" s="148">
        <v>5011</v>
      </c>
      <c r="N41" s="148">
        <v>5012</v>
      </c>
      <c r="O41" s="148">
        <v>5013</v>
      </c>
      <c r="P41" s="148">
        <v>5014</v>
      </c>
      <c r="Q41" s="148">
        <v>5015</v>
      </c>
      <c r="R41" s="148">
        <v>5016</v>
      </c>
      <c r="S41" s="148">
        <v>5017</v>
      </c>
      <c r="T41" s="148">
        <v>5018</v>
      </c>
      <c r="U41" s="148">
        <v>5019</v>
      </c>
      <c r="V41" s="148">
        <v>5020</v>
      </c>
      <c r="W41" s="148">
        <v>5021</v>
      </c>
      <c r="X41" s="148">
        <v>5022</v>
      </c>
      <c r="Y41" s="148">
        <v>5023</v>
      </c>
      <c r="Z41" s="148">
        <v>5024</v>
      </c>
      <c r="AA41" s="148">
        <v>5025</v>
      </c>
      <c r="AB41" s="148">
        <v>5026</v>
      </c>
      <c r="AC41" s="148">
        <v>5027</v>
      </c>
      <c r="AD41" s="148">
        <v>5028</v>
      </c>
      <c r="AF41" s="292" t="s">
        <v>891</v>
      </c>
      <c r="AG41" s="292"/>
      <c r="AH41" s="292"/>
      <c r="AI41" s="292"/>
      <c r="AO41"/>
      <c r="AP41"/>
      <c r="AQ41"/>
    </row>
    <row r="42" spans="2:43" ht="13.9" customHeight="1">
      <c r="B42" s="290"/>
      <c r="C42" s="180" t="str">
        <v/>
      </c>
      <c r="D42" s="180" t="str">
        <v/>
      </c>
      <c r="E42" s="180" t="str">
        <v/>
      </c>
      <c r="F42" s="180" t="str">
        <v/>
      </c>
      <c r="G42" s="180" t="str">
        <v/>
      </c>
      <c r="H42" s="180" t="str">
        <v/>
      </c>
      <c r="I42" s="181" t="str">
        <v/>
      </c>
      <c r="J42" s="218" t="str">
        <v>(3) FOYER</v>
      </c>
      <c r="K42" s="219" t="str">
        <v/>
      </c>
      <c r="L42" s="184" t="str">
        <v/>
      </c>
      <c r="M42" s="180" t="str">
        <v/>
      </c>
      <c r="N42" s="180" t="str">
        <v/>
      </c>
      <c r="O42" s="180" t="str">
        <v/>
      </c>
      <c r="P42" s="180" t="str">
        <v/>
      </c>
      <c r="Q42" s="180" t="str">
        <v/>
      </c>
      <c r="R42" s="180" t="str">
        <v/>
      </c>
      <c r="S42" s="180" t="str">
        <v/>
      </c>
      <c r="T42" s="180" t="str">
        <v/>
      </c>
      <c r="U42" s="180" t="str">
        <v>(3) FOYER</v>
      </c>
      <c r="V42" s="180" t="str">
        <v>(4) FOYER</v>
      </c>
      <c r="W42" s="180" t="str">
        <v>(4) FOYER</v>
      </c>
      <c r="X42" s="180" t="str">
        <v/>
      </c>
      <c r="Y42" s="180" t="str">
        <v/>
      </c>
      <c r="Z42" s="180" t="str">
        <v/>
      </c>
      <c r="AA42" s="180" t="str">
        <v>(4) FOYER</v>
      </c>
      <c r="AB42" s="180" t="str">
        <v/>
      </c>
      <c r="AC42" s="180" t="str">
        <v/>
      </c>
      <c r="AD42" s="180" t="str">
        <v/>
      </c>
      <c r="AF42" s="285" t="s">
        <v>881</v>
      </c>
      <c r="AG42" s="286"/>
      <c r="AH42" s="286"/>
      <c r="AI42" s="287"/>
      <c r="AO42"/>
      <c r="AP42"/>
      <c r="AQ42"/>
    </row>
    <row r="43" spans="2:43" ht="13.9" customHeight="1">
      <c r="B43" s="290"/>
      <c r="C43" s="180" t="str">
        <v/>
      </c>
      <c r="D43" s="180" t="str">
        <v/>
      </c>
      <c r="E43" s="180" t="str">
        <v/>
      </c>
      <c r="F43" s="180" t="str">
        <v/>
      </c>
      <c r="G43" s="180" t="str">
        <v/>
      </c>
      <c r="H43" s="180" t="str">
        <v/>
      </c>
      <c r="I43" s="181" t="str">
        <v/>
      </c>
      <c r="J43" s="218" t="str">
        <v>(3) UTILITY ROOM</v>
      </c>
      <c r="K43" s="219" t="str">
        <v/>
      </c>
      <c r="L43" s="184" t="str">
        <v/>
      </c>
      <c r="M43" s="180" t="str">
        <v/>
      </c>
      <c r="N43" s="180" t="str">
        <v/>
      </c>
      <c r="O43" s="180" t="str">
        <v/>
      </c>
      <c r="P43" s="180" t="str">
        <v/>
      </c>
      <c r="Q43" s="180" t="str">
        <v/>
      </c>
      <c r="R43" s="180" t="str">
        <v/>
      </c>
      <c r="S43" s="180" t="str">
        <v/>
      </c>
      <c r="T43" s="180" t="str">
        <v/>
      </c>
      <c r="U43" s="180" t="str">
        <v>(3) UTILITY ROOM</v>
      </c>
      <c r="V43" s="180" t="str">
        <v>(4) UTILITY ROOM</v>
      </c>
      <c r="W43" s="180" t="str">
        <v>(4) HALL</v>
      </c>
      <c r="X43" s="180" t="str">
        <v/>
      </c>
      <c r="Y43" s="180" t="str">
        <v/>
      </c>
      <c r="Z43" s="180" t="str">
        <v/>
      </c>
      <c r="AA43" s="180" t="str">
        <v>(4) UTILITY ROOM</v>
      </c>
      <c r="AB43" s="180" t="str">
        <v/>
      </c>
      <c r="AC43" s="180" t="str">
        <v/>
      </c>
      <c r="AD43" s="180" t="str">
        <v/>
      </c>
      <c r="AF43" s="260" t="s">
        <v>882</v>
      </c>
      <c r="AG43" s="261">
        <v>0</v>
      </c>
      <c r="AH43" s="253" t="s">
        <v>883</v>
      </c>
      <c r="AI43" s="205" t="s">
        <v>883</v>
      </c>
      <c r="AO43"/>
      <c r="AP43"/>
      <c r="AQ43"/>
    </row>
    <row r="44" spans="2:43" ht="13.9" customHeight="1">
      <c r="B44" s="290"/>
      <c r="C44" s="180" t="str">
        <v/>
      </c>
      <c r="D44" s="180" t="str">
        <v/>
      </c>
      <c r="E44" s="180" t="str">
        <v/>
      </c>
      <c r="F44" s="180" t="str">
        <v/>
      </c>
      <c r="G44" s="180" t="str">
        <v/>
      </c>
      <c r="H44" s="180" t="str">
        <v/>
      </c>
      <c r="I44" s="181" t="str">
        <v/>
      </c>
      <c r="J44" s="218" t="str">
        <v>(3) CLOSET</v>
      </c>
      <c r="K44" s="219" t="str">
        <v/>
      </c>
      <c r="L44" s="184" t="str">
        <v/>
      </c>
      <c r="M44" s="180" t="str">
        <v/>
      </c>
      <c r="N44" s="180" t="str">
        <v/>
      </c>
      <c r="O44" s="180" t="str">
        <v/>
      </c>
      <c r="P44" s="180" t="str">
        <v/>
      </c>
      <c r="Q44" s="180" t="str">
        <v/>
      </c>
      <c r="R44" s="180" t="str">
        <v/>
      </c>
      <c r="S44" s="180" t="str">
        <v/>
      </c>
      <c r="T44" s="180" t="str">
        <v/>
      </c>
      <c r="U44" s="180" t="str">
        <v>(3) BEV CENTER</v>
      </c>
      <c r="V44" s="180" t="str">
        <v>(4) KITCHEN</v>
      </c>
      <c r="W44" s="180" t="str">
        <v>(4) UTILITY ROOM</v>
      </c>
      <c r="X44" s="180" t="str">
        <v/>
      </c>
      <c r="Y44" s="180" t="str">
        <v/>
      </c>
      <c r="Z44" s="180" t="str">
        <v/>
      </c>
      <c r="AA44" s="180" t="str">
        <v>(4) KITCHEN</v>
      </c>
      <c r="AB44" s="180" t="str">
        <v/>
      </c>
      <c r="AC44" s="180" t="str">
        <v/>
      </c>
      <c r="AD44" s="180" t="str">
        <v/>
      </c>
      <c r="AF44" s="260" t="s">
        <v>884</v>
      </c>
      <c r="AG44" s="288">
        <v>0</v>
      </c>
      <c r="AH44" s="288"/>
      <c r="AI44" s="205" t="s">
        <v>883</v>
      </c>
      <c r="AO44"/>
      <c r="AP44"/>
      <c r="AQ44"/>
    </row>
    <row r="45" spans="2:43" ht="13.9" customHeight="1">
      <c r="B45" s="290"/>
      <c r="C45" s="180" t="str">
        <v/>
      </c>
      <c r="D45" s="180" t="str">
        <v/>
      </c>
      <c r="E45" s="180" t="str">
        <v/>
      </c>
      <c r="F45" s="180" t="str">
        <v/>
      </c>
      <c r="G45" s="180" t="str">
        <v/>
      </c>
      <c r="H45" s="180" t="str">
        <v/>
      </c>
      <c r="I45" s="181" t="str">
        <v/>
      </c>
      <c r="J45" s="218" t="str">
        <v>(3) KITCHEN</v>
      </c>
      <c r="K45" s="219" t="str">
        <v/>
      </c>
      <c r="L45" s="184" t="str">
        <v/>
      </c>
      <c r="M45" s="180" t="str">
        <v/>
      </c>
      <c r="N45" s="180" t="str">
        <v/>
      </c>
      <c r="O45" s="180" t="str">
        <v/>
      </c>
      <c r="P45" s="180" t="str">
        <v/>
      </c>
      <c r="Q45" s="180" t="str">
        <v/>
      </c>
      <c r="R45" s="180" t="str">
        <v/>
      </c>
      <c r="S45" s="180" t="str">
        <v/>
      </c>
      <c r="T45" s="180" t="str">
        <v/>
      </c>
      <c r="U45" s="180" t="str">
        <v>(3) KITCHEN</v>
      </c>
      <c r="V45" s="180" t="str">
        <v>(4) PRIM BATH</v>
      </c>
      <c r="W45" s="180" t="str">
        <v>(4) KITCHEN</v>
      </c>
      <c r="X45" s="180" t="str">
        <v/>
      </c>
      <c r="Y45" s="180" t="str">
        <v/>
      </c>
      <c r="Z45" s="180" t="str">
        <v/>
      </c>
      <c r="AA45" s="180" t="str">
        <v>(4) PRIM BATH</v>
      </c>
      <c r="AB45" s="180" t="str">
        <v/>
      </c>
      <c r="AC45" s="180" t="str">
        <v/>
      </c>
      <c r="AD45" s="180" t="str">
        <v/>
      </c>
      <c r="AF45" s="260" t="s">
        <v>885</v>
      </c>
      <c r="AG45" s="262">
        <v>0</v>
      </c>
      <c r="AH45" s="140" t="s">
        <v>883</v>
      </c>
      <c r="AI45" s="257" t="s">
        <v>883</v>
      </c>
      <c r="AO45"/>
      <c r="AP45"/>
      <c r="AQ45"/>
    </row>
    <row r="46" spans="2:43" ht="13.9" customHeight="1">
      <c r="B46" s="290"/>
      <c r="C46" s="180" t="str">
        <v/>
      </c>
      <c r="D46" s="180" t="str">
        <v/>
      </c>
      <c r="E46" s="180" t="str">
        <v/>
      </c>
      <c r="F46" s="180" t="str">
        <v/>
      </c>
      <c r="G46" s="180" t="str">
        <v/>
      </c>
      <c r="H46" s="180" t="str">
        <v/>
      </c>
      <c r="I46" s="181" t="str">
        <v/>
      </c>
      <c r="J46" s="218" t="str">
        <v>(3) PRIM BATH</v>
      </c>
      <c r="K46" s="219" t="str">
        <v/>
      </c>
      <c r="L46" s="184" t="str">
        <v/>
      </c>
      <c r="M46" s="180" t="str">
        <v/>
      </c>
      <c r="N46" s="180" t="str">
        <v/>
      </c>
      <c r="O46" s="180" t="str">
        <v/>
      </c>
      <c r="P46" s="180" t="str">
        <v/>
      </c>
      <c r="Q46" s="180" t="str">
        <v/>
      </c>
      <c r="R46" s="180" t="str">
        <v/>
      </c>
      <c r="S46" s="180" t="str">
        <v/>
      </c>
      <c r="T46" s="180" t="str">
        <v/>
      </c>
      <c r="U46" s="180" t="str">
        <v>(3) GREAT ROOM</v>
      </c>
      <c r="V46" s="180" t="str">
        <v/>
      </c>
      <c r="W46" s="180" t="str">
        <v>(4) PRIM BATH</v>
      </c>
      <c r="X46" s="180" t="str">
        <v/>
      </c>
      <c r="Y46" s="180" t="str">
        <v/>
      </c>
      <c r="Z46" s="180" t="str">
        <v/>
      </c>
      <c r="AA46" s="180" t="str">
        <v>(4) BATH 2</v>
      </c>
      <c r="AB46" s="180" t="str">
        <v/>
      </c>
      <c r="AC46" s="180" t="str">
        <v/>
      </c>
      <c r="AD46" s="180" t="str">
        <v/>
      </c>
      <c r="AF46" s="278" t="s">
        <v>886</v>
      </c>
      <c r="AG46" s="279"/>
      <c r="AH46" s="280">
        <v>46344</v>
      </c>
      <c r="AI46" s="281"/>
    </row>
    <row r="47" spans="2:43" ht="13.9" customHeight="1">
      <c r="B47" s="290"/>
      <c r="C47" s="180" t="str">
        <v/>
      </c>
      <c r="D47" s="180" t="str">
        <v/>
      </c>
      <c r="E47" s="180" t="str">
        <v/>
      </c>
      <c r="F47" s="180" t="str">
        <v/>
      </c>
      <c r="G47" s="180" t="str">
        <v/>
      </c>
      <c r="H47" s="180" t="str">
        <v/>
      </c>
      <c r="I47" s="181" t="str">
        <v/>
      </c>
      <c r="J47" s="218" t="str">
        <v>(3) BATH 2</v>
      </c>
      <c r="K47" s="219" t="str">
        <v/>
      </c>
      <c r="L47" s="184" t="str">
        <v/>
      </c>
      <c r="M47" s="180" t="str">
        <v/>
      </c>
      <c r="N47" s="180" t="str">
        <v/>
      </c>
      <c r="O47" s="180" t="str">
        <v/>
      </c>
      <c r="P47" s="180" t="str">
        <v/>
      </c>
      <c r="Q47" s="180" t="str">
        <v/>
      </c>
      <c r="R47" s="180" t="str">
        <v/>
      </c>
      <c r="S47" s="180" t="str">
        <v/>
      </c>
      <c r="T47" s="180" t="str">
        <v/>
      </c>
      <c r="U47" s="180" t="str">
        <v>(3) PRIM BATH</v>
      </c>
      <c r="V47" s="180" t="str">
        <v/>
      </c>
      <c r="W47" s="180" t="str">
        <v>(4) BATH 2</v>
      </c>
      <c r="X47" s="180" t="str">
        <v/>
      </c>
      <c r="Y47" s="180" t="str">
        <v/>
      </c>
      <c r="Z47" s="180" t="str">
        <v/>
      </c>
      <c r="AA47" s="180" t="str">
        <v>(4) BED 2</v>
      </c>
      <c r="AB47" s="180" t="str">
        <v/>
      </c>
      <c r="AC47" s="180" t="str">
        <v/>
      </c>
      <c r="AD47" s="180" t="str">
        <v/>
      </c>
      <c r="AF47" s="256" t="s">
        <v>883</v>
      </c>
      <c r="AG47" s="140" t="s">
        <v>883</v>
      </c>
      <c r="AH47" s="140" t="s">
        <v>883</v>
      </c>
      <c r="AI47" s="257" t="s">
        <v>883</v>
      </c>
    </row>
    <row r="48" spans="2:43" ht="13.9" customHeight="1">
      <c r="B48" s="290"/>
      <c r="C48" s="180" t="str">
        <v/>
      </c>
      <c r="D48" s="180" t="str">
        <v/>
      </c>
      <c r="E48" s="180" t="str">
        <v/>
      </c>
      <c r="F48" s="180" t="str">
        <v/>
      </c>
      <c r="G48" s="180" t="str">
        <v/>
      </c>
      <c r="H48" s="180" t="str">
        <v/>
      </c>
      <c r="I48" s="181" t="str">
        <v/>
      </c>
      <c r="J48" s="218" t="str">
        <v>(3) BATH 3</v>
      </c>
      <c r="K48" s="219" t="str">
        <v/>
      </c>
      <c r="L48" s="184" t="str">
        <v/>
      </c>
      <c r="M48" s="180" t="str">
        <v/>
      </c>
      <c r="N48" s="180" t="str">
        <v/>
      </c>
      <c r="O48" s="180" t="str">
        <v/>
      </c>
      <c r="P48" s="180" t="str">
        <v/>
      </c>
      <c r="Q48" s="180" t="str">
        <v/>
      </c>
      <c r="R48" s="180" t="str">
        <v/>
      </c>
      <c r="S48" s="180" t="str">
        <v/>
      </c>
      <c r="T48" s="180" t="str">
        <v/>
      </c>
      <c r="U48" s="180" t="str">
        <v>(3) BATH 2</v>
      </c>
      <c r="V48" s="180" t="str">
        <v/>
      </c>
      <c r="W48" s="180" t="str">
        <v/>
      </c>
      <c r="X48" s="180" t="str">
        <v/>
      </c>
      <c r="Y48" s="180" t="str">
        <v/>
      </c>
      <c r="Z48" s="180" t="str">
        <v/>
      </c>
      <c r="AA48" s="180" t="str">
        <v/>
      </c>
      <c r="AB48" s="180" t="str">
        <v/>
      </c>
      <c r="AC48" s="180" t="str">
        <v/>
      </c>
      <c r="AD48" s="180" t="str">
        <v/>
      </c>
      <c r="AF48" s="282" t="s">
        <v>887</v>
      </c>
      <c r="AG48" s="283"/>
      <c r="AH48" s="283"/>
      <c r="AI48" s="284"/>
    </row>
    <row r="49" spans="2:35" ht="13.9" customHeight="1">
      <c r="B49" s="290"/>
      <c r="C49" s="180" t="str">
        <v/>
      </c>
      <c r="D49" s="180" t="str">
        <v/>
      </c>
      <c r="E49" s="180" t="str">
        <v/>
      </c>
      <c r="F49" s="180" t="str">
        <v/>
      </c>
      <c r="G49" s="180" t="str">
        <v/>
      </c>
      <c r="H49" s="180" t="str">
        <v/>
      </c>
      <c r="I49" s="181" t="str">
        <v/>
      </c>
      <c r="J49" s="218" t="str">
        <v>(3) BED 3</v>
      </c>
      <c r="K49" s="219" t="str">
        <v/>
      </c>
      <c r="L49" s="184" t="str">
        <v/>
      </c>
      <c r="M49" s="180" t="str">
        <v/>
      </c>
      <c r="N49" s="180" t="str">
        <v/>
      </c>
      <c r="O49" s="180" t="str">
        <v/>
      </c>
      <c r="P49" s="180" t="str">
        <v/>
      </c>
      <c r="Q49" s="180" t="str">
        <v/>
      </c>
      <c r="R49" s="180" t="str">
        <v/>
      </c>
      <c r="S49" s="180" t="str">
        <v/>
      </c>
      <c r="T49" s="180" t="str">
        <v/>
      </c>
      <c r="U49" s="180" t="str">
        <v>(3) BATH 3</v>
      </c>
      <c r="V49" s="180" t="str">
        <v/>
      </c>
      <c r="W49" s="180" t="str">
        <v/>
      </c>
      <c r="X49" s="180" t="str">
        <v/>
      </c>
      <c r="Y49" s="180" t="str">
        <v/>
      </c>
      <c r="Z49" s="180" t="str">
        <v/>
      </c>
      <c r="AA49" s="180" t="str">
        <v/>
      </c>
      <c r="AB49" s="180" t="str">
        <v/>
      </c>
      <c r="AC49" s="180" t="str">
        <v/>
      </c>
      <c r="AD49" s="180" t="str">
        <v/>
      </c>
      <c r="AF49" s="258">
        <v>0</v>
      </c>
      <c r="AG49" s="259" t="s">
        <v>888</v>
      </c>
      <c r="AH49" s="255">
        <v>0</v>
      </c>
      <c r="AI49" s="254">
        <v>0</v>
      </c>
    </row>
    <row r="50" spans="2:35" ht="13.9" customHeight="1">
      <c r="B50" s="290"/>
      <c r="C50" s="180" t="str">
        <v/>
      </c>
      <c r="D50" s="180" t="str">
        <v/>
      </c>
      <c r="E50" s="180" t="str">
        <v/>
      </c>
      <c r="F50" s="180" t="str">
        <v/>
      </c>
      <c r="G50" s="180" t="str">
        <v/>
      </c>
      <c r="H50" s="180" t="str">
        <v/>
      </c>
      <c r="I50" s="181" t="str">
        <v/>
      </c>
      <c r="J50" s="218" t="str">
        <v/>
      </c>
      <c r="K50" s="219" t="str">
        <v/>
      </c>
      <c r="L50" s="184" t="str">
        <v/>
      </c>
      <c r="M50" s="180" t="str">
        <v/>
      </c>
      <c r="N50" s="180" t="str">
        <v/>
      </c>
      <c r="O50" s="180" t="str">
        <v/>
      </c>
      <c r="P50" s="180" t="str">
        <v/>
      </c>
      <c r="Q50" s="180" t="str">
        <v/>
      </c>
      <c r="R50" s="180" t="str">
        <v/>
      </c>
      <c r="S50" s="180" t="str">
        <v/>
      </c>
      <c r="T50" s="180" t="str">
        <v/>
      </c>
      <c r="U50" s="180" t="str">
        <v>(3) BED 2</v>
      </c>
      <c r="V50" s="180" t="str">
        <v/>
      </c>
      <c r="W50" s="180" t="str">
        <v/>
      </c>
      <c r="X50" s="180" t="str">
        <v/>
      </c>
      <c r="Y50" s="180" t="str">
        <v/>
      </c>
      <c r="Z50" s="180" t="str">
        <v/>
      </c>
      <c r="AA50" s="180" t="str">
        <v/>
      </c>
      <c r="AB50" s="180" t="str">
        <v/>
      </c>
      <c r="AC50" s="180" t="str">
        <v/>
      </c>
      <c r="AD50" s="180" t="str">
        <v/>
      </c>
      <c r="AF50" s="263">
        <v>0</v>
      </c>
      <c r="AG50" s="259" t="s">
        <v>888</v>
      </c>
      <c r="AH50" s="255">
        <v>0</v>
      </c>
      <c r="AI50" s="254">
        <v>0</v>
      </c>
    </row>
    <row r="51" spans="2:35" ht="13.9" customHeight="1">
      <c r="B51" s="291"/>
      <c r="C51" s="180" t="str">
        <v/>
      </c>
      <c r="D51" s="180" t="str">
        <v/>
      </c>
      <c r="E51" s="180" t="str">
        <v/>
      </c>
      <c r="F51" s="180" t="str">
        <v/>
      </c>
      <c r="G51" s="180" t="str">
        <v/>
      </c>
      <c r="H51" s="180" t="str">
        <v/>
      </c>
      <c r="I51" s="181" t="str">
        <v/>
      </c>
      <c r="J51" s="220" t="str">
        <v/>
      </c>
      <c r="K51" s="221" t="str">
        <v/>
      </c>
      <c r="L51" s="184" t="str">
        <v/>
      </c>
      <c r="M51" s="180" t="str">
        <v/>
      </c>
      <c r="N51" s="180" t="str">
        <v/>
      </c>
      <c r="O51" s="180" t="str">
        <v/>
      </c>
      <c r="P51" s="180" t="str">
        <v/>
      </c>
      <c r="Q51" s="180" t="str">
        <v/>
      </c>
      <c r="R51" s="180" t="str">
        <v/>
      </c>
      <c r="S51" s="180" t="str">
        <v/>
      </c>
      <c r="T51" s="180" t="str">
        <v/>
      </c>
      <c r="U51" s="180" t="str">
        <v>(3) BED 3</v>
      </c>
      <c r="V51" s="180" t="str">
        <v/>
      </c>
      <c r="W51" s="180" t="str">
        <v/>
      </c>
      <c r="X51" s="180" t="str">
        <v/>
      </c>
      <c r="Y51" s="180" t="str">
        <v/>
      </c>
      <c r="Z51" s="180" t="str">
        <v/>
      </c>
      <c r="AA51" s="180" t="str">
        <v/>
      </c>
      <c r="AB51" s="180" t="str">
        <v/>
      </c>
      <c r="AC51" s="180" t="str">
        <v/>
      </c>
      <c r="AD51" s="180" t="str">
        <v/>
      </c>
      <c r="AF51" s="264">
        <v>0</v>
      </c>
      <c r="AG51" s="265" t="s">
        <v>888</v>
      </c>
      <c r="AH51" s="266">
        <v>0</v>
      </c>
      <c r="AI51" s="267">
        <v>0</v>
      </c>
    </row>
    <row r="52" spans="2:35" ht="18" customHeight="1">
      <c r="B52" s="289">
        <v>4</v>
      </c>
      <c r="C52" s="144">
        <v>4001</v>
      </c>
      <c r="D52" s="144">
        <v>4002</v>
      </c>
      <c r="E52" s="180">
        <v>4003</v>
      </c>
      <c r="F52" s="144">
        <v>4004</v>
      </c>
      <c r="G52" s="144">
        <v>4005</v>
      </c>
      <c r="H52" s="144">
        <v>4006</v>
      </c>
      <c r="I52" s="144">
        <v>4007</v>
      </c>
      <c r="J52" s="148">
        <v>4008</v>
      </c>
      <c r="K52" s="148">
        <v>4009</v>
      </c>
      <c r="L52" s="144">
        <v>4010</v>
      </c>
      <c r="M52" s="144">
        <v>4011</v>
      </c>
      <c r="N52" s="144">
        <v>4012</v>
      </c>
      <c r="O52" s="144">
        <v>4013</v>
      </c>
      <c r="P52" s="144">
        <v>4014</v>
      </c>
      <c r="Q52" s="144">
        <v>4015</v>
      </c>
      <c r="R52" s="144">
        <v>4016</v>
      </c>
      <c r="S52" s="144">
        <v>4017</v>
      </c>
      <c r="T52" s="144">
        <v>4018</v>
      </c>
      <c r="U52" s="144">
        <v>4019</v>
      </c>
      <c r="V52" s="144">
        <v>4020</v>
      </c>
      <c r="W52" s="144">
        <v>4021</v>
      </c>
      <c r="X52" s="144">
        <v>4022</v>
      </c>
      <c r="Y52" s="144">
        <v>4023</v>
      </c>
      <c r="Z52" s="144">
        <v>4024</v>
      </c>
      <c r="AA52" s="144">
        <v>4025</v>
      </c>
      <c r="AB52" s="144">
        <v>4026</v>
      </c>
      <c r="AC52" s="144">
        <v>4027</v>
      </c>
      <c r="AD52" s="144">
        <v>4028</v>
      </c>
      <c r="AF52" s="292" t="s">
        <v>892</v>
      </c>
      <c r="AG52" s="292"/>
      <c r="AH52" s="292"/>
      <c r="AI52" s="292"/>
    </row>
    <row r="53" spans="2:35" ht="13.9" customHeight="1">
      <c r="B53" s="293"/>
      <c r="C53" s="180" t="str">
        <v/>
      </c>
      <c r="D53" s="180" t="str">
        <v/>
      </c>
      <c r="E53" s="180" t="str">
        <v/>
      </c>
      <c r="F53" s="180" t="str">
        <v/>
      </c>
      <c r="G53" s="180" t="str">
        <v/>
      </c>
      <c r="H53" s="180" t="str">
        <v/>
      </c>
      <c r="I53" s="180" t="str">
        <v/>
      </c>
      <c r="J53" s="180" t="str">
        <v>(3) UTILITY ROOM</v>
      </c>
      <c r="K53" s="180" t="str">
        <v/>
      </c>
      <c r="L53" s="180" t="str">
        <v/>
      </c>
      <c r="M53" s="180" t="str">
        <v/>
      </c>
      <c r="N53" s="180" t="str">
        <v/>
      </c>
      <c r="O53" s="180" t="str">
        <v/>
      </c>
      <c r="P53" s="180" t="str">
        <v/>
      </c>
      <c r="Q53" s="180" t="str">
        <v/>
      </c>
      <c r="R53" s="180" t="str">
        <v/>
      </c>
      <c r="S53" s="180" t="str">
        <v/>
      </c>
      <c r="T53" s="180" t="str">
        <v/>
      </c>
      <c r="U53" s="180" t="str">
        <v/>
      </c>
      <c r="V53" s="180" t="str">
        <v/>
      </c>
      <c r="W53" s="180" t="str">
        <v/>
      </c>
      <c r="X53" s="180" t="str">
        <v/>
      </c>
      <c r="Y53" s="180" t="str">
        <v/>
      </c>
      <c r="Z53" s="180" t="str">
        <v/>
      </c>
      <c r="AA53" s="180" t="str">
        <v/>
      </c>
      <c r="AB53" s="180" t="str">
        <v/>
      </c>
      <c r="AC53" s="180" t="str">
        <v/>
      </c>
      <c r="AD53" s="180" t="str">
        <v/>
      </c>
      <c r="AF53" s="285" t="s">
        <v>881</v>
      </c>
      <c r="AG53" s="286"/>
      <c r="AH53" s="286"/>
      <c r="AI53" s="287"/>
    </row>
    <row r="54" spans="2:35" ht="13.9" customHeight="1">
      <c r="B54" s="293"/>
      <c r="C54" s="180" t="str">
        <v/>
      </c>
      <c r="D54" s="180" t="str">
        <v/>
      </c>
      <c r="E54" s="180" t="str">
        <v/>
      </c>
      <c r="F54" s="180" t="str">
        <v/>
      </c>
      <c r="G54" s="180" t="str">
        <v/>
      </c>
      <c r="H54" s="180" t="str">
        <v/>
      </c>
      <c r="I54" s="180" t="str">
        <v/>
      </c>
      <c r="J54" s="180" t="str">
        <v>(3) KITCHEN</v>
      </c>
      <c r="K54" s="180" t="str">
        <v/>
      </c>
      <c r="L54" s="180" t="str">
        <v/>
      </c>
      <c r="M54" s="180" t="str">
        <v/>
      </c>
      <c r="N54" s="180" t="str">
        <v/>
      </c>
      <c r="O54" s="180" t="str">
        <v/>
      </c>
      <c r="P54" s="180" t="str">
        <v/>
      </c>
      <c r="Q54" s="180" t="str">
        <v/>
      </c>
      <c r="R54" s="180" t="str">
        <v/>
      </c>
      <c r="S54" s="180" t="str">
        <v/>
      </c>
      <c r="T54" s="180" t="str">
        <v/>
      </c>
      <c r="U54" s="180" t="str">
        <v/>
      </c>
      <c r="V54" s="180" t="str">
        <v/>
      </c>
      <c r="W54" s="180" t="str">
        <v/>
      </c>
      <c r="X54" s="180" t="str">
        <v/>
      </c>
      <c r="Y54" s="180" t="str">
        <v/>
      </c>
      <c r="Z54" s="180" t="str">
        <v/>
      </c>
      <c r="AA54" s="180" t="str">
        <v/>
      </c>
      <c r="AB54" s="180" t="str">
        <v/>
      </c>
      <c r="AC54" s="180" t="str">
        <v/>
      </c>
      <c r="AD54" s="180" t="str">
        <v/>
      </c>
      <c r="AF54" s="260" t="s">
        <v>882</v>
      </c>
      <c r="AG54" s="261">
        <v>1</v>
      </c>
      <c r="AH54" s="253" t="s">
        <v>883</v>
      </c>
      <c r="AI54" s="205" t="s">
        <v>883</v>
      </c>
    </row>
    <row r="55" spans="2:35" ht="13.9" customHeight="1">
      <c r="B55" s="293"/>
      <c r="C55" s="180" t="str">
        <v/>
      </c>
      <c r="D55" s="180" t="str">
        <v/>
      </c>
      <c r="E55" s="180" t="str">
        <v/>
      </c>
      <c r="F55" s="180" t="str">
        <v/>
      </c>
      <c r="G55" s="180" t="str">
        <v/>
      </c>
      <c r="H55" s="180" t="str">
        <v/>
      </c>
      <c r="I55" s="180" t="str">
        <v/>
      </c>
      <c r="J55" s="180" t="str">
        <v>(3) PRIM BATH</v>
      </c>
      <c r="K55" s="180" t="str">
        <v/>
      </c>
      <c r="L55" s="180" t="str">
        <v/>
      </c>
      <c r="M55" s="180" t="str">
        <v/>
      </c>
      <c r="N55" s="180" t="str">
        <v/>
      </c>
      <c r="O55" s="180" t="str">
        <v/>
      </c>
      <c r="P55" s="180" t="str">
        <v/>
      </c>
      <c r="Q55" s="180" t="str">
        <v/>
      </c>
      <c r="R55" s="180" t="str">
        <v/>
      </c>
      <c r="S55" s="180" t="str">
        <v/>
      </c>
      <c r="T55" s="180" t="str">
        <v/>
      </c>
      <c r="U55" s="180" t="str">
        <v/>
      </c>
      <c r="V55" s="180" t="str">
        <v/>
      </c>
      <c r="W55" s="180" t="str">
        <v/>
      </c>
      <c r="X55" s="180" t="str">
        <v/>
      </c>
      <c r="Y55" s="180" t="str">
        <v/>
      </c>
      <c r="Z55" s="180" t="str">
        <v/>
      </c>
      <c r="AA55" s="180" t="str">
        <v/>
      </c>
      <c r="AB55" s="180" t="str">
        <v/>
      </c>
      <c r="AC55" s="180" t="str">
        <v/>
      </c>
      <c r="AD55" s="180" t="str">
        <v/>
      </c>
      <c r="AF55" s="260" t="s">
        <v>884</v>
      </c>
      <c r="AG55" s="288">
        <v>0</v>
      </c>
      <c r="AH55" s="288"/>
      <c r="AI55" s="205" t="s">
        <v>883</v>
      </c>
    </row>
    <row r="56" spans="2:35" ht="13.9" customHeight="1">
      <c r="B56" s="293"/>
      <c r="C56" s="180" t="str">
        <v/>
      </c>
      <c r="D56" s="180" t="str">
        <v/>
      </c>
      <c r="E56" s="180" t="str">
        <v/>
      </c>
      <c r="F56" s="180" t="str">
        <v/>
      </c>
      <c r="G56" s="180" t="str">
        <v/>
      </c>
      <c r="H56" s="180" t="str">
        <v/>
      </c>
      <c r="I56" s="180" t="str">
        <v/>
      </c>
      <c r="J56" s="180" t="str">
        <v>(3) BATH 2</v>
      </c>
      <c r="K56" s="180" t="str">
        <v/>
      </c>
      <c r="L56" s="180" t="str">
        <v/>
      </c>
      <c r="M56" s="180" t="str">
        <v/>
      </c>
      <c r="N56" s="180" t="str">
        <v/>
      </c>
      <c r="O56" s="180" t="str">
        <v/>
      </c>
      <c r="P56" s="180" t="str">
        <v/>
      </c>
      <c r="Q56" s="180" t="str">
        <v/>
      </c>
      <c r="R56" s="180" t="str">
        <v/>
      </c>
      <c r="S56" s="180" t="str">
        <v/>
      </c>
      <c r="T56" s="180" t="str">
        <v/>
      </c>
      <c r="U56" s="180" t="str">
        <v/>
      </c>
      <c r="V56" s="180" t="str">
        <v/>
      </c>
      <c r="W56" s="180" t="str">
        <v/>
      </c>
      <c r="X56" s="180" t="str">
        <v/>
      </c>
      <c r="Y56" s="180" t="str">
        <v/>
      </c>
      <c r="Z56" s="180" t="str">
        <v/>
      </c>
      <c r="AA56" s="180" t="str">
        <v/>
      </c>
      <c r="AB56" s="180" t="str">
        <v/>
      </c>
      <c r="AC56" s="180" t="str">
        <v/>
      </c>
      <c r="AD56" s="180" t="str">
        <v/>
      </c>
      <c r="AF56" s="260" t="s">
        <v>885</v>
      </c>
      <c r="AG56" s="262">
        <v>5</v>
      </c>
      <c r="AH56" s="140" t="s">
        <v>883</v>
      </c>
      <c r="AI56" s="257" t="s">
        <v>883</v>
      </c>
    </row>
    <row r="57" spans="2:35" ht="13.9" customHeight="1">
      <c r="B57" s="293"/>
      <c r="C57" s="180" t="str">
        <v/>
      </c>
      <c r="D57" s="180" t="str">
        <v/>
      </c>
      <c r="E57" s="180" t="str">
        <v/>
      </c>
      <c r="F57" s="180" t="str">
        <v/>
      </c>
      <c r="G57" s="180" t="str">
        <v/>
      </c>
      <c r="H57" s="180" t="str">
        <v/>
      </c>
      <c r="I57" s="180" t="str">
        <v/>
      </c>
      <c r="J57" s="180" t="str">
        <v>(3) BED 2</v>
      </c>
      <c r="K57" s="180" t="str">
        <v/>
      </c>
      <c r="L57" s="180" t="str">
        <v/>
      </c>
      <c r="M57" s="180" t="str">
        <v/>
      </c>
      <c r="N57" s="180" t="str">
        <v/>
      </c>
      <c r="O57" s="180" t="str">
        <v/>
      </c>
      <c r="P57" s="180" t="str">
        <v/>
      </c>
      <c r="Q57" s="180" t="str">
        <v/>
      </c>
      <c r="R57" s="180" t="str">
        <v/>
      </c>
      <c r="S57" s="180" t="str">
        <v/>
      </c>
      <c r="T57" s="180" t="str">
        <v/>
      </c>
      <c r="U57" s="180" t="str">
        <v/>
      </c>
      <c r="V57" s="180" t="str">
        <v/>
      </c>
      <c r="W57" s="180" t="str">
        <v/>
      </c>
      <c r="X57" s="180" t="str">
        <v/>
      </c>
      <c r="Y57" s="180" t="str">
        <v/>
      </c>
      <c r="Z57" s="180" t="str">
        <v/>
      </c>
      <c r="AA57" s="180" t="str">
        <v/>
      </c>
      <c r="AB57" s="180" t="str">
        <v/>
      </c>
      <c r="AC57" s="180" t="str">
        <v/>
      </c>
      <c r="AD57" s="180" t="str">
        <v/>
      </c>
      <c r="AF57" s="278" t="s">
        <v>886</v>
      </c>
      <c r="AG57" s="279"/>
      <c r="AH57" s="280">
        <v>46318</v>
      </c>
      <c r="AI57" s="281"/>
    </row>
    <row r="58" spans="2:35" ht="13.9" customHeight="1">
      <c r="B58" s="293"/>
      <c r="C58" s="180" t="str">
        <v/>
      </c>
      <c r="D58" s="180" t="str">
        <v/>
      </c>
      <c r="E58" s="180" t="str">
        <v/>
      </c>
      <c r="F58" s="180" t="str">
        <v/>
      </c>
      <c r="G58" s="180" t="str">
        <v/>
      </c>
      <c r="H58" s="180" t="str">
        <v/>
      </c>
      <c r="I58" s="180" t="str">
        <v/>
      </c>
      <c r="J58" s="180" t="str">
        <v/>
      </c>
      <c r="K58" s="180" t="str">
        <v/>
      </c>
      <c r="L58" s="180" t="str">
        <v/>
      </c>
      <c r="M58" s="180" t="str">
        <v/>
      </c>
      <c r="N58" s="180" t="str">
        <v/>
      </c>
      <c r="O58" s="180" t="str">
        <v/>
      </c>
      <c r="P58" s="180" t="str">
        <v/>
      </c>
      <c r="Q58" s="180" t="str">
        <v/>
      </c>
      <c r="R58" s="180" t="str">
        <v/>
      </c>
      <c r="S58" s="180" t="str">
        <v/>
      </c>
      <c r="T58" s="180" t="str">
        <v/>
      </c>
      <c r="U58" s="180" t="str">
        <v/>
      </c>
      <c r="V58" s="180" t="str">
        <v/>
      </c>
      <c r="W58" s="180" t="str">
        <v/>
      </c>
      <c r="X58" s="180" t="str">
        <v/>
      </c>
      <c r="Y58" s="180" t="str">
        <v/>
      </c>
      <c r="Z58" s="180" t="str">
        <v/>
      </c>
      <c r="AA58" s="180" t="str">
        <v/>
      </c>
      <c r="AB58" s="180" t="str">
        <v/>
      </c>
      <c r="AC58" s="180" t="str">
        <v/>
      </c>
      <c r="AD58" s="180" t="str">
        <v/>
      </c>
      <c r="AF58" s="256" t="s">
        <v>883</v>
      </c>
      <c r="AG58" s="140" t="s">
        <v>883</v>
      </c>
      <c r="AH58" s="140" t="s">
        <v>883</v>
      </c>
      <c r="AI58" s="257" t="s">
        <v>883</v>
      </c>
    </row>
    <row r="59" spans="2:35" ht="13.9" customHeight="1">
      <c r="B59" s="293"/>
      <c r="C59" s="180" t="str">
        <v/>
      </c>
      <c r="D59" s="180" t="str">
        <v/>
      </c>
      <c r="E59" s="180" t="str">
        <v/>
      </c>
      <c r="F59" s="180" t="str">
        <v/>
      </c>
      <c r="G59" s="180" t="str">
        <v/>
      </c>
      <c r="H59" s="180" t="str">
        <v/>
      </c>
      <c r="I59" s="180" t="str">
        <v/>
      </c>
      <c r="J59" s="180" t="str">
        <v/>
      </c>
      <c r="K59" s="180" t="str">
        <v/>
      </c>
      <c r="L59" s="180" t="str">
        <v/>
      </c>
      <c r="M59" s="180" t="str">
        <v/>
      </c>
      <c r="N59" s="180" t="str">
        <v/>
      </c>
      <c r="O59" s="180" t="str">
        <v/>
      </c>
      <c r="P59" s="180" t="str">
        <v/>
      </c>
      <c r="Q59" s="180" t="str">
        <v/>
      </c>
      <c r="R59" s="180" t="str">
        <v/>
      </c>
      <c r="S59" s="180" t="str">
        <v/>
      </c>
      <c r="T59" s="180" t="str">
        <v/>
      </c>
      <c r="U59" s="180" t="str">
        <v/>
      </c>
      <c r="V59" s="180" t="str">
        <v/>
      </c>
      <c r="W59" s="180" t="str">
        <v/>
      </c>
      <c r="X59" s="180" t="str">
        <v/>
      </c>
      <c r="Y59" s="180" t="str">
        <v/>
      </c>
      <c r="Z59" s="180" t="str">
        <v/>
      </c>
      <c r="AA59" s="180" t="str">
        <v/>
      </c>
      <c r="AB59" s="180" t="str">
        <v/>
      </c>
      <c r="AC59" s="180" t="str">
        <v/>
      </c>
      <c r="AD59" s="180" t="str">
        <v/>
      </c>
      <c r="AF59" s="282" t="s">
        <v>887</v>
      </c>
      <c r="AG59" s="283"/>
      <c r="AH59" s="283"/>
      <c r="AI59" s="284"/>
    </row>
    <row r="60" spans="2:35" ht="13.9" customHeight="1">
      <c r="B60" s="293"/>
      <c r="C60" s="180" t="str">
        <v/>
      </c>
      <c r="D60" s="180" t="str">
        <v/>
      </c>
      <c r="E60" s="180" t="str">
        <v/>
      </c>
      <c r="F60" s="180" t="str">
        <v/>
      </c>
      <c r="G60" s="180" t="str">
        <v/>
      </c>
      <c r="H60" s="180" t="str">
        <v/>
      </c>
      <c r="I60" s="180" t="str">
        <v/>
      </c>
      <c r="J60" s="180" t="str">
        <v/>
      </c>
      <c r="K60" s="180" t="str">
        <v/>
      </c>
      <c r="L60" s="180" t="str">
        <v/>
      </c>
      <c r="M60" s="180" t="str">
        <v/>
      </c>
      <c r="N60" s="180" t="str">
        <v/>
      </c>
      <c r="O60" s="180" t="str">
        <v/>
      </c>
      <c r="P60" s="180" t="str">
        <v/>
      </c>
      <c r="Q60" s="180" t="str">
        <v/>
      </c>
      <c r="R60" s="180" t="str">
        <v/>
      </c>
      <c r="S60" s="180" t="str">
        <v/>
      </c>
      <c r="T60" s="180" t="str">
        <v/>
      </c>
      <c r="U60" s="180" t="str">
        <v/>
      </c>
      <c r="V60" s="180" t="str">
        <v/>
      </c>
      <c r="W60" s="180" t="str">
        <v/>
      </c>
      <c r="X60" s="180" t="str">
        <v/>
      </c>
      <c r="Y60" s="180" t="str">
        <v/>
      </c>
      <c r="Z60" s="180" t="str">
        <v/>
      </c>
      <c r="AA60" s="180" t="str">
        <v/>
      </c>
      <c r="AB60" s="180" t="str">
        <v/>
      </c>
      <c r="AC60" s="180" t="str">
        <v/>
      </c>
      <c r="AD60" s="180" t="str">
        <v/>
      </c>
      <c r="AF60" s="258">
        <v>0</v>
      </c>
      <c r="AG60" s="259" t="s">
        <v>888</v>
      </c>
      <c r="AH60" s="255">
        <v>5</v>
      </c>
      <c r="AI60" s="254">
        <v>0</v>
      </c>
    </row>
    <row r="61" spans="2:35" ht="13.9" customHeight="1">
      <c r="B61" s="293"/>
      <c r="C61" s="180" t="str">
        <v/>
      </c>
      <c r="D61" s="180" t="str">
        <v/>
      </c>
      <c r="E61" s="180" t="str">
        <v/>
      </c>
      <c r="F61" s="180" t="str">
        <v/>
      </c>
      <c r="G61" s="180" t="str">
        <v/>
      </c>
      <c r="H61" s="180" t="str">
        <v/>
      </c>
      <c r="I61" s="180" t="str">
        <v/>
      </c>
      <c r="J61" s="180" t="str">
        <v/>
      </c>
      <c r="K61" s="180" t="str">
        <v/>
      </c>
      <c r="L61" s="180" t="str">
        <v/>
      </c>
      <c r="M61" s="180" t="str">
        <v/>
      </c>
      <c r="N61" s="180" t="str">
        <v/>
      </c>
      <c r="O61" s="180" t="str">
        <v/>
      </c>
      <c r="P61" s="180" t="str">
        <v/>
      </c>
      <c r="Q61" s="180" t="str">
        <v/>
      </c>
      <c r="R61" s="180" t="str">
        <v/>
      </c>
      <c r="S61" s="180" t="str">
        <v/>
      </c>
      <c r="T61" s="180" t="str">
        <v/>
      </c>
      <c r="U61" s="180" t="str">
        <v/>
      </c>
      <c r="V61" s="180" t="str">
        <v/>
      </c>
      <c r="W61" s="180" t="str">
        <v/>
      </c>
      <c r="X61" s="180" t="str">
        <v/>
      </c>
      <c r="Y61" s="180" t="str">
        <v/>
      </c>
      <c r="Z61" s="180" t="str">
        <v/>
      </c>
      <c r="AA61" s="180" t="str">
        <v/>
      </c>
      <c r="AB61" s="180" t="str">
        <v/>
      </c>
      <c r="AC61" s="180" t="str">
        <v/>
      </c>
      <c r="AD61" s="180" t="str">
        <v/>
      </c>
      <c r="AF61" s="263">
        <v>0</v>
      </c>
      <c r="AG61" s="259" t="s">
        <v>888</v>
      </c>
      <c r="AH61" s="255">
        <v>1</v>
      </c>
      <c r="AI61" s="254">
        <v>0</v>
      </c>
    </row>
    <row r="62" spans="2:35" ht="13.9" customHeight="1">
      <c r="B62" s="294"/>
      <c r="C62" s="180" t="str">
        <v/>
      </c>
      <c r="D62" s="180" t="str">
        <v/>
      </c>
      <c r="E62" s="180" t="str">
        <v/>
      </c>
      <c r="F62" s="180" t="str">
        <v/>
      </c>
      <c r="G62" s="188" t="str">
        <v/>
      </c>
      <c r="H62" s="188" t="str">
        <v/>
      </c>
      <c r="I62" s="188" t="str">
        <v/>
      </c>
      <c r="J62" s="180" t="str">
        <v/>
      </c>
      <c r="K62" s="180" t="str">
        <v/>
      </c>
      <c r="L62" s="180" t="str">
        <v/>
      </c>
      <c r="M62" s="180" t="str">
        <v/>
      </c>
      <c r="N62" s="180" t="str">
        <v/>
      </c>
      <c r="O62" s="180" t="str">
        <v/>
      </c>
      <c r="P62" s="180" t="str">
        <v/>
      </c>
      <c r="Q62" s="180" t="str">
        <v/>
      </c>
      <c r="R62" s="180" t="str">
        <v/>
      </c>
      <c r="S62" s="180" t="str">
        <v/>
      </c>
      <c r="T62" s="180" t="str">
        <v/>
      </c>
      <c r="U62" s="180" t="str">
        <v/>
      </c>
      <c r="V62" s="180" t="str">
        <v/>
      </c>
      <c r="W62" s="180" t="str">
        <v/>
      </c>
      <c r="X62" s="180" t="str">
        <v/>
      </c>
      <c r="Y62" s="180" t="str">
        <v/>
      </c>
      <c r="Z62" s="180" t="str">
        <v/>
      </c>
      <c r="AA62" s="180" t="str">
        <v/>
      </c>
      <c r="AB62" s="180" t="str">
        <v/>
      </c>
      <c r="AC62" s="180" t="str">
        <v/>
      </c>
      <c r="AD62" s="180" t="str">
        <v/>
      </c>
      <c r="AF62" s="264">
        <v>0</v>
      </c>
      <c r="AG62" s="265" t="s">
        <v>888</v>
      </c>
      <c r="AH62" s="266">
        <v>0</v>
      </c>
      <c r="AI62" s="267">
        <v>0</v>
      </c>
    </row>
    <row r="63" spans="2:35" ht="18" customHeight="1">
      <c r="B63" s="289">
        <v>3</v>
      </c>
      <c r="C63" s="144">
        <v>3001</v>
      </c>
      <c r="D63" s="144">
        <v>3002</v>
      </c>
      <c r="E63" s="180">
        <v>3003</v>
      </c>
      <c r="F63" s="146">
        <v>3004</v>
      </c>
      <c r="G63" s="216">
        <v>3005</v>
      </c>
      <c r="H63" s="223">
        <v>3006</v>
      </c>
      <c r="I63" s="217">
        <v>3007</v>
      </c>
      <c r="J63" s="147">
        <v>3008</v>
      </c>
      <c r="K63" s="144">
        <v>3009</v>
      </c>
      <c r="L63" s="144">
        <v>3010</v>
      </c>
      <c r="M63" s="144">
        <v>3011</v>
      </c>
      <c r="N63" s="144">
        <v>3012</v>
      </c>
      <c r="O63" s="144">
        <v>3013</v>
      </c>
      <c r="P63" s="144">
        <v>3014</v>
      </c>
      <c r="Q63" s="144">
        <v>3015</v>
      </c>
      <c r="R63" s="144">
        <v>3016</v>
      </c>
      <c r="S63" s="144">
        <v>3017</v>
      </c>
      <c r="T63" s="144">
        <v>3018</v>
      </c>
      <c r="U63" s="144">
        <v>3019</v>
      </c>
      <c r="V63" s="144">
        <v>3020</v>
      </c>
      <c r="W63" s="144">
        <v>3021</v>
      </c>
      <c r="X63" s="144">
        <v>3022</v>
      </c>
      <c r="Y63" s="144">
        <v>3023</v>
      </c>
      <c r="Z63" s="144">
        <v>3024</v>
      </c>
      <c r="AA63" s="144">
        <v>3025</v>
      </c>
      <c r="AB63" s="144">
        <v>3026</v>
      </c>
      <c r="AC63" s="144">
        <v>3027</v>
      </c>
      <c r="AD63" s="144">
        <v>3028</v>
      </c>
      <c r="AF63" s="292" t="s">
        <v>893</v>
      </c>
      <c r="AG63" s="292"/>
      <c r="AH63" s="292"/>
      <c r="AI63" s="292"/>
    </row>
    <row r="64" spans="2:35" ht="13.9" customHeight="1">
      <c r="B64" s="290"/>
      <c r="C64" s="180" t="str">
        <v/>
      </c>
      <c r="D64" s="180" t="str">
        <v/>
      </c>
      <c r="E64" s="180" t="str">
        <v/>
      </c>
      <c r="F64" s="181" t="str">
        <v/>
      </c>
      <c r="G64" s="218" t="str">
        <v>(1) UTILITY ROOM</v>
      </c>
      <c r="H64" s="180" t="str">
        <v/>
      </c>
      <c r="I64" s="219" t="str">
        <v/>
      </c>
      <c r="J64" s="184" t="str">
        <v/>
      </c>
      <c r="K64" s="180" t="str">
        <v/>
      </c>
      <c r="L64" s="180" t="str">
        <v/>
      </c>
      <c r="M64" s="180" t="str">
        <v/>
      </c>
      <c r="N64" s="180" t="str">
        <v/>
      </c>
      <c r="O64" s="180" t="str">
        <v/>
      </c>
      <c r="P64" s="180" t="str">
        <v/>
      </c>
      <c r="Q64" s="180" t="str">
        <v/>
      </c>
      <c r="R64" s="180" t="str">
        <v/>
      </c>
      <c r="S64" s="180" t="str">
        <v>(2) FOYER</v>
      </c>
      <c r="T64" s="180" t="str">
        <v/>
      </c>
      <c r="U64" s="180" t="str">
        <v/>
      </c>
      <c r="V64" s="180" t="str">
        <v>(2) FOYER</v>
      </c>
      <c r="W64" s="180" t="str">
        <v/>
      </c>
      <c r="X64" s="180" t="str">
        <v/>
      </c>
      <c r="Y64" s="180" t="str">
        <v/>
      </c>
      <c r="Z64" s="180" t="str">
        <v/>
      </c>
      <c r="AA64" s="180" t="str">
        <v>(2) BEV CENTER</v>
      </c>
      <c r="AB64" s="180" t="str">
        <v/>
      </c>
      <c r="AC64" s="180" t="str">
        <v>(2) FOYER</v>
      </c>
      <c r="AD64" s="180" t="str">
        <v/>
      </c>
      <c r="AF64" s="285" t="s">
        <v>881</v>
      </c>
      <c r="AG64" s="286"/>
      <c r="AH64" s="286"/>
      <c r="AI64" s="287"/>
    </row>
    <row r="65" spans="2:35" ht="13.9" customHeight="1">
      <c r="B65" s="293"/>
      <c r="C65" s="180" t="str">
        <v/>
      </c>
      <c r="D65" s="180" t="str">
        <v/>
      </c>
      <c r="E65" s="180" t="str">
        <v/>
      </c>
      <c r="F65" s="181" t="str">
        <v/>
      </c>
      <c r="G65" s="218" t="str">
        <v>(1) KITCHEN</v>
      </c>
      <c r="H65" s="180" t="str">
        <v/>
      </c>
      <c r="I65" s="219" t="str">
        <v/>
      </c>
      <c r="J65" s="184" t="str">
        <v/>
      </c>
      <c r="K65" s="180" t="str">
        <v/>
      </c>
      <c r="L65" s="180" t="str">
        <v/>
      </c>
      <c r="M65" s="180" t="str">
        <v/>
      </c>
      <c r="N65" s="180" t="str">
        <v/>
      </c>
      <c r="O65" s="180" t="str">
        <v/>
      </c>
      <c r="P65" s="180" t="str">
        <v/>
      </c>
      <c r="Q65" s="180" t="str">
        <v/>
      </c>
      <c r="R65" s="180" t="str">
        <v/>
      </c>
      <c r="S65" s="180" t="str">
        <v>(2) UTILITY ROOM</v>
      </c>
      <c r="T65" s="180" t="str">
        <v/>
      </c>
      <c r="U65" s="180" t="str">
        <v/>
      </c>
      <c r="V65" s="180" t="str">
        <v>(2) UTILITY ROOM</v>
      </c>
      <c r="W65" s="180" t="str">
        <v/>
      </c>
      <c r="X65" s="180" t="str">
        <v/>
      </c>
      <c r="Y65" s="180" t="str">
        <v/>
      </c>
      <c r="Z65" s="180" t="str">
        <v/>
      </c>
      <c r="AA65" s="180" t="str">
        <v>(2) KITCHEN</v>
      </c>
      <c r="AB65" s="180" t="str">
        <v/>
      </c>
      <c r="AC65" s="180" t="str">
        <v>(2) UTILITY ROOM</v>
      </c>
      <c r="AD65" s="180" t="str">
        <v/>
      </c>
      <c r="AF65" s="260" t="s">
        <v>882</v>
      </c>
      <c r="AG65" s="261">
        <v>5</v>
      </c>
      <c r="AH65" s="253" t="s">
        <v>883</v>
      </c>
      <c r="AI65" s="205" t="s">
        <v>883</v>
      </c>
    </row>
    <row r="66" spans="2:35" ht="13.9" customHeight="1">
      <c r="B66" s="293"/>
      <c r="C66" s="180" t="str">
        <v/>
      </c>
      <c r="D66" s="180" t="str">
        <v/>
      </c>
      <c r="E66" s="180" t="str">
        <v/>
      </c>
      <c r="F66" s="181" t="str">
        <v/>
      </c>
      <c r="G66" s="218" t="str">
        <v>(1) DINING</v>
      </c>
      <c r="H66" s="180" t="str">
        <v/>
      </c>
      <c r="I66" s="219" t="str">
        <v/>
      </c>
      <c r="J66" s="184" t="str">
        <v/>
      </c>
      <c r="K66" s="180" t="str">
        <v/>
      </c>
      <c r="L66" s="180" t="str">
        <v/>
      </c>
      <c r="M66" s="180" t="str">
        <v/>
      </c>
      <c r="N66" s="180" t="str">
        <v/>
      </c>
      <c r="O66" s="180" t="str">
        <v/>
      </c>
      <c r="P66" s="180" t="str">
        <v/>
      </c>
      <c r="Q66" s="180" t="str">
        <v/>
      </c>
      <c r="R66" s="180" t="str">
        <v/>
      </c>
      <c r="S66" s="180" t="str">
        <v>(2) KITCHEN</v>
      </c>
      <c r="T66" s="180" t="str">
        <v/>
      </c>
      <c r="U66" s="180" t="str">
        <v/>
      </c>
      <c r="V66" s="180" t="str">
        <v>(2) KITCHEN</v>
      </c>
      <c r="W66" s="180" t="str">
        <v/>
      </c>
      <c r="X66" s="180" t="str">
        <v/>
      </c>
      <c r="Y66" s="180" t="str">
        <v/>
      </c>
      <c r="Z66" s="180" t="str">
        <v/>
      </c>
      <c r="AA66" s="180" t="str">
        <v/>
      </c>
      <c r="AB66" s="180" t="str">
        <v/>
      </c>
      <c r="AC66" s="180" t="str">
        <v>(2) KITCHEN</v>
      </c>
      <c r="AD66" s="180" t="str">
        <v/>
      </c>
      <c r="AF66" s="260" t="s">
        <v>884</v>
      </c>
      <c r="AG66" s="288">
        <v>1</v>
      </c>
      <c r="AH66" s="288"/>
      <c r="AI66" s="205" t="s">
        <v>883</v>
      </c>
    </row>
    <row r="67" spans="2:35" ht="13.9" customHeight="1">
      <c r="B67" s="293"/>
      <c r="C67" s="180" t="str">
        <v/>
      </c>
      <c r="D67" s="180" t="str">
        <v/>
      </c>
      <c r="E67" s="180" t="str">
        <v/>
      </c>
      <c r="F67" s="181" t="str">
        <v/>
      </c>
      <c r="G67" s="218" t="str">
        <v>(1) PRIM BATH</v>
      </c>
      <c r="H67" s="180" t="str">
        <v/>
      </c>
      <c r="I67" s="219" t="str">
        <v/>
      </c>
      <c r="J67" s="184" t="str">
        <v/>
      </c>
      <c r="K67" s="180" t="str">
        <v/>
      </c>
      <c r="L67" s="180" t="str">
        <v/>
      </c>
      <c r="M67" s="180" t="str">
        <v/>
      </c>
      <c r="N67" s="180" t="str">
        <v/>
      </c>
      <c r="O67" s="180" t="str">
        <v/>
      </c>
      <c r="P67" s="180" t="str">
        <v/>
      </c>
      <c r="Q67" s="180" t="str">
        <v/>
      </c>
      <c r="R67" s="180" t="str">
        <v/>
      </c>
      <c r="S67" s="180" t="str">
        <v>(2) PRIM BATH</v>
      </c>
      <c r="T67" s="180" t="str">
        <v/>
      </c>
      <c r="U67" s="180" t="str">
        <v/>
      </c>
      <c r="V67" s="180" t="str">
        <v>(2) PRIM BATH</v>
      </c>
      <c r="W67" s="180" t="str">
        <v/>
      </c>
      <c r="X67" s="180" t="str">
        <v/>
      </c>
      <c r="Y67" s="180" t="str">
        <v/>
      </c>
      <c r="Z67" s="180" t="str">
        <v/>
      </c>
      <c r="AA67" s="180" t="str">
        <v/>
      </c>
      <c r="AB67" s="180" t="str">
        <v/>
      </c>
      <c r="AC67" s="180" t="str">
        <v>(2) PRIM BATH</v>
      </c>
      <c r="AD67" s="180" t="str">
        <v/>
      </c>
      <c r="AF67" s="260" t="s">
        <v>885</v>
      </c>
      <c r="AG67" s="262">
        <v>21</v>
      </c>
      <c r="AH67" s="140" t="s">
        <v>883</v>
      </c>
      <c r="AI67" s="257" t="s">
        <v>883</v>
      </c>
    </row>
    <row r="68" spans="2:35" ht="13.9" customHeight="1">
      <c r="B68" s="293"/>
      <c r="C68" s="180" t="str">
        <v/>
      </c>
      <c r="D68" s="180" t="str">
        <v/>
      </c>
      <c r="E68" s="180" t="str">
        <v/>
      </c>
      <c r="F68" s="181" t="str">
        <v/>
      </c>
      <c r="G68" s="218" t="str">
        <v>(1) BATH 2</v>
      </c>
      <c r="H68" s="180" t="str">
        <v/>
      </c>
      <c r="I68" s="219" t="str">
        <v/>
      </c>
      <c r="J68" s="184" t="str">
        <v/>
      </c>
      <c r="K68" s="180" t="str">
        <v/>
      </c>
      <c r="L68" s="180" t="str">
        <v/>
      </c>
      <c r="M68" s="180" t="str">
        <v/>
      </c>
      <c r="N68" s="180" t="str">
        <v/>
      </c>
      <c r="O68" s="180" t="str">
        <v/>
      </c>
      <c r="P68" s="180" t="str">
        <v/>
      </c>
      <c r="Q68" s="180" t="str">
        <v/>
      </c>
      <c r="R68" s="180" t="str">
        <v/>
      </c>
      <c r="S68" s="180" t="str">
        <v/>
      </c>
      <c r="T68" s="180" t="str">
        <v/>
      </c>
      <c r="U68" s="180" t="str">
        <v/>
      </c>
      <c r="V68" s="180" t="str">
        <v/>
      </c>
      <c r="W68" s="180" t="str">
        <v/>
      </c>
      <c r="X68" s="180" t="str">
        <v/>
      </c>
      <c r="Y68" s="180" t="str">
        <v/>
      </c>
      <c r="Z68" s="180" t="str">
        <v/>
      </c>
      <c r="AA68" s="180" t="str">
        <v/>
      </c>
      <c r="AB68" s="180" t="str">
        <v/>
      </c>
      <c r="AC68" s="180" t="str">
        <v>(2) BATH 2</v>
      </c>
      <c r="AD68" s="180" t="str">
        <v/>
      </c>
      <c r="AF68" s="278" t="s">
        <v>886</v>
      </c>
      <c r="AG68" s="279"/>
      <c r="AH68" s="280">
        <v>46294</v>
      </c>
      <c r="AI68" s="281"/>
    </row>
    <row r="69" spans="2:35" ht="13.9" customHeight="1">
      <c r="B69" s="293"/>
      <c r="C69" s="180" t="str">
        <v/>
      </c>
      <c r="D69" s="180" t="str">
        <v/>
      </c>
      <c r="E69" s="180" t="str">
        <v/>
      </c>
      <c r="F69" s="181" t="str">
        <v/>
      </c>
      <c r="G69" s="218" t="str">
        <v>(1) BATH 3</v>
      </c>
      <c r="H69" s="180" t="str">
        <v/>
      </c>
      <c r="I69" s="219" t="str">
        <v/>
      </c>
      <c r="J69" s="184" t="str">
        <v/>
      </c>
      <c r="K69" s="180" t="str">
        <v/>
      </c>
      <c r="L69" s="180" t="str">
        <v/>
      </c>
      <c r="M69" s="180" t="str">
        <v/>
      </c>
      <c r="N69" s="180" t="str">
        <v/>
      </c>
      <c r="O69" s="180" t="str">
        <v/>
      </c>
      <c r="P69" s="180" t="str">
        <v/>
      </c>
      <c r="Q69" s="180" t="str">
        <v/>
      </c>
      <c r="R69" s="180" t="str">
        <v/>
      </c>
      <c r="S69" s="180" t="str">
        <v/>
      </c>
      <c r="T69" s="180" t="str">
        <v/>
      </c>
      <c r="U69" s="180" t="str">
        <v/>
      </c>
      <c r="V69" s="180" t="str">
        <v/>
      </c>
      <c r="W69" s="180" t="str">
        <v/>
      </c>
      <c r="X69" s="180" t="str">
        <v/>
      </c>
      <c r="Y69" s="180" t="str">
        <v/>
      </c>
      <c r="Z69" s="180" t="str">
        <v/>
      </c>
      <c r="AA69" s="180" t="str">
        <v/>
      </c>
      <c r="AB69" s="180" t="str">
        <v/>
      </c>
      <c r="AC69" s="180" t="str">
        <v/>
      </c>
      <c r="AD69" s="180" t="str">
        <v/>
      </c>
      <c r="AF69" s="256" t="s">
        <v>883</v>
      </c>
      <c r="AG69" s="140" t="s">
        <v>883</v>
      </c>
      <c r="AH69" s="140" t="s">
        <v>883</v>
      </c>
      <c r="AI69" s="257" t="s">
        <v>883</v>
      </c>
    </row>
    <row r="70" spans="2:35" ht="13.9" customHeight="1">
      <c r="B70" s="293"/>
      <c r="C70" s="180" t="str">
        <v/>
      </c>
      <c r="D70" s="180" t="str">
        <v/>
      </c>
      <c r="E70" s="180" t="str">
        <v/>
      </c>
      <c r="F70" s="181" t="str">
        <v/>
      </c>
      <c r="G70" s="218" t="str">
        <v/>
      </c>
      <c r="H70" s="180" t="str">
        <v/>
      </c>
      <c r="I70" s="219" t="str">
        <v/>
      </c>
      <c r="J70" s="184" t="str">
        <v/>
      </c>
      <c r="K70" s="180" t="str">
        <v/>
      </c>
      <c r="L70" s="180" t="str">
        <v/>
      </c>
      <c r="M70" s="180" t="str">
        <v/>
      </c>
      <c r="N70" s="180" t="str">
        <v/>
      </c>
      <c r="O70" s="180" t="str">
        <v/>
      </c>
      <c r="P70" s="180" t="str">
        <v/>
      </c>
      <c r="Q70" s="180" t="str">
        <v/>
      </c>
      <c r="R70" s="180" t="str">
        <v/>
      </c>
      <c r="S70" s="180" t="str">
        <v/>
      </c>
      <c r="T70" s="180" t="str">
        <v/>
      </c>
      <c r="U70" s="180" t="str">
        <v/>
      </c>
      <c r="V70" s="180" t="str">
        <v/>
      </c>
      <c r="W70" s="180" t="str">
        <v/>
      </c>
      <c r="X70" s="180" t="str">
        <v/>
      </c>
      <c r="Y70" s="180" t="str">
        <v/>
      </c>
      <c r="Z70" s="180" t="str">
        <v/>
      </c>
      <c r="AA70" s="180" t="str">
        <v/>
      </c>
      <c r="AB70" s="180" t="str">
        <v/>
      </c>
      <c r="AC70" s="180" t="str">
        <v/>
      </c>
      <c r="AD70" s="180" t="str">
        <v/>
      </c>
      <c r="AF70" s="282" t="s">
        <v>887</v>
      </c>
      <c r="AG70" s="283"/>
      <c r="AH70" s="283"/>
      <c r="AI70" s="284"/>
    </row>
    <row r="71" spans="2:35" ht="13.9" customHeight="1">
      <c r="B71" s="293"/>
      <c r="C71" s="180" t="str">
        <v/>
      </c>
      <c r="D71" s="180" t="str">
        <v/>
      </c>
      <c r="E71" s="180" t="str">
        <v/>
      </c>
      <c r="F71" s="181" t="str">
        <v/>
      </c>
      <c r="G71" s="218" t="str">
        <v/>
      </c>
      <c r="H71" s="180" t="str">
        <v/>
      </c>
      <c r="I71" s="219" t="str">
        <v/>
      </c>
      <c r="J71" s="184" t="str">
        <v/>
      </c>
      <c r="K71" s="180" t="str">
        <v/>
      </c>
      <c r="L71" s="180" t="str">
        <v/>
      </c>
      <c r="M71" s="180" t="str">
        <v/>
      </c>
      <c r="N71" s="180" t="str">
        <v/>
      </c>
      <c r="O71" s="180" t="str">
        <v/>
      </c>
      <c r="P71" s="180" t="str">
        <v/>
      </c>
      <c r="Q71" s="180" t="str">
        <v/>
      </c>
      <c r="R71" s="180" t="str">
        <v/>
      </c>
      <c r="S71" s="180" t="str">
        <v/>
      </c>
      <c r="T71" s="180" t="str">
        <v/>
      </c>
      <c r="U71" s="180" t="str">
        <v/>
      </c>
      <c r="V71" s="180" t="str">
        <v/>
      </c>
      <c r="W71" s="180" t="str">
        <v/>
      </c>
      <c r="X71" s="180" t="str">
        <v/>
      </c>
      <c r="Y71" s="180" t="str">
        <v/>
      </c>
      <c r="Z71" s="180" t="str">
        <v/>
      </c>
      <c r="AA71" s="180" t="str">
        <v/>
      </c>
      <c r="AB71" s="180" t="str">
        <v/>
      </c>
      <c r="AC71" s="180" t="str">
        <v/>
      </c>
      <c r="AD71" s="180" t="str">
        <v/>
      </c>
      <c r="AF71" s="258">
        <v>0</v>
      </c>
      <c r="AG71" s="259" t="s">
        <v>888</v>
      </c>
      <c r="AH71" s="255">
        <v>21</v>
      </c>
      <c r="AI71" s="254">
        <v>0</v>
      </c>
    </row>
    <row r="72" spans="2:35" ht="13.9" customHeight="1">
      <c r="B72" s="293"/>
      <c r="C72" s="180" t="str">
        <v/>
      </c>
      <c r="D72" s="180" t="str">
        <v/>
      </c>
      <c r="E72" s="180" t="str">
        <v/>
      </c>
      <c r="F72" s="181" t="str">
        <v/>
      </c>
      <c r="G72" s="218" t="str">
        <v/>
      </c>
      <c r="H72" s="180" t="str">
        <v/>
      </c>
      <c r="I72" s="219" t="str">
        <v/>
      </c>
      <c r="J72" s="184" t="str">
        <v/>
      </c>
      <c r="K72" s="180" t="str">
        <v/>
      </c>
      <c r="L72" s="180" t="str">
        <v/>
      </c>
      <c r="M72" s="180" t="str">
        <v/>
      </c>
      <c r="N72" s="180" t="str">
        <v/>
      </c>
      <c r="O72" s="180" t="str">
        <v/>
      </c>
      <c r="P72" s="180" t="str">
        <v/>
      </c>
      <c r="Q72" s="180" t="str">
        <v/>
      </c>
      <c r="R72" s="180" t="str">
        <v/>
      </c>
      <c r="S72" s="180" t="str">
        <v/>
      </c>
      <c r="T72" s="180" t="str">
        <v/>
      </c>
      <c r="U72" s="180" t="str">
        <v/>
      </c>
      <c r="V72" s="180" t="str">
        <v/>
      </c>
      <c r="W72" s="180" t="str">
        <v/>
      </c>
      <c r="X72" s="180" t="str">
        <v/>
      </c>
      <c r="Y72" s="180" t="str">
        <v/>
      </c>
      <c r="Z72" s="180" t="str">
        <v/>
      </c>
      <c r="AA72" s="180" t="str">
        <v/>
      </c>
      <c r="AB72" s="180" t="str">
        <v/>
      </c>
      <c r="AC72" s="180" t="str">
        <v/>
      </c>
      <c r="AD72" s="180" t="str">
        <v/>
      </c>
      <c r="AF72" s="263">
        <v>0</v>
      </c>
      <c r="AG72" s="259" t="s">
        <v>888</v>
      </c>
      <c r="AH72" s="255">
        <v>5</v>
      </c>
      <c r="AI72" s="254">
        <v>0</v>
      </c>
    </row>
    <row r="73" spans="2:35" ht="13.9" customHeight="1">
      <c r="B73" s="294"/>
      <c r="C73" s="180" t="str">
        <v/>
      </c>
      <c r="D73" s="180" t="str">
        <v/>
      </c>
      <c r="E73" s="180" t="str">
        <v/>
      </c>
      <c r="F73" s="181" t="str">
        <v/>
      </c>
      <c r="G73" s="220" t="str">
        <v/>
      </c>
      <c r="H73" s="224" t="str">
        <v/>
      </c>
      <c r="I73" s="221" t="str">
        <v/>
      </c>
      <c r="J73" s="184" t="str">
        <v/>
      </c>
      <c r="K73" s="180" t="str">
        <v/>
      </c>
      <c r="L73" s="180" t="str">
        <v/>
      </c>
      <c r="M73" s="180" t="str">
        <v/>
      </c>
      <c r="N73" s="180" t="str">
        <v/>
      </c>
      <c r="O73" s="180" t="str">
        <v/>
      </c>
      <c r="P73" s="180" t="str">
        <v/>
      </c>
      <c r="Q73" s="180" t="str">
        <v/>
      </c>
      <c r="R73" s="180" t="str">
        <v/>
      </c>
      <c r="S73" s="180" t="str">
        <v/>
      </c>
      <c r="T73" s="180" t="str">
        <v/>
      </c>
      <c r="U73" s="180" t="str">
        <v/>
      </c>
      <c r="V73" s="180" t="str">
        <v/>
      </c>
      <c r="W73" s="180" t="str">
        <v/>
      </c>
      <c r="X73" s="180" t="str">
        <v/>
      </c>
      <c r="Y73" s="180" t="str">
        <v/>
      </c>
      <c r="Z73" s="180" t="str">
        <v/>
      </c>
      <c r="AA73" s="180" t="str">
        <v/>
      </c>
      <c r="AB73" s="180" t="str">
        <v/>
      </c>
      <c r="AC73" s="180" t="str">
        <v/>
      </c>
      <c r="AD73" s="180" t="str">
        <v/>
      </c>
      <c r="AF73" s="264">
        <v>0</v>
      </c>
      <c r="AG73" s="265" t="s">
        <v>888</v>
      </c>
      <c r="AH73" s="266">
        <v>1</v>
      </c>
      <c r="AI73" s="267">
        <v>0</v>
      </c>
    </row>
    <row r="74" spans="2:35" ht="18" customHeight="1">
      <c r="B74" s="289">
        <v>2</v>
      </c>
      <c r="C74" s="144">
        <v>2001</v>
      </c>
      <c r="D74" s="144">
        <v>2002</v>
      </c>
      <c r="E74" s="180">
        <v>2003</v>
      </c>
      <c r="F74" s="144">
        <v>2004</v>
      </c>
      <c r="G74" s="148">
        <v>2005</v>
      </c>
      <c r="H74" s="148">
        <v>2006</v>
      </c>
      <c r="I74" s="148">
        <v>2007</v>
      </c>
      <c r="J74" s="144">
        <v>2008</v>
      </c>
      <c r="K74" s="144">
        <v>2009</v>
      </c>
      <c r="L74" s="144">
        <v>2010</v>
      </c>
      <c r="M74" s="144">
        <v>2011</v>
      </c>
      <c r="N74" s="144">
        <v>2012</v>
      </c>
      <c r="O74" s="144">
        <v>2013</v>
      </c>
      <c r="P74" s="144">
        <v>2014</v>
      </c>
      <c r="Q74" s="144">
        <v>2015</v>
      </c>
      <c r="R74" s="144">
        <v>2016</v>
      </c>
      <c r="S74" s="144">
        <v>2017</v>
      </c>
      <c r="T74" s="144">
        <v>2018</v>
      </c>
      <c r="U74" s="144">
        <v>2019</v>
      </c>
      <c r="V74" s="144">
        <v>2020</v>
      </c>
      <c r="W74" s="144">
        <v>2021</v>
      </c>
      <c r="X74" s="144">
        <v>2022</v>
      </c>
      <c r="Y74" s="144">
        <v>2023</v>
      </c>
      <c r="Z74" s="144">
        <v>2024</v>
      </c>
      <c r="AA74" s="144">
        <v>2025</v>
      </c>
      <c r="AB74" s="144">
        <v>2026</v>
      </c>
      <c r="AC74" s="144">
        <v>2027</v>
      </c>
      <c r="AD74" s="144">
        <v>2028</v>
      </c>
      <c r="AF74" s="295" t="s">
        <v>894</v>
      </c>
      <c r="AG74" s="295"/>
      <c r="AH74" s="295"/>
      <c r="AI74" s="295"/>
    </row>
    <row r="75" spans="2:35" ht="13.9" customHeight="1">
      <c r="B75" s="293"/>
      <c r="C75" s="180" t="str">
        <v/>
      </c>
      <c r="D75" s="180" t="str">
        <v/>
      </c>
      <c r="E75" s="180" t="str">
        <v/>
      </c>
      <c r="F75" s="180" t="str">
        <v/>
      </c>
      <c r="G75" s="180" t="str">
        <v/>
      </c>
      <c r="H75" s="180" t="str">
        <v>(1) BEV CENTER</v>
      </c>
      <c r="I75" s="180" t="str">
        <v>(1) FOYER</v>
      </c>
      <c r="J75" s="180" t="str">
        <v/>
      </c>
      <c r="K75" s="180" t="str">
        <v/>
      </c>
      <c r="L75" s="180" t="str">
        <v/>
      </c>
      <c r="M75" s="180" t="str">
        <v/>
      </c>
      <c r="N75" s="180" t="str">
        <v/>
      </c>
      <c r="O75" s="180" t="str">
        <v/>
      </c>
      <c r="P75" s="180" t="str">
        <v/>
      </c>
      <c r="Q75" s="180" t="str">
        <v>(1) FOYER</v>
      </c>
      <c r="R75" s="180" t="str">
        <v/>
      </c>
      <c r="S75" s="180" t="str">
        <v/>
      </c>
      <c r="T75" s="180" t="str">
        <v/>
      </c>
      <c r="U75" s="180" t="str">
        <v/>
      </c>
      <c r="V75" s="180" t="str">
        <v/>
      </c>
      <c r="W75" s="180" t="str">
        <v/>
      </c>
      <c r="X75" s="180" t="str">
        <v/>
      </c>
      <c r="Y75" s="180" t="str">
        <v>(1) FOYER</v>
      </c>
      <c r="Z75" s="180" t="str">
        <v/>
      </c>
      <c r="AA75" s="180" t="str">
        <v/>
      </c>
      <c r="AB75" s="180" t="str">
        <v/>
      </c>
      <c r="AC75" s="180" t="str">
        <v/>
      </c>
      <c r="AD75" s="180" t="str">
        <v/>
      </c>
      <c r="AF75" s="285" t="s">
        <v>881</v>
      </c>
      <c r="AG75" s="286"/>
      <c r="AH75" s="286"/>
      <c r="AI75" s="287"/>
    </row>
    <row r="76" spans="2:35" ht="13.9" customHeight="1">
      <c r="B76" s="293"/>
      <c r="C76" s="180" t="str">
        <v/>
      </c>
      <c r="D76" s="180" t="str">
        <v/>
      </c>
      <c r="E76" s="180" t="str">
        <v/>
      </c>
      <c r="F76" s="180" t="str">
        <v/>
      </c>
      <c r="G76" s="180" t="str">
        <v/>
      </c>
      <c r="H76" s="180" t="str">
        <v>(1) LAUNDRY CLOSET</v>
      </c>
      <c r="I76" s="180" t="str">
        <v>(1) UTILITY ROOM</v>
      </c>
      <c r="J76" s="180" t="str">
        <v/>
      </c>
      <c r="K76" s="180" t="str">
        <v/>
      </c>
      <c r="L76" s="180" t="str">
        <v/>
      </c>
      <c r="M76" s="180" t="str">
        <v/>
      </c>
      <c r="N76" s="180" t="str">
        <v/>
      </c>
      <c r="O76" s="180" t="str">
        <v/>
      </c>
      <c r="P76" s="180" t="str">
        <v/>
      </c>
      <c r="Q76" s="180" t="str">
        <v>(1) HALL</v>
      </c>
      <c r="R76" s="180" t="str">
        <v/>
      </c>
      <c r="S76" s="180" t="str">
        <v/>
      </c>
      <c r="T76" s="180" t="str">
        <v/>
      </c>
      <c r="U76" s="180" t="str">
        <v/>
      </c>
      <c r="V76" s="180" t="str">
        <v/>
      </c>
      <c r="W76" s="180" t="str">
        <v/>
      </c>
      <c r="X76" s="180" t="str">
        <v/>
      </c>
      <c r="Y76" s="180" t="str">
        <v>(1) HALL</v>
      </c>
      <c r="Z76" s="180" t="str">
        <v/>
      </c>
      <c r="AA76" s="180" t="str">
        <v/>
      </c>
      <c r="AB76" s="180" t="str">
        <v/>
      </c>
      <c r="AC76" s="180" t="str">
        <v/>
      </c>
      <c r="AD76" s="180" t="str">
        <v/>
      </c>
      <c r="AF76" s="260" t="s">
        <v>882</v>
      </c>
      <c r="AG76" s="261">
        <v>4</v>
      </c>
      <c r="AH76" s="253" t="s">
        <v>883</v>
      </c>
      <c r="AI76" s="205" t="s">
        <v>883</v>
      </c>
    </row>
    <row r="77" spans="2:35" ht="13.9" customHeight="1">
      <c r="B77" s="293"/>
      <c r="C77" s="180" t="str">
        <v/>
      </c>
      <c r="D77" s="180" t="str">
        <v/>
      </c>
      <c r="E77" s="180" t="str">
        <v/>
      </c>
      <c r="F77" s="180" t="str">
        <v/>
      </c>
      <c r="G77" s="180" t="str">
        <v/>
      </c>
      <c r="H77" s="180" t="str">
        <v/>
      </c>
      <c r="I77" s="180" t="str">
        <v>(1) KITCHEN</v>
      </c>
      <c r="J77" s="180" t="str">
        <v/>
      </c>
      <c r="K77" s="180" t="str">
        <v/>
      </c>
      <c r="L77" s="180" t="str">
        <v/>
      </c>
      <c r="M77" s="180" t="str">
        <v/>
      </c>
      <c r="N77" s="180" t="str">
        <v/>
      </c>
      <c r="O77" s="180" t="str">
        <v/>
      </c>
      <c r="P77" s="180" t="str">
        <v/>
      </c>
      <c r="Q77" s="180" t="str">
        <v>(1) UTILITY ROOM</v>
      </c>
      <c r="R77" s="180" t="str">
        <v/>
      </c>
      <c r="S77" s="180" t="str">
        <v/>
      </c>
      <c r="T77" s="180" t="str">
        <v/>
      </c>
      <c r="U77" s="180" t="str">
        <v/>
      </c>
      <c r="V77" s="180" t="str">
        <v/>
      </c>
      <c r="W77" s="180" t="str">
        <v/>
      </c>
      <c r="X77" s="180" t="str">
        <v/>
      </c>
      <c r="Y77" s="180" t="str">
        <v>(1) UTILITY ROOM</v>
      </c>
      <c r="Z77" s="180" t="str">
        <v/>
      </c>
      <c r="AA77" s="180" t="str">
        <v/>
      </c>
      <c r="AB77" s="180" t="str">
        <v/>
      </c>
      <c r="AC77" s="180" t="str">
        <v/>
      </c>
      <c r="AD77" s="180" t="str">
        <v/>
      </c>
      <c r="AF77" s="260" t="s">
        <v>884</v>
      </c>
      <c r="AG77" s="288">
        <v>0</v>
      </c>
      <c r="AH77" s="288"/>
      <c r="AI77" s="205" t="s">
        <v>883</v>
      </c>
    </row>
    <row r="78" spans="2:35" ht="13.9" customHeight="1">
      <c r="B78" s="293"/>
      <c r="C78" s="180" t="str">
        <v/>
      </c>
      <c r="D78" s="180" t="str">
        <v/>
      </c>
      <c r="E78" s="180" t="str">
        <v/>
      </c>
      <c r="F78" s="180" t="str">
        <v/>
      </c>
      <c r="G78" s="180" t="str">
        <v/>
      </c>
      <c r="H78" s="180" t="str">
        <v/>
      </c>
      <c r="I78" s="180" t="str">
        <v>(1) PRIM BATH</v>
      </c>
      <c r="J78" s="180" t="str">
        <v/>
      </c>
      <c r="K78" s="180" t="str">
        <v/>
      </c>
      <c r="L78" s="180" t="str">
        <v/>
      </c>
      <c r="M78" s="180" t="str">
        <v/>
      </c>
      <c r="N78" s="180" t="str">
        <v/>
      </c>
      <c r="O78" s="180" t="str">
        <v/>
      </c>
      <c r="P78" s="180" t="str">
        <v/>
      </c>
      <c r="Q78" s="180" t="str">
        <v>(1) KITCHEN</v>
      </c>
      <c r="R78" s="180" t="str">
        <v/>
      </c>
      <c r="S78" s="180" t="str">
        <v/>
      </c>
      <c r="T78" s="180" t="str">
        <v/>
      </c>
      <c r="U78" s="180" t="str">
        <v/>
      </c>
      <c r="V78" s="180" t="str">
        <v/>
      </c>
      <c r="W78" s="180" t="str">
        <v/>
      </c>
      <c r="X78" s="180" t="str">
        <v/>
      </c>
      <c r="Y78" s="180" t="str">
        <v>(1) KITCHEN</v>
      </c>
      <c r="Z78" s="180" t="str">
        <v/>
      </c>
      <c r="AA78" s="180" t="str">
        <v/>
      </c>
      <c r="AB78" s="180" t="str">
        <v/>
      </c>
      <c r="AC78" s="180" t="str">
        <v/>
      </c>
      <c r="AD78" s="180" t="str">
        <v/>
      </c>
      <c r="AF78" s="260" t="s">
        <v>885</v>
      </c>
      <c r="AG78" s="262">
        <v>19</v>
      </c>
      <c r="AH78" s="140" t="s">
        <v>883</v>
      </c>
      <c r="AI78" s="257" t="s">
        <v>883</v>
      </c>
    </row>
    <row r="79" spans="2:35" ht="13.9" customHeight="1">
      <c r="B79" s="293"/>
      <c r="C79" s="180" t="str">
        <v/>
      </c>
      <c r="D79" s="180" t="str">
        <v/>
      </c>
      <c r="E79" s="180" t="str">
        <v/>
      </c>
      <c r="F79" s="180" t="str">
        <v/>
      </c>
      <c r="G79" s="180" t="str">
        <v/>
      </c>
      <c r="H79" s="180" t="str">
        <v/>
      </c>
      <c r="I79" s="180" t="str">
        <v/>
      </c>
      <c r="J79" s="180" t="str">
        <v/>
      </c>
      <c r="K79" s="180" t="str">
        <v/>
      </c>
      <c r="L79" s="180" t="str">
        <v/>
      </c>
      <c r="M79" s="180" t="str">
        <v/>
      </c>
      <c r="N79" s="180" t="str">
        <v/>
      </c>
      <c r="O79" s="180" t="str">
        <v/>
      </c>
      <c r="P79" s="180" t="str">
        <v/>
      </c>
      <c r="Q79" s="180" t="str">
        <v>(1) PRIM BATH</v>
      </c>
      <c r="R79" s="180" t="str">
        <v/>
      </c>
      <c r="S79" s="180" t="str">
        <v/>
      </c>
      <c r="T79" s="180" t="str">
        <v/>
      </c>
      <c r="U79" s="180" t="str">
        <v/>
      </c>
      <c r="V79" s="180" t="str">
        <v/>
      </c>
      <c r="W79" s="180" t="str">
        <v/>
      </c>
      <c r="X79" s="180" t="str">
        <v/>
      </c>
      <c r="Y79" s="180" t="str">
        <v>(1) PRIM BATH</v>
      </c>
      <c r="Z79" s="180" t="str">
        <v/>
      </c>
      <c r="AA79" s="180" t="str">
        <v/>
      </c>
      <c r="AB79" s="180" t="str">
        <v/>
      </c>
      <c r="AC79" s="180" t="str">
        <v/>
      </c>
      <c r="AD79" s="180" t="str">
        <v/>
      </c>
      <c r="AF79" s="278" t="s">
        <v>886</v>
      </c>
      <c r="AG79" s="279"/>
      <c r="AH79" s="280">
        <v>46268</v>
      </c>
      <c r="AI79" s="281"/>
    </row>
    <row r="80" spans="2:35" ht="13.9" customHeight="1">
      <c r="B80" s="293"/>
      <c r="C80" s="180" t="str">
        <v/>
      </c>
      <c r="D80" s="180" t="str">
        <v/>
      </c>
      <c r="E80" s="180" t="str">
        <v/>
      </c>
      <c r="F80" s="180" t="str">
        <v/>
      </c>
      <c r="G80" s="180" t="str">
        <v/>
      </c>
      <c r="H80" s="180" t="str">
        <v/>
      </c>
      <c r="I80" s="180" t="str">
        <v/>
      </c>
      <c r="J80" s="180" t="str">
        <v/>
      </c>
      <c r="K80" s="180" t="str">
        <v/>
      </c>
      <c r="L80" s="180" t="str">
        <v/>
      </c>
      <c r="M80" s="180" t="str">
        <v/>
      </c>
      <c r="N80" s="180" t="str">
        <v/>
      </c>
      <c r="O80" s="180" t="str">
        <v/>
      </c>
      <c r="P80" s="180" t="str">
        <v/>
      </c>
      <c r="Q80" s="180" t="str">
        <v>(1) BATH 2</v>
      </c>
      <c r="R80" s="180" t="str">
        <v/>
      </c>
      <c r="S80" s="180" t="str">
        <v/>
      </c>
      <c r="T80" s="180" t="str">
        <v/>
      </c>
      <c r="U80" s="180" t="str">
        <v/>
      </c>
      <c r="V80" s="180" t="str">
        <v/>
      </c>
      <c r="W80" s="180" t="str">
        <v/>
      </c>
      <c r="X80" s="180" t="str">
        <v/>
      </c>
      <c r="Y80" s="180" t="str">
        <v>(1) BATH 2</v>
      </c>
      <c r="Z80" s="180" t="str">
        <v/>
      </c>
      <c r="AA80" s="180" t="str">
        <v/>
      </c>
      <c r="AB80" s="180" t="str">
        <v/>
      </c>
      <c r="AC80" s="180" t="str">
        <v/>
      </c>
      <c r="AD80" s="180" t="str">
        <v/>
      </c>
      <c r="AF80" s="256" t="s">
        <v>883</v>
      </c>
      <c r="AG80" s="140" t="s">
        <v>883</v>
      </c>
      <c r="AH80" s="140" t="s">
        <v>883</v>
      </c>
      <c r="AI80" s="257" t="s">
        <v>883</v>
      </c>
    </row>
    <row r="81" spans="2:35" ht="13.9" customHeight="1">
      <c r="B81" s="293"/>
      <c r="C81" s="180" t="str">
        <v/>
      </c>
      <c r="D81" s="180" t="str">
        <v/>
      </c>
      <c r="E81" s="180" t="str">
        <v/>
      </c>
      <c r="F81" s="180" t="str">
        <v/>
      </c>
      <c r="G81" s="180" t="str">
        <v/>
      </c>
      <c r="H81" s="180" t="str">
        <v/>
      </c>
      <c r="I81" s="180" t="str">
        <v/>
      </c>
      <c r="J81" s="180" t="str">
        <v/>
      </c>
      <c r="K81" s="180" t="str">
        <v/>
      </c>
      <c r="L81" s="180" t="str">
        <v/>
      </c>
      <c r="M81" s="180" t="str">
        <v/>
      </c>
      <c r="N81" s="180" t="str">
        <v/>
      </c>
      <c r="O81" s="180" t="str">
        <v/>
      </c>
      <c r="P81" s="180" t="str">
        <v/>
      </c>
      <c r="Q81" s="180" t="str">
        <v/>
      </c>
      <c r="R81" s="180" t="str">
        <v/>
      </c>
      <c r="S81" s="180" t="str">
        <v/>
      </c>
      <c r="T81" s="180" t="str">
        <v/>
      </c>
      <c r="U81" s="180" t="str">
        <v/>
      </c>
      <c r="V81" s="180" t="str">
        <v/>
      </c>
      <c r="W81" s="180" t="str">
        <v/>
      </c>
      <c r="X81" s="180" t="str">
        <v/>
      </c>
      <c r="Y81" s="180" t="str">
        <v>(1) BED 2</v>
      </c>
      <c r="Z81" s="180" t="str">
        <v/>
      </c>
      <c r="AA81" s="180" t="str">
        <v/>
      </c>
      <c r="AB81" s="180" t="str">
        <v/>
      </c>
      <c r="AC81" s="180" t="str">
        <v/>
      </c>
      <c r="AD81" s="180" t="str">
        <v/>
      </c>
      <c r="AF81" s="282" t="s">
        <v>887</v>
      </c>
      <c r="AG81" s="283"/>
      <c r="AH81" s="283"/>
      <c r="AI81" s="284"/>
    </row>
    <row r="82" spans="2:35" ht="13.9" customHeight="1">
      <c r="B82" s="293"/>
      <c r="C82" s="180" t="str">
        <v/>
      </c>
      <c r="D82" s="180" t="str">
        <v/>
      </c>
      <c r="E82" s="180" t="str">
        <v/>
      </c>
      <c r="F82" s="180" t="str">
        <v/>
      </c>
      <c r="G82" s="180" t="str">
        <v/>
      </c>
      <c r="H82" s="180" t="str">
        <v/>
      </c>
      <c r="I82" s="180" t="str">
        <v/>
      </c>
      <c r="J82" s="180" t="str">
        <v/>
      </c>
      <c r="K82" s="180" t="str">
        <v/>
      </c>
      <c r="L82" s="180" t="str">
        <v/>
      </c>
      <c r="M82" s="180" t="str">
        <v/>
      </c>
      <c r="N82" s="180" t="str">
        <v/>
      </c>
      <c r="O82" s="180" t="str">
        <v/>
      </c>
      <c r="P82" s="180" t="str">
        <v/>
      </c>
      <c r="Q82" s="180" t="str">
        <v/>
      </c>
      <c r="R82" s="180" t="str">
        <v/>
      </c>
      <c r="S82" s="180" t="str">
        <v/>
      </c>
      <c r="T82" s="180" t="str">
        <v/>
      </c>
      <c r="U82" s="180" t="str">
        <v/>
      </c>
      <c r="V82" s="180" t="str">
        <v/>
      </c>
      <c r="W82" s="180" t="str">
        <v/>
      </c>
      <c r="X82" s="180" t="str">
        <v/>
      </c>
      <c r="Y82" s="180" t="str">
        <v/>
      </c>
      <c r="Z82" s="180" t="str">
        <v/>
      </c>
      <c r="AA82" s="180" t="str">
        <v/>
      </c>
      <c r="AB82" s="180" t="str">
        <v/>
      </c>
      <c r="AC82" s="180" t="str">
        <v/>
      </c>
      <c r="AD82" s="180" t="str">
        <v/>
      </c>
      <c r="AF82" s="258">
        <v>0</v>
      </c>
      <c r="AG82" s="259" t="s">
        <v>888</v>
      </c>
      <c r="AH82" s="255">
        <v>19</v>
      </c>
      <c r="AI82" s="254">
        <v>0</v>
      </c>
    </row>
    <row r="83" spans="2:35" ht="13.9" customHeight="1">
      <c r="B83" s="293"/>
      <c r="C83" s="180" t="str">
        <v/>
      </c>
      <c r="D83" s="180" t="str">
        <v/>
      </c>
      <c r="E83" s="180" t="str">
        <v/>
      </c>
      <c r="F83" s="180" t="str">
        <v/>
      </c>
      <c r="G83" s="180" t="str">
        <v/>
      </c>
      <c r="H83" s="180" t="str">
        <v/>
      </c>
      <c r="I83" s="180" t="str">
        <v/>
      </c>
      <c r="J83" s="180" t="str">
        <v/>
      </c>
      <c r="K83" s="180" t="str">
        <v/>
      </c>
      <c r="L83" s="180" t="str">
        <v/>
      </c>
      <c r="M83" s="180" t="str">
        <v/>
      </c>
      <c r="N83" s="180" t="str">
        <v/>
      </c>
      <c r="O83" s="180" t="str">
        <v/>
      </c>
      <c r="P83" s="180" t="str">
        <v/>
      </c>
      <c r="Q83" s="180" t="str">
        <v/>
      </c>
      <c r="R83" s="180" t="str">
        <v/>
      </c>
      <c r="S83" s="180" t="str">
        <v/>
      </c>
      <c r="T83" s="180" t="str">
        <v/>
      </c>
      <c r="U83" s="180" t="str">
        <v/>
      </c>
      <c r="V83" s="180" t="str">
        <v/>
      </c>
      <c r="W83" s="180" t="str">
        <v/>
      </c>
      <c r="X83" s="180" t="str">
        <v/>
      </c>
      <c r="Y83" s="180" t="str">
        <v/>
      </c>
      <c r="Z83" s="180" t="str">
        <v/>
      </c>
      <c r="AA83" s="180" t="str">
        <v/>
      </c>
      <c r="AB83" s="180" t="str">
        <v/>
      </c>
      <c r="AC83" s="180" t="str">
        <v/>
      </c>
      <c r="AD83" s="180" t="str">
        <v/>
      </c>
      <c r="AF83" s="263">
        <v>0</v>
      </c>
      <c r="AG83" s="259" t="s">
        <v>888</v>
      </c>
      <c r="AH83" s="255">
        <v>4</v>
      </c>
      <c r="AI83" s="254">
        <v>0</v>
      </c>
    </row>
    <row r="84" spans="2:35" ht="13.9" customHeight="1">
      <c r="B84" s="294"/>
      <c r="C84" s="180" t="str">
        <v/>
      </c>
      <c r="D84" s="180" t="str">
        <v/>
      </c>
      <c r="E84" s="180" t="str">
        <v/>
      </c>
      <c r="F84" s="180" t="str">
        <v/>
      </c>
      <c r="G84" s="180" t="str">
        <v/>
      </c>
      <c r="H84" s="180" t="str">
        <v/>
      </c>
      <c r="I84" s="180" t="str">
        <v/>
      </c>
      <c r="J84" s="180" t="str">
        <v/>
      </c>
      <c r="K84" s="180" t="str">
        <v/>
      </c>
      <c r="L84" s="180" t="str">
        <v/>
      </c>
      <c r="M84" s="180" t="str">
        <v/>
      </c>
      <c r="N84" s="180" t="str">
        <v/>
      </c>
      <c r="O84" s="180" t="str">
        <v/>
      </c>
      <c r="P84" s="180" t="str">
        <v/>
      </c>
      <c r="Q84" s="180" t="str">
        <v/>
      </c>
      <c r="R84" s="180" t="str">
        <v/>
      </c>
      <c r="S84" s="180" t="str">
        <v/>
      </c>
      <c r="T84" s="180" t="str">
        <v/>
      </c>
      <c r="U84" s="180" t="str">
        <v/>
      </c>
      <c r="V84" s="180" t="str">
        <v/>
      </c>
      <c r="W84" s="180" t="str">
        <v/>
      </c>
      <c r="X84" s="180" t="str">
        <v/>
      </c>
      <c r="Y84" s="180" t="str">
        <v/>
      </c>
      <c r="Z84" s="180" t="str">
        <v/>
      </c>
      <c r="AA84" s="180" t="str">
        <v/>
      </c>
      <c r="AB84" s="180" t="str">
        <v/>
      </c>
      <c r="AC84" s="180" t="str">
        <v/>
      </c>
      <c r="AD84" s="180" t="str">
        <v/>
      </c>
      <c r="AF84" s="264">
        <v>0</v>
      </c>
      <c r="AG84" s="265" t="s">
        <v>888</v>
      </c>
      <c r="AH84" s="266">
        <v>0</v>
      </c>
      <c r="AI84" s="267">
        <v>0</v>
      </c>
    </row>
    <row r="500" spans="2:2">
      <c r="B500"/>
    </row>
    <row r="501" spans="2:2">
      <c r="B501"/>
    </row>
    <row r="502" spans="2:2">
      <c r="B502"/>
    </row>
    <row r="503" spans="2:2">
      <c r="B503"/>
    </row>
    <row r="1048576" spans="35:35">
      <c r="AI1048576" s="163">
        <f>'OMM_Buildout '!F1048508</f>
        <v>0</v>
      </c>
    </row>
  </sheetData>
  <mergeCells count="52">
    <mergeCell ref="B4:AD4"/>
    <mergeCell ref="AF5:AI6"/>
    <mergeCell ref="AF7:AI7"/>
    <mergeCell ref="B8:B18"/>
    <mergeCell ref="AF8:AI8"/>
    <mergeCell ref="AF13:AG13"/>
    <mergeCell ref="AH13:AI13"/>
    <mergeCell ref="AF15:AI15"/>
    <mergeCell ref="B19:B29"/>
    <mergeCell ref="AF19:AI19"/>
    <mergeCell ref="B63:B73"/>
    <mergeCell ref="AF63:AI63"/>
    <mergeCell ref="B74:B84"/>
    <mergeCell ref="AF74:AI74"/>
    <mergeCell ref="B30:B40"/>
    <mergeCell ref="AF30:AI30"/>
    <mergeCell ref="B41:B51"/>
    <mergeCell ref="AF41:AI41"/>
    <mergeCell ref="B52:B62"/>
    <mergeCell ref="AF52:AI52"/>
    <mergeCell ref="AF81:AI81"/>
    <mergeCell ref="AF64:AI64"/>
    <mergeCell ref="AF53:AI53"/>
    <mergeCell ref="AF42:AI42"/>
    <mergeCell ref="AF20:AI20"/>
    <mergeCell ref="AF9:AI9"/>
    <mergeCell ref="AF75:AI75"/>
    <mergeCell ref="AG77:AH77"/>
    <mergeCell ref="AG66:AH66"/>
    <mergeCell ref="AG55:AH55"/>
    <mergeCell ref="AG44:AH44"/>
    <mergeCell ref="AG33:AH33"/>
    <mergeCell ref="AG22:AH22"/>
    <mergeCell ref="AG11:AH11"/>
    <mergeCell ref="AF57:AG57"/>
    <mergeCell ref="AH57:AI57"/>
    <mergeCell ref="AF59:AI59"/>
    <mergeCell ref="AF46:AG46"/>
    <mergeCell ref="AH46:AI46"/>
    <mergeCell ref="AF48:AI48"/>
    <mergeCell ref="AF79:AG79"/>
    <mergeCell ref="AH79:AI79"/>
    <mergeCell ref="AF68:AG68"/>
    <mergeCell ref="AH68:AI68"/>
    <mergeCell ref="AF70:AI70"/>
    <mergeCell ref="AF35:AG35"/>
    <mergeCell ref="AH35:AI35"/>
    <mergeCell ref="AF37:AI37"/>
    <mergeCell ref="AF24:AG24"/>
    <mergeCell ref="AH24:AI24"/>
    <mergeCell ref="AF26:AI26"/>
    <mergeCell ref="AF31:AI31"/>
  </mergeCells>
  <conditionalFormatting sqref="C9:AD84">
    <cfRule type="expression" dxfId="35" priority="8">
      <formula>AND(C9&lt;&gt;"",LEFT(C9,1)="(",IFERROR(INDEX($AQ$6:$AQ$26,MATCH(VALUE(MID(C9,2,FIND(")",C9)-2)),$AO$6:$AO$26,0)),"")="PROJ")</formula>
    </cfRule>
    <cfRule type="expression" dxfId="34" priority="9">
      <formula>AND(C9&lt;&gt;"",LEFT(C9,1)="(",IFERROR(INDEX($AQ$6:$AQ$26,MATCH(VALUE(MID(C9,2,FIND(")",C9)-2)),$AO$6:$AO$26,0)),"")="LDG")</formula>
    </cfRule>
    <cfRule type="expression" dxfId="33" priority="10">
      <formula>AND(C9&lt;&gt;"",LEFT(C9,1)="(",IFERROR(INDEX($AQ$6:$AQ$26,MATCH(VALUE(MID(C9,2,FIND(")",C9)-2)),$AO$6:$AO$26,0)),"")="LDD")</formula>
    </cfRule>
    <cfRule type="expression" dxfId="32" priority="11">
      <formula>AND(C9&lt;&gt;"",LEFT(C9,1)="(",IFERROR(INDEX($AQ$6:$AQ$26,MATCH(VALUE(MID(C9,2,FIND(")",C9)-2)),$AO$6:$AO$26,0)),"")="ENR")</formula>
    </cfRule>
    <cfRule type="expression" dxfId="31" priority="12">
      <formula>AND(C9&lt;&gt;"",LEFT(C9,1)="(",OR(IFERROR(INDEX($AQ$6:$AQ$26,MATCH(VALUE(MID(C9,2,FIND(")",C9)-2)),$AO$6:$AO$26,0)),"")="PORT",IFERROR(INDEX($AQ$6:$AQ$26,MATCH(VALUE(MID(C9,2,FIND(")",C9)-2)),$AO$6:$AO$26,0)),"")="TRAIN"))</formula>
    </cfRule>
    <cfRule type="expression" dxfId="30" priority="13">
      <formula>AND(C9&lt;&gt;"",LEFT(C9,1)="(",IFERROR(INDEX($AQ$6:$AQ$26,MATCH(VALUE(MID(C9,2,FIND(")",C9)-2)),$AO$6:$AO$26,0)),"")="YARD")</formula>
    </cfRule>
    <cfRule type="expression" dxfId="29" priority="14">
      <formula>AND(C9&lt;&gt;"",LEFT(C9,1)="(",IFERROR(INDEX($AQ$6:$AQ$26,MATCH(VALUE(MID(C9,2,FIND(")",C9)-2)),$AO$6:$AO$26,0)),"")="DEL")</formula>
    </cfRule>
    <cfRule type="containsBlanks" dxfId="28" priority="21">
      <formula>LEN(TRIM(C9))=0</formula>
    </cfRule>
  </conditionalFormatting>
  <pageMargins left="0.7" right="0.7" top="0.75" bottom="0.75" header="0.3" footer="0.3"/>
  <pageSetup paperSize="17" scale="49" orientation="landscape" r:id="rId1"/>
  <legacyDrawing r:id="rId2"/>
  <extLst>
    <ext xmlns:x14="http://schemas.microsoft.com/office/spreadsheetml/2009/9/main" uri="{78C0D931-6437-407d-A8EE-F0AAD7539E65}">
      <x14:conditionalFormattings>
        <x14:conditionalFormatting xmlns:xm="http://schemas.microsoft.com/office/excel/2006/main">
          <x14:cfRule type="expression" priority="1" id="{810D1871-766D-493A-8699-328CF828C9BF}">
            <xm:f>_xlfn.XLOOKUP(C$8,'OMM_Unit Matrix'!$D$11:$D$207,'OMM_Unit Matrix'!$G$11:$G$207,"")="NOT IN SCOPE"</xm:f>
            <x14:dxf>
              <fill>
                <patternFill>
                  <bgColor theme="1" tint="0.499984740745262"/>
                </patternFill>
              </fill>
            </x14:dxf>
          </x14:cfRule>
          <xm:sqref>C9:AD18</xm:sqref>
        </x14:conditionalFormatting>
        <x14:conditionalFormatting xmlns:xm="http://schemas.microsoft.com/office/excel/2006/main">
          <x14:cfRule type="expression" priority="7" id="{9352ECCB-105E-4AFE-A3F6-903360BEB556}">
            <xm:f>_xlfn.XLOOKUP(C$19,'OMM_Unit Matrix'!$D$11:$D$207,'OMM_Unit Matrix'!$G$11:$G$207,"")="NOT IN SCOPE"</xm:f>
            <x14:dxf>
              <fill>
                <patternFill>
                  <bgColor theme="1" tint="0.499984740745262"/>
                </patternFill>
              </fill>
            </x14:dxf>
          </x14:cfRule>
          <xm:sqref>C20:AD29</xm:sqref>
        </x14:conditionalFormatting>
        <x14:conditionalFormatting xmlns:xm="http://schemas.microsoft.com/office/excel/2006/main">
          <x14:cfRule type="expression" priority="6" id="{DF8731DC-6B99-4088-B57F-1069364C0383}">
            <xm:f>_xlfn.XLOOKUP(C$30,'OMM_Unit Matrix'!$D$11:$D$207,'OMM_Unit Matrix'!$G$11:$G$207,"")="NOT IN SCOPE"</xm:f>
            <x14:dxf>
              <fill>
                <patternFill>
                  <bgColor theme="1" tint="0.499984740745262"/>
                </patternFill>
              </fill>
            </x14:dxf>
          </x14:cfRule>
          <xm:sqref>C31:AD40</xm:sqref>
        </x14:conditionalFormatting>
        <x14:conditionalFormatting xmlns:xm="http://schemas.microsoft.com/office/excel/2006/main">
          <x14:cfRule type="expression" priority="5" id="{1BD34CE5-2DDA-40AF-B745-34EF9F090168}">
            <xm:f>_xlfn.XLOOKUP(C$41,'OMM_Unit Matrix'!$D$11:$D$207,'OMM_Unit Matrix'!$G$11:$G$207,"")="NOT IN SCOPE"</xm:f>
            <x14:dxf>
              <fill>
                <patternFill>
                  <bgColor theme="1" tint="0.499984740745262"/>
                </patternFill>
              </fill>
            </x14:dxf>
          </x14:cfRule>
          <xm:sqref>C42:AD51 E46:E84</xm:sqref>
        </x14:conditionalFormatting>
        <x14:conditionalFormatting xmlns:xm="http://schemas.microsoft.com/office/excel/2006/main">
          <x14:cfRule type="expression" priority="4" id="{278005C5-E052-441E-8A9B-E0A3931D4D8A}">
            <xm:f>_xlfn.XLOOKUP(C$52,'OMM_Unit Matrix'!$D$11:$D$207,'OMM_Unit Matrix'!$G$11:$G$207,"")="NOT IN SCOPE"</xm:f>
            <x14:dxf>
              <fill>
                <patternFill>
                  <bgColor theme="1" tint="0.499984740745262"/>
                </patternFill>
              </fill>
            </x14:dxf>
          </x14:cfRule>
          <xm:sqref>C53:AD62</xm:sqref>
        </x14:conditionalFormatting>
        <x14:conditionalFormatting xmlns:xm="http://schemas.microsoft.com/office/excel/2006/main">
          <x14:cfRule type="expression" priority="3" id="{F4E34CF0-2657-439F-B99D-41027BCAA3B1}">
            <xm:f>_xlfn.XLOOKUP(C$63,'OMM_Unit Matrix'!$D$11:$D$207,'OMM_Unit Matrix'!$G$11:$G$207,"")="NOT IN SCOPE"</xm:f>
            <x14:dxf>
              <fill>
                <patternFill>
                  <bgColor theme="1" tint="0.499984740745262"/>
                </patternFill>
              </fill>
            </x14:dxf>
          </x14:cfRule>
          <xm:sqref>C64:AD73</xm:sqref>
        </x14:conditionalFormatting>
        <x14:conditionalFormatting xmlns:xm="http://schemas.microsoft.com/office/excel/2006/main">
          <x14:cfRule type="expression" priority="2" id="{DE0F7599-8CF3-4B7B-A68B-A6915B44B178}">
            <xm:f>_xlfn.XLOOKUP(C$74,'OMM_Unit Matrix'!$D$11:$D$207,'OMM_Unit Matrix'!$G$11:$G$207,"")="NOT IN SCOPE"</xm:f>
            <x14:dxf>
              <fill>
                <patternFill>
                  <bgColor theme="1" tint="0.499984740745262"/>
                </patternFill>
              </fill>
            </x14:dxf>
          </x14:cfRule>
          <xm:sqref>C75:AD84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30818-B6E2-4C7F-BB30-AD58FD3DCDF4}">
  <sheetPr>
    <tabColor theme="7"/>
    <pageSetUpPr fitToPage="1"/>
  </sheetPr>
  <dimension ref="B1:AG1048576"/>
  <sheetViews>
    <sheetView topLeftCell="S21" zoomScale="70" zoomScaleNormal="70" zoomScaleSheetLayoutView="50" workbookViewId="0">
      <selection activeCell="AJ43" sqref="AJ43"/>
    </sheetView>
  </sheetViews>
  <sheetFormatPr defaultColWidth="8.75" defaultRowHeight="13.9"/>
  <cols>
    <col min="1" max="1" width="4.875" style="140" customWidth="1"/>
    <col min="2" max="2" width="9.75" style="140" customWidth="1"/>
    <col min="3" max="30" width="8.75" style="140" customWidth="1"/>
    <col min="31" max="31" width="4" style="140" customWidth="1"/>
    <col min="32" max="32" width="19.875" style="140" customWidth="1"/>
    <col min="33" max="33" width="33.375" style="140" customWidth="1"/>
    <col min="34" max="36" width="8.75" style="140"/>
    <col min="37" max="37" width="10.75" style="140" customWidth="1"/>
    <col min="38" max="38" width="2.75" style="140" customWidth="1"/>
    <col min="39" max="39" width="14.875" style="140" customWidth="1"/>
    <col min="40" max="40" width="13.125" style="140" customWidth="1"/>
    <col min="41" max="16384" width="8.75" style="140"/>
  </cols>
  <sheetData>
    <row r="1" spans="2:33" ht="14.45" thickBot="1"/>
    <row r="2" spans="2:33" ht="21" thickBot="1">
      <c r="B2" s="88" t="s">
        <v>825</v>
      </c>
      <c r="G2" s="159"/>
      <c r="H2" s="160" t="s">
        <v>826</v>
      </c>
      <c r="J2" s="268"/>
      <c r="K2" s="160" t="s">
        <v>834</v>
      </c>
      <c r="M2" s="161"/>
      <c r="N2" s="160" t="s">
        <v>895</v>
      </c>
      <c r="Q2" s="162"/>
      <c r="R2" s="160" t="s">
        <v>896</v>
      </c>
      <c r="U2" s="177"/>
      <c r="V2" s="160" t="s">
        <v>897</v>
      </c>
    </row>
    <row r="3" spans="2:33">
      <c r="B3" s="142" t="s">
        <v>898</v>
      </c>
      <c r="C3" s="141"/>
      <c r="D3" s="141"/>
      <c r="E3" s="141"/>
    </row>
    <row r="5" spans="2:33" ht="15" customHeight="1">
      <c r="B5" s="145" t="s">
        <v>38</v>
      </c>
      <c r="C5" s="145" t="s">
        <v>837</v>
      </c>
      <c r="D5" s="145" t="s">
        <v>838</v>
      </c>
      <c r="E5" s="145" t="s">
        <v>839</v>
      </c>
      <c r="F5" s="145" t="s">
        <v>839</v>
      </c>
      <c r="G5" s="145" t="s">
        <v>838</v>
      </c>
      <c r="H5" s="145" t="s">
        <v>840</v>
      </c>
      <c r="I5" s="145" t="s">
        <v>841</v>
      </c>
      <c r="J5" s="145" t="s">
        <v>842</v>
      </c>
      <c r="K5" s="145" t="s">
        <v>843</v>
      </c>
      <c r="L5" s="145" t="s">
        <v>844</v>
      </c>
      <c r="M5" s="145" t="s">
        <v>844</v>
      </c>
      <c r="N5" s="145" t="s">
        <v>845</v>
      </c>
      <c r="O5" s="145" t="s">
        <v>846</v>
      </c>
      <c r="P5" s="145" t="s">
        <v>847</v>
      </c>
      <c r="Q5" s="145" t="s">
        <v>848</v>
      </c>
      <c r="R5" s="145" t="s">
        <v>849</v>
      </c>
      <c r="S5" s="145" t="s">
        <v>850</v>
      </c>
      <c r="T5" s="145" t="s">
        <v>851</v>
      </c>
      <c r="U5" s="145" t="s">
        <v>852</v>
      </c>
      <c r="V5" s="145" t="s">
        <v>853</v>
      </c>
      <c r="W5" s="145" t="s">
        <v>854</v>
      </c>
      <c r="X5" s="145" t="s">
        <v>855</v>
      </c>
      <c r="Y5" s="145" t="s">
        <v>856</v>
      </c>
      <c r="Z5" s="145" t="s">
        <v>857</v>
      </c>
      <c r="AA5" s="145" t="s">
        <v>858</v>
      </c>
      <c r="AB5" s="145" t="s">
        <v>859</v>
      </c>
      <c r="AC5" s="145" t="s">
        <v>860</v>
      </c>
      <c r="AD5" s="145" t="s">
        <v>861</v>
      </c>
      <c r="AF5" s="297" t="s">
        <v>862</v>
      </c>
      <c r="AG5" s="297"/>
    </row>
    <row r="6" spans="2:33" ht="13.9" customHeight="1">
      <c r="B6" s="145" t="s">
        <v>752</v>
      </c>
      <c r="C6" s="145" t="s">
        <v>813</v>
      </c>
      <c r="D6" s="145" t="s">
        <v>814</v>
      </c>
      <c r="E6" s="145" t="s">
        <v>815</v>
      </c>
      <c r="F6" s="145" t="s">
        <v>816</v>
      </c>
      <c r="G6" s="145" t="s">
        <v>817</v>
      </c>
      <c r="H6" s="145" t="s">
        <v>818</v>
      </c>
      <c r="I6" s="145" t="s">
        <v>819</v>
      </c>
      <c r="J6" s="145" t="s">
        <v>820</v>
      </c>
      <c r="K6" s="145" t="s">
        <v>821</v>
      </c>
      <c r="L6" s="145" t="s">
        <v>822</v>
      </c>
      <c r="M6" s="145" t="s">
        <v>823</v>
      </c>
      <c r="N6" s="145" t="s">
        <v>824</v>
      </c>
      <c r="O6" s="145" t="s">
        <v>863</v>
      </c>
      <c r="P6" s="145" t="s">
        <v>864</v>
      </c>
      <c r="Q6" s="145" t="s">
        <v>865</v>
      </c>
      <c r="R6" s="145" t="s">
        <v>866</v>
      </c>
      <c r="S6" s="145" t="s">
        <v>867</v>
      </c>
      <c r="T6" s="145" t="s">
        <v>868</v>
      </c>
      <c r="U6" s="145" t="s">
        <v>869</v>
      </c>
      <c r="V6" s="145" t="s">
        <v>870</v>
      </c>
      <c r="W6" s="145" t="s">
        <v>871</v>
      </c>
      <c r="X6" s="145" t="s">
        <v>872</v>
      </c>
      <c r="Y6" s="145" t="s">
        <v>873</v>
      </c>
      <c r="Z6" s="145" t="s">
        <v>874</v>
      </c>
      <c r="AA6" s="145" t="s">
        <v>875</v>
      </c>
      <c r="AB6" s="145" t="s">
        <v>876</v>
      </c>
      <c r="AC6" s="145" t="s">
        <v>877</v>
      </c>
      <c r="AD6" s="145" t="s">
        <v>878</v>
      </c>
      <c r="AF6" s="297"/>
      <c r="AG6" s="297"/>
    </row>
    <row r="7" spans="2:33" ht="16.899999999999999" customHeight="1" thickBot="1">
      <c r="B7" s="145" t="s">
        <v>879</v>
      </c>
      <c r="C7" s="143"/>
      <c r="D7" s="143"/>
      <c r="E7" s="143"/>
      <c r="F7" s="143"/>
      <c r="G7" s="155"/>
      <c r="H7" s="155"/>
      <c r="I7" s="143"/>
      <c r="J7" s="155"/>
      <c r="K7" s="155"/>
      <c r="L7" s="155"/>
      <c r="M7" s="155"/>
      <c r="N7" s="143"/>
      <c r="O7" s="143"/>
      <c r="P7" s="143"/>
      <c r="Q7" s="143"/>
      <c r="R7" s="143"/>
      <c r="S7" s="143"/>
      <c r="T7" s="143"/>
      <c r="U7" s="155"/>
      <c r="V7" s="155"/>
      <c r="W7" s="143"/>
      <c r="X7" s="143"/>
      <c r="Y7" s="143"/>
      <c r="Z7" s="143"/>
      <c r="AA7" s="155"/>
      <c r="AB7" s="155"/>
      <c r="AC7" s="143"/>
      <c r="AD7" s="143"/>
      <c r="AF7" s="298"/>
      <c r="AG7" s="298"/>
    </row>
    <row r="8" spans="2:33" ht="18" customHeight="1">
      <c r="B8" s="289">
        <v>8</v>
      </c>
      <c r="C8" s="144" cm="1">
        <f t="array" ref="C8:AD84">'[1]OMM_Building Matrix'!$C$8:$AD$84</f>
        <v>8001</v>
      </c>
      <c r="D8" s="144">
        <v>8002</v>
      </c>
      <c r="E8" s="144">
        <v>8003</v>
      </c>
      <c r="F8" s="146">
        <v>8004</v>
      </c>
      <c r="G8" s="149">
        <v>8005</v>
      </c>
      <c r="H8" s="151">
        <v>8006</v>
      </c>
      <c r="I8" s="152">
        <v>8007</v>
      </c>
      <c r="J8" s="149">
        <v>8008</v>
      </c>
      <c r="K8" s="151">
        <v>8009</v>
      </c>
      <c r="L8" s="149">
        <v>8010</v>
      </c>
      <c r="M8" s="151">
        <v>8011</v>
      </c>
      <c r="N8" s="147">
        <v>8012</v>
      </c>
      <c r="O8" s="144">
        <v>8013</v>
      </c>
      <c r="P8" s="144">
        <v>8014</v>
      </c>
      <c r="Q8" s="144">
        <v>8015</v>
      </c>
      <c r="R8" s="144">
        <v>8016</v>
      </c>
      <c r="S8" s="144">
        <v>8017</v>
      </c>
      <c r="T8" s="146">
        <v>8018</v>
      </c>
      <c r="U8" s="149">
        <v>8019</v>
      </c>
      <c r="V8" s="151">
        <v>8020</v>
      </c>
      <c r="W8" s="147">
        <v>8021</v>
      </c>
      <c r="X8" s="144">
        <v>8022</v>
      </c>
      <c r="Y8" s="144">
        <v>8023</v>
      </c>
      <c r="Z8" s="146">
        <v>8024</v>
      </c>
      <c r="AA8" s="149">
        <v>8025</v>
      </c>
      <c r="AB8" s="151">
        <v>8026</v>
      </c>
      <c r="AC8" s="147">
        <v>8027</v>
      </c>
      <c r="AD8" s="144">
        <v>8028</v>
      </c>
      <c r="AF8" s="299" t="str">
        <f>IF('[1]OMM_Building Matrix'!AF8="","",'[1]OMM_Building Matrix'!AF8)</f>
        <v>8th FLOOR</v>
      </c>
      <c r="AG8" s="301"/>
    </row>
    <row r="9" spans="2:33" ht="13.9" customHeight="1">
      <c r="B9" s="293"/>
      <c r="C9" s="180" t="str">
        <v/>
      </c>
      <c r="D9" s="180" t="str">
        <v/>
      </c>
      <c r="E9" s="180" t="str">
        <v/>
      </c>
      <c r="F9" s="181" t="str">
        <v/>
      </c>
      <c r="G9" s="182" t="str">
        <v/>
      </c>
      <c r="H9" s="183" t="str">
        <v/>
      </c>
      <c r="I9" s="189" t="str">
        <v/>
      </c>
      <c r="J9" s="182" t="str">
        <v/>
      </c>
      <c r="K9" s="183" t="str">
        <v/>
      </c>
      <c r="L9" s="182" t="str">
        <v/>
      </c>
      <c r="M9" s="183" t="str">
        <v/>
      </c>
      <c r="N9" s="184" t="str">
        <v/>
      </c>
      <c r="O9" s="180" t="str">
        <v/>
      </c>
      <c r="P9" s="180" t="str">
        <v/>
      </c>
      <c r="Q9" s="180" t="str">
        <v/>
      </c>
      <c r="R9" s="180" t="str">
        <v/>
      </c>
      <c r="S9" s="180" t="str">
        <v/>
      </c>
      <c r="T9" s="181" t="str">
        <v/>
      </c>
      <c r="U9" s="182" t="str">
        <v/>
      </c>
      <c r="V9" s="183" t="str">
        <v/>
      </c>
      <c r="W9" s="184" t="str">
        <v/>
      </c>
      <c r="X9" s="180" t="str">
        <v/>
      </c>
      <c r="Y9" s="180" t="str">
        <v/>
      </c>
      <c r="Z9" s="181" t="str">
        <v/>
      </c>
      <c r="AA9" s="182" t="str">
        <v/>
      </c>
      <c r="AB9" s="183" t="str">
        <v/>
      </c>
      <c r="AC9" s="184" t="str">
        <v/>
      </c>
      <c r="AD9" s="180" t="str">
        <v/>
      </c>
      <c r="AF9" s="203" t="str">
        <f>IF('[1]OMM_Building Matrix'!AF9="","",'[1]OMM_Building Matrix'!AF9)</f>
        <v>SCOPE OF WORK:</v>
      </c>
      <c r="AG9" s="204" t="str">
        <f>IF('[1]OMM_Building Matrix'!AG9="","",'[1]OMM_Building Matrix'!AG9)</f>
        <v/>
      </c>
    </row>
    <row r="10" spans="2:33" ht="13.9" customHeight="1">
      <c r="B10" s="293"/>
      <c r="C10" s="180" t="str">
        <v/>
      </c>
      <c r="D10" s="180" t="str">
        <v/>
      </c>
      <c r="E10" s="180" t="str">
        <v/>
      </c>
      <c r="F10" s="181" t="str">
        <v/>
      </c>
      <c r="G10" s="182" t="str">
        <v/>
      </c>
      <c r="H10" s="183" t="str">
        <v/>
      </c>
      <c r="I10" s="189" t="str">
        <v/>
      </c>
      <c r="J10" s="182" t="str">
        <v/>
      </c>
      <c r="K10" s="183" t="str">
        <v/>
      </c>
      <c r="L10" s="182" t="str">
        <v/>
      </c>
      <c r="M10" s="183" t="str">
        <v/>
      </c>
      <c r="N10" s="184" t="str">
        <v/>
      </c>
      <c r="O10" s="180" t="str">
        <v/>
      </c>
      <c r="P10" s="180" t="str">
        <v/>
      </c>
      <c r="Q10" s="180" t="str">
        <v/>
      </c>
      <c r="R10" s="180" t="str">
        <v/>
      </c>
      <c r="S10" s="180" t="str">
        <v/>
      </c>
      <c r="T10" s="181" t="str">
        <v/>
      </c>
      <c r="U10" s="182" t="str">
        <v/>
      </c>
      <c r="V10" s="183" t="str">
        <v/>
      </c>
      <c r="W10" s="184" t="str">
        <v/>
      </c>
      <c r="X10" s="180" t="str">
        <v/>
      </c>
      <c r="Y10" s="180" t="str">
        <v/>
      </c>
      <c r="Z10" s="181" t="str">
        <v/>
      </c>
      <c r="AA10" s="182" t="str">
        <v/>
      </c>
      <c r="AB10" s="183" t="str">
        <v/>
      </c>
      <c r="AC10" s="184" t="str">
        <v/>
      </c>
      <c r="AD10" s="180" t="str">
        <v/>
      </c>
      <c r="AF10" s="164" t="str">
        <f>IF('[1]OMM_Building Matrix'!AF10="","",'[1]OMM_Building Matrix'!AF10)</f>
        <v>SCOPE OF WORK:</v>
      </c>
      <c r="AG10" s="178" t="str" cm="1">
        <f t="array" ref="AG10:AG11">'[1]OMM_Building Matrix'!$AG$10:$AG$11</f>
        <v>0 AREAS TO DELIVER</v>
      </c>
    </row>
    <row r="11" spans="2:33" ht="13.9" customHeight="1">
      <c r="B11" s="293"/>
      <c r="C11" s="180" t="str">
        <v/>
      </c>
      <c r="D11" s="180" t="str">
        <v/>
      </c>
      <c r="E11" s="180" t="str">
        <v/>
      </c>
      <c r="F11" s="181" t="str">
        <v/>
      </c>
      <c r="G11" s="182" t="str">
        <v/>
      </c>
      <c r="H11" s="183" t="str">
        <v/>
      </c>
      <c r="I11" s="189" t="str">
        <v/>
      </c>
      <c r="J11" s="182" t="str">
        <v/>
      </c>
      <c r="K11" s="183" t="str">
        <v/>
      </c>
      <c r="L11" s="182" t="str">
        <v/>
      </c>
      <c r="M11" s="183" t="str">
        <v/>
      </c>
      <c r="N11" s="184" t="str">
        <v/>
      </c>
      <c r="O11" s="180" t="str">
        <v/>
      </c>
      <c r="P11" s="180" t="str">
        <v/>
      </c>
      <c r="Q11" s="180" t="str">
        <v/>
      </c>
      <c r="R11" s="180" t="str">
        <v/>
      </c>
      <c r="S11" s="180" t="str">
        <v/>
      </c>
      <c r="T11" s="181" t="str">
        <v/>
      </c>
      <c r="U11" s="182" t="str">
        <v/>
      </c>
      <c r="V11" s="183" t="str">
        <v/>
      </c>
      <c r="W11" s="184" t="str">
        <v/>
      </c>
      <c r="X11" s="180" t="str">
        <v/>
      </c>
      <c r="Y11" s="180" t="str">
        <v/>
      </c>
      <c r="Z11" s="181" t="str">
        <v/>
      </c>
      <c r="AA11" s="182" t="str">
        <v/>
      </c>
      <c r="AB11" s="183" t="str">
        <v/>
      </c>
      <c r="AC11" s="184" t="str">
        <v/>
      </c>
      <c r="AD11" s="180" t="str">
        <v/>
      </c>
      <c r="AF11" s="164" t="str">
        <f>IF('[1]OMM_Building Matrix'!AF11="","",'[1]OMM_Building Matrix'!AF11)</f>
        <v>UNITS IN SCOPE:</v>
      </c>
      <c r="AG11" s="167" t="str">
        <v>0 UNITS (0 COMBO)</v>
      </c>
    </row>
    <row r="12" spans="2:33" ht="13.9" customHeight="1">
      <c r="B12" s="293"/>
      <c r="C12" s="180" t="str">
        <v/>
      </c>
      <c r="D12" s="180" t="str">
        <v/>
      </c>
      <c r="E12" s="180" t="str">
        <v/>
      </c>
      <c r="F12" s="181" t="str">
        <v/>
      </c>
      <c r="G12" s="182" t="str">
        <v/>
      </c>
      <c r="H12" s="183" t="str">
        <v/>
      </c>
      <c r="I12" s="189" t="str">
        <v/>
      </c>
      <c r="J12" s="182" t="str">
        <v/>
      </c>
      <c r="K12" s="183" t="str">
        <v/>
      </c>
      <c r="L12" s="182" t="str">
        <v/>
      </c>
      <c r="M12" s="183" t="str">
        <v/>
      </c>
      <c r="N12" s="184" t="str">
        <v/>
      </c>
      <c r="O12" s="180" t="str">
        <v/>
      </c>
      <c r="P12" s="180" t="str">
        <v/>
      </c>
      <c r="Q12" s="180" t="str">
        <v/>
      </c>
      <c r="R12" s="180" t="str">
        <v/>
      </c>
      <c r="S12" s="180" t="str">
        <v/>
      </c>
      <c r="T12" s="181" t="str">
        <v/>
      </c>
      <c r="U12" s="182" t="str">
        <v/>
      </c>
      <c r="V12" s="183" t="str">
        <v/>
      </c>
      <c r="W12" s="184" t="str">
        <v/>
      </c>
      <c r="X12" s="180" t="str">
        <v/>
      </c>
      <c r="Y12" s="180" t="str">
        <v/>
      </c>
      <c r="Z12" s="181" t="str">
        <v/>
      </c>
      <c r="AA12" s="182" t="str">
        <v/>
      </c>
      <c r="AB12" s="183" t="str">
        <v/>
      </c>
      <c r="AC12" s="184" t="str">
        <v/>
      </c>
      <c r="AD12" s="180" t="str">
        <v/>
      </c>
      <c r="AF12" s="231" t="str">
        <f>IF('[1]OMM_Building Matrix'!AF12="","",'[1]OMM_Building Matrix'!AF12)</f>
        <v>DELIVERY SCHEDULE</v>
      </c>
      <c r="AG12" s="205" t="str">
        <f>IF('[1]OMM_Building Matrix'!AG12="","",'[1]OMM_Building Matrix'!AG12)</f>
        <v/>
      </c>
    </row>
    <row r="13" spans="2:33" ht="13.9" customHeight="1">
      <c r="B13" s="293"/>
      <c r="C13" s="180" t="str">
        <v/>
      </c>
      <c r="D13" s="180" t="str">
        <v/>
      </c>
      <c r="E13" s="180" t="str">
        <v/>
      </c>
      <c r="F13" s="181" t="str">
        <v/>
      </c>
      <c r="G13" s="182" t="str">
        <v/>
      </c>
      <c r="H13" s="183" t="str">
        <v/>
      </c>
      <c r="I13" s="189" t="str">
        <v/>
      </c>
      <c r="J13" s="182" t="str">
        <v/>
      </c>
      <c r="K13" s="183" t="str">
        <v/>
      </c>
      <c r="L13" s="182" t="str">
        <v/>
      </c>
      <c r="M13" s="183" t="str">
        <v/>
      </c>
      <c r="N13" s="184" t="str">
        <v/>
      </c>
      <c r="O13" s="180" t="str">
        <v/>
      </c>
      <c r="P13" s="180" t="str">
        <v/>
      </c>
      <c r="Q13" s="180" t="str">
        <v/>
      </c>
      <c r="R13" s="180" t="str">
        <v/>
      </c>
      <c r="S13" s="180" t="str">
        <v/>
      </c>
      <c r="T13" s="181" t="str">
        <v/>
      </c>
      <c r="U13" s="182" t="str">
        <v/>
      </c>
      <c r="V13" s="183" t="str">
        <v/>
      </c>
      <c r="W13" s="184" t="str">
        <v/>
      </c>
      <c r="X13" s="180" t="str">
        <v/>
      </c>
      <c r="Y13" s="180" t="str">
        <v/>
      </c>
      <c r="Z13" s="181" t="str">
        <v/>
      </c>
      <c r="AA13" s="182" t="str">
        <v/>
      </c>
      <c r="AB13" s="183" t="str">
        <v/>
      </c>
      <c r="AC13" s="184" t="str">
        <v/>
      </c>
      <c r="AD13" s="180" t="str">
        <v/>
      </c>
      <c r="AF13" s="176" t="str" cm="1">
        <f t="array" ref="AF13:AG18">'[1]OMM_Building Matrix'!$AF$13:$AG$18</f>
        <v>DELIVERY GR 1:</v>
      </c>
      <c r="AG13" s="179">
        <v>46436</v>
      </c>
    </row>
    <row r="14" spans="2:33" ht="13.9" customHeight="1">
      <c r="B14" s="293"/>
      <c r="C14" s="180" t="str">
        <v/>
      </c>
      <c r="D14" s="180" t="str">
        <v/>
      </c>
      <c r="E14" s="180" t="str">
        <v/>
      </c>
      <c r="F14" s="181" t="str">
        <v/>
      </c>
      <c r="G14" s="182" t="str">
        <v/>
      </c>
      <c r="H14" s="183" t="str">
        <v/>
      </c>
      <c r="I14" s="189" t="str">
        <v/>
      </c>
      <c r="J14" s="182" t="str">
        <v/>
      </c>
      <c r="K14" s="183" t="str">
        <v/>
      </c>
      <c r="L14" s="182" t="str">
        <v/>
      </c>
      <c r="M14" s="183" t="str">
        <v/>
      </c>
      <c r="N14" s="184" t="str">
        <v/>
      </c>
      <c r="O14" s="180" t="str">
        <v/>
      </c>
      <c r="P14" s="180" t="str">
        <v/>
      </c>
      <c r="Q14" s="180" t="str">
        <v/>
      </c>
      <c r="R14" s="180" t="str">
        <v/>
      </c>
      <c r="S14" s="180" t="str">
        <v/>
      </c>
      <c r="T14" s="181" t="str">
        <v/>
      </c>
      <c r="U14" s="182" t="str">
        <v/>
      </c>
      <c r="V14" s="183" t="str">
        <v/>
      </c>
      <c r="W14" s="184" t="str">
        <v/>
      </c>
      <c r="X14" s="180" t="str">
        <v/>
      </c>
      <c r="Y14" s="180" t="str">
        <v/>
      </c>
      <c r="Z14" s="181" t="str">
        <v/>
      </c>
      <c r="AA14" s="182" t="str">
        <v/>
      </c>
      <c r="AB14" s="183" t="str">
        <v/>
      </c>
      <c r="AC14" s="184" t="str">
        <v/>
      </c>
      <c r="AD14" s="180" t="str">
        <v/>
      </c>
      <c r="AF14" s="165" t="str">
        <v>DELIVERY GR 2:</v>
      </c>
      <c r="AG14" s="167">
        <v>46441</v>
      </c>
    </row>
    <row r="15" spans="2:33" ht="13.9" customHeight="1">
      <c r="B15" s="293"/>
      <c r="C15" s="180" t="str">
        <v/>
      </c>
      <c r="D15" s="180" t="str">
        <v/>
      </c>
      <c r="E15" s="180" t="str">
        <v/>
      </c>
      <c r="F15" s="181" t="str">
        <v/>
      </c>
      <c r="G15" s="182" t="str">
        <v/>
      </c>
      <c r="H15" s="183" t="str">
        <v/>
      </c>
      <c r="I15" s="189" t="str">
        <v/>
      </c>
      <c r="J15" s="182" t="str">
        <v/>
      </c>
      <c r="K15" s="183" t="str">
        <v/>
      </c>
      <c r="L15" s="182" t="str">
        <v/>
      </c>
      <c r="M15" s="183" t="str">
        <v/>
      </c>
      <c r="N15" s="184" t="str">
        <v/>
      </c>
      <c r="O15" s="180" t="str">
        <v/>
      </c>
      <c r="P15" s="180" t="str">
        <v/>
      </c>
      <c r="Q15" s="180" t="str">
        <v/>
      </c>
      <c r="R15" s="180" t="str">
        <v/>
      </c>
      <c r="S15" s="180" t="str">
        <v/>
      </c>
      <c r="T15" s="181" t="str">
        <v/>
      </c>
      <c r="U15" s="182" t="str">
        <v/>
      </c>
      <c r="V15" s="183" t="str">
        <v/>
      </c>
      <c r="W15" s="184" t="str">
        <v/>
      </c>
      <c r="X15" s="180" t="str">
        <v/>
      </c>
      <c r="Y15" s="180" t="str">
        <v/>
      </c>
      <c r="Z15" s="181" t="str">
        <v/>
      </c>
      <c r="AA15" s="182" t="str">
        <v/>
      </c>
      <c r="AB15" s="183" t="str">
        <v/>
      </c>
      <c r="AC15" s="184" t="str">
        <v/>
      </c>
      <c r="AD15" s="180" t="str">
        <v/>
      </c>
      <c r="AF15" s="165" t="str">
        <v>DELIVERY GR 3:</v>
      </c>
      <c r="AG15" s="167">
        <v>46444</v>
      </c>
    </row>
    <row r="16" spans="2:33" ht="13.9" customHeight="1">
      <c r="B16" s="293"/>
      <c r="C16" s="180" t="str">
        <v/>
      </c>
      <c r="D16" s="180" t="str">
        <v/>
      </c>
      <c r="E16" s="180" t="str">
        <v/>
      </c>
      <c r="F16" s="181" t="str">
        <v/>
      </c>
      <c r="G16" s="182" t="str">
        <v/>
      </c>
      <c r="H16" s="183" t="str">
        <v/>
      </c>
      <c r="I16" s="189" t="str">
        <v/>
      </c>
      <c r="J16" s="182" t="str">
        <v/>
      </c>
      <c r="K16" s="183" t="str">
        <v/>
      </c>
      <c r="L16" s="182" t="str">
        <v/>
      </c>
      <c r="M16" s="183" t="str">
        <v/>
      </c>
      <c r="N16" s="184" t="str">
        <v/>
      </c>
      <c r="O16" s="180" t="str">
        <v/>
      </c>
      <c r="P16" s="180" t="str">
        <v/>
      </c>
      <c r="Q16" s="180" t="str">
        <v/>
      </c>
      <c r="R16" s="180" t="str">
        <v/>
      </c>
      <c r="S16" s="180" t="str">
        <v/>
      </c>
      <c r="T16" s="181" t="str">
        <v/>
      </c>
      <c r="U16" s="182" t="str">
        <v/>
      </c>
      <c r="V16" s="183" t="str">
        <v/>
      </c>
      <c r="W16" s="184" t="str">
        <v/>
      </c>
      <c r="X16" s="180" t="str">
        <v/>
      </c>
      <c r="Y16" s="180" t="str">
        <v/>
      </c>
      <c r="Z16" s="181" t="str">
        <v/>
      </c>
      <c r="AA16" s="182" t="str">
        <v/>
      </c>
      <c r="AB16" s="183" t="str">
        <v/>
      </c>
      <c r="AC16" s="184" t="str">
        <v/>
      </c>
      <c r="AD16" s="180" t="str">
        <v/>
      </c>
      <c r="AF16" s="165" t="str">
        <v>DELIVERY GR 4:</v>
      </c>
      <c r="AG16" s="167">
        <v>46449</v>
      </c>
    </row>
    <row r="17" spans="2:33" ht="13.9" customHeight="1">
      <c r="B17" s="293"/>
      <c r="C17" s="180" t="str">
        <v/>
      </c>
      <c r="D17" s="180" t="str">
        <v/>
      </c>
      <c r="E17" s="180" t="str">
        <v/>
      </c>
      <c r="F17" s="181" t="str">
        <v/>
      </c>
      <c r="G17" s="182" t="str">
        <v/>
      </c>
      <c r="H17" s="183" t="str">
        <v/>
      </c>
      <c r="I17" s="189" t="str">
        <v/>
      </c>
      <c r="J17" s="182" t="str">
        <v/>
      </c>
      <c r="K17" s="183" t="str">
        <v/>
      </c>
      <c r="L17" s="182" t="str">
        <v/>
      </c>
      <c r="M17" s="183" t="str">
        <v/>
      </c>
      <c r="N17" s="184" t="str">
        <v/>
      </c>
      <c r="O17" s="180" t="str">
        <v/>
      </c>
      <c r="P17" s="180" t="str">
        <v/>
      </c>
      <c r="Q17" s="180" t="str">
        <v/>
      </c>
      <c r="R17" s="180" t="str">
        <v/>
      </c>
      <c r="S17" s="180" t="str">
        <v/>
      </c>
      <c r="T17" s="181" t="str">
        <v/>
      </c>
      <c r="U17" s="182" t="str">
        <v/>
      </c>
      <c r="V17" s="183" t="str">
        <v/>
      </c>
      <c r="W17" s="184" t="str">
        <v/>
      </c>
      <c r="X17" s="180" t="str">
        <v/>
      </c>
      <c r="Y17" s="180" t="str">
        <v/>
      </c>
      <c r="Z17" s="181" t="str">
        <v/>
      </c>
      <c r="AA17" s="182" t="str">
        <v/>
      </c>
      <c r="AB17" s="183" t="str">
        <v/>
      </c>
      <c r="AC17" s="184" t="str">
        <v/>
      </c>
      <c r="AD17" s="180" t="str">
        <v/>
      </c>
      <c r="AF17" s="165" t="str">
        <v>DELIVERY GR 5:</v>
      </c>
      <c r="AG17" s="167">
        <v>46454</v>
      </c>
    </row>
    <row r="18" spans="2:33" ht="13.9" customHeight="1">
      <c r="B18" s="294"/>
      <c r="C18" s="180" t="str">
        <v/>
      </c>
      <c r="D18" s="180" t="str">
        <v/>
      </c>
      <c r="E18" s="180" t="str">
        <v/>
      </c>
      <c r="F18" s="181" t="str">
        <v/>
      </c>
      <c r="G18" s="185" t="str">
        <v/>
      </c>
      <c r="H18" s="187" t="str">
        <v/>
      </c>
      <c r="I18" s="189" t="str">
        <v/>
      </c>
      <c r="J18" s="185" t="str">
        <v/>
      </c>
      <c r="K18" s="187" t="str">
        <v/>
      </c>
      <c r="L18" s="185" t="str">
        <v/>
      </c>
      <c r="M18" s="187" t="str">
        <v/>
      </c>
      <c r="N18" s="184" t="str">
        <v/>
      </c>
      <c r="O18" s="180" t="str">
        <v/>
      </c>
      <c r="P18" s="180" t="str">
        <v/>
      </c>
      <c r="Q18" s="180" t="str">
        <v/>
      </c>
      <c r="R18" s="180" t="str">
        <v/>
      </c>
      <c r="S18" s="180" t="str">
        <v/>
      </c>
      <c r="T18" s="181" t="str">
        <v/>
      </c>
      <c r="U18" s="185" t="str">
        <v/>
      </c>
      <c r="V18" s="187" t="str">
        <v/>
      </c>
      <c r="W18" s="184" t="str">
        <v/>
      </c>
      <c r="X18" s="180" t="str">
        <v/>
      </c>
      <c r="Y18" s="180" t="str">
        <v/>
      </c>
      <c r="Z18" s="181" t="str">
        <v/>
      </c>
      <c r="AA18" s="185" t="str">
        <v/>
      </c>
      <c r="AB18" s="187" t="str">
        <v/>
      </c>
      <c r="AC18" s="184" t="str">
        <v/>
      </c>
      <c r="AD18" s="180" t="str">
        <v/>
      </c>
      <c r="AF18" s="166" t="str">
        <v>DELIVERY GR 6:</v>
      </c>
      <c r="AG18" s="168">
        <v>46457</v>
      </c>
    </row>
    <row r="19" spans="2:33" ht="18" customHeight="1">
      <c r="B19" s="289">
        <v>7</v>
      </c>
      <c r="C19" s="144">
        <v>7001</v>
      </c>
      <c r="D19" s="144">
        <v>7002</v>
      </c>
      <c r="E19" s="144">
        <v>7003</v>
      </c>
      <c r="F19" s="144">
        <v>7004</v>
      </c>
      <c r="G19" s="156">
        <v>7005</v>
      </c>
      <c r="H19" s="157">
        <v>7006</v>
      </c>
      <c r="I19" s="151">
        <v>7007</v>
      </c>
      <c r="J19" s="158">
        <v>7008</v>
      </c>
      <c r="K19" s="157">
        <v>7009</v>
      </c>
      <c r="L19" s="153">
        <v>7010</v>
      </c>
      <c r="M19" s="154">
        <v>7011</v>
      </c>
      <c r="N19" s="144">
        <v>7012</v>
      </c>
      <c r="O19" s="144">
        <v>7013</v>
      </c>
      <c r="P19" s="144">
        <v>7014</v>
      </c>
      <c r="Q19" s="144">
        <v>7015</v>
      </c>
      <c r="R19" s="144">
        <v>7016</v>
      </c>
      <c r="S19" s="144">
        <v>7017</v>
      </c>
      <c r="T19" s="144">
        <v>7018</v>
      </c>
      <c r="U19" s="156">
        <v>7019</v>
      </c>
      <c r="V19" s="157">
        <v>7020</v>
      </c>
      <c r="W19" s="151">
        <v>7021</v>
      </c>
      <c r="X19" s="147">
        <v>7022</v>
      </c>
      <c r="Y19" s="144">
        <v>7023</v>
      </c>
      <c r="Z19" s="144">
        <v>7024</v>
      </c>
      <c r="AA19" s="148">
        <v>7025</v>
      </c>
      <c r="AB19" s="148">
        <v>7026</v>
      </c>
      <c r="AC19" s="144">
        <v>7027</v>
      </c>
      <c r="AD19" s="144">
        <v>7028</v>
      </c>
      <c r="AF19" s="292" t="str">
        <f>IF('[1]OMM_Building Matrix'!AF19="","",'[1]OMM_Building Matrix'!AF19)</f>
        <v>7th FLOOR</v>
      </c>
      <c r="AG19" s="292"/>
    </row>
    <row r="20" spans="2:33" ht="13.9" customHeight="1">
      <c r="B20" s="290"/>
      <c r="C20" s="180" t="str">
        <v/>
      </c>
      <c r="D20" s="180" t="str">
        <v/>
      </c>
      <c r="E20" s="180" t="str">
        <v/>
      </c>
      <c r="F20" s="180" t="str">
        <v/>
      </c>
      <c r="G20" s="181" t="str">
        <v/>
      </c>
      <c r="H20" s="182" t="str">
        <v/>
      </c>
      <c r="I20" s="183" t="str">
        <v/>
      </c>
      <c r="J20" s="189" t="str">
        <v/>
      </c>
      <c r="K20" s="182" t="str">
        <v/>
      </c>
      <c r="L20" s="183" t="str">
        <v/>
      </c>
      <c r="M20" s="184" t="str">
        <v/>
      </c>
      <c r="N20" s="180" t="str">
        <v/>
      </c>
      <c r="O20" s="180" t="str">
        <v/>
      </c>
      <c r="P20" s="180" t="str">
        <v/>
      </c>
      <c r="Q20" s="180" t="str">
        <v/>
      </c>
      <c r="R20" s="180" t="str">
        <v/>
      </c>
      <c r="S20" s="180" t="str">
        <v/>
      </c>
      <c r="T20" s="180" t="str">
        <v/>
      </c>
      <c r="U20" s="181" t="str">
        <v/>
      </c>
      <c r="V20" s="182" t="str">
        <v/>
      </c>
      <c r="W20" s="183" t="str">
        <v/>
      </c>
      <c r="X20" s="184" t="str">
        <v/>
      </c>
      <c r="Y20" s="180" t="str">
        <v/>
      </c>
      <c r="Z20" s="180" t="str">
        <v/>
      </c>
      <c r="AA20" s="180" t="str">
        <v/>
      </c>
      <c r="AB20" s="180" t="str">
        <v/>
      </c>
      <c r="AC20" s="180" t="str">
        <v/>
      </c>
      <c r="AD20" s="180" t="str">
        <v/>
      </c>
      <c r="AF20" s="203" t="str">
        <f>IF('[1]OMM_Building Matrix'!AF20="","",'[1]OMM_Building Matrix'!AF20)</f>
        <v>SCOPE OF WORK:</v>
      </c>
      <c r="AG20" s="204" t="str">
        <f>IF('[1]OMM_Building Matrix'!AG20="","",'[1]OMM_Building Matrix'!AG20)</f>
        <v/>
      </c>
    </row>
    <row r="21" spans="2:33" ht="13.9" customHeight="1">
      <c r="B21" s="290"/>
      <c r="C21" s="180" t="str">
        <v/>
      </c>
      <c r="D21" s="180" t="str">
        <v/>
      </c>
      <c r="E21" s="180" t="str">
        <v/>
      </c>
      <c r="F21" s="180" t="str">
        <v/>
      </c>
      <c r="G21" s="181" t="str">
        <v/>
      </c>
      <c r="H21" s="182" t="str">
        <v/>
      </c>
      <c r="I21" s="183" t="str">
        <v/>
      </c>
      <c r="J21" s="189" t="str">
        <v/>
      </c>
      <c r="K21" s="182" t="str">
        <v/>
      </c>
      <c r="L21" s="183" t="str">
        <v/>
      </c>
      <c r="M21" s="184" t="str">
        <v/>
      </c>
      <c r="N21" s="180" t="str">
        <v/>
      </c>
      <c r="O21" s="180" t="str">
        <v/>
      </c>
      <c r="P21" s="180" t="str">
        <v/>
      </c>
      <c r="Q21" s="180" t="str">
        <v/>
      </c>
      <c r="R21" s="180" t="str">
        <v/>
      </c>
      <c r="S21" s="180" t="str">
        <v/>
      </c>
      <c r="T21" s="180" t="str">
        <v/>
      </c>
      <c r="U21" s="181" t="str">
        <v/>
      </c>
      <c r="V21" s="182" t="str">
        <v/>
      </c>
      <c r="W21" s="183" t="str">
        <v/>
      </c>
      <c r="X21" s="184" t="str">
        <v/>
      </c>
      <c r="Y21" s="180" t="str">
        <v/>
      </c>
      <c r="Z21" s="180" t="str">
        <v/>
      </c>
      <c r="AA21" s="180" t="str">
        <v/>
      </c>
      <c r="AB21" s="180" t="str">
        <v/>
      </c>
      <c r="AC21" s="180" t="str">
        <v/>
      </c>
      <c r="AD21" s="180" t="str">
        <v/>
      </c>
      <c r="AF21" s="164" t="str">
        <f>IF('[1]OMM_Building Matrix'!AF21="","",'[1]OMM_Building Matrix'!AF21)</f>
        <v>SCOPE OF WORK:</v>
      </c>
      <c r="AG21" s="178" t="str" cm="1">
        <f t="array" ref="AG21:AG22">'[1]OMM_Building Matrix'!$AG$21:$AG$22</f>
        <v>0 AREAS TO DELIVER</v>
      </c>
    </row>
    <row r="22" spans="2:33" ht="13.9" customHeight="1">
      <c r="B22" s="290"/>
      <c r="C22" s="180" t="str">
        <v/>
      </c>
      <c r="D22" s="180" t="str">
        <v/>
      </c>
      <c r="E22" s="180" t="str">
        <v/>
      </c>
      <c r="F22" s="180" t="str">
        <v/>
      </c>
      <c r="G22" s="181" t="str">
        <v/>
      </c>
      <c r="H22" s="182" t="str">
        <v/>
      </c>
      <c r="I22" s="183" t="str">
        <v/>
      </c>
      <c r="J22" s="189" t="str">
        <v/>
      </c>
      <c r="K22" s="182" t="str">
        <v/>
      </c>
      <c r="L22" s="183" t="str">
        <v/>
      </c>
      <c r="M22" s="184" t="str">
        <v/>
      </c>
      <c r="N22" s="180" t="str">
        <v/>
      </c>
      <c r="O22" s="180" t="str">
        <v/>
      </c>
      <c r="P22" s="180" t="str">
        <v/>
      </c>
      <c r="Q22" s="180" t="str">
        <v/>
      </c>
      <c r="R22" s="180" t="str">
        <v/>
      </c>
      <c r="S22" s="180" t="str">
        <v/>
      </c>
      <c r="T22" s="180" t="str">
        <v/>
      </c>
      <c r="U22" s="181" t="str">
        <v/>
      </c>
      <c r="V22" s="182" t="str">
        <v/>
      </c>
      <c r="W22" s="183" t="str">
        <v/>
      </c>
      <c r="X22" s="184" t="str">
        <v/>
      </c>
      <c r="Y22" s="180" t="str">
        <v/>
      </c>
      <c r="Z22" s="180" t="str">
        <v/>
      </c>
      <c r="AA22" s="180" t="str">
        <v/>
      </c>
      <c r="AB22" s="180" t="str">
        <v/>
      </c>
      <c r="AC22" s="180" t="str">
        <v/>
      </c>
      <c r="AD22" s="180" t="str">
        <v/>
      </c>
      <c r="AF22" s="164" t="str">
        <f>IF('[1]OMM_Building Matrix'!AF22="","",'[1]OMM_Building Matrix'!AF22)</f>
        <v>UNITS IN SCOPE:</v>
      </c>
      <c r="AG22" s="167" t="str">
        <v>0 UNITS (0 COMBO)</v>
      </c>
    </row>
    <row r="23" spans="2:33" ht="13.9" customHeight="1">
      <c r="B23" s="290"/>
      <c r="C23" s="180" t="str">
        <v/>
      </c>
      <c r="D23" s="180" t="str">
        <v/>
      </c>
      <c r="E23" s="180" t="str">
        <v/>
      </c>
      <c r="F23" s="180" t="str">
        <v/>
      </c>
      <c r="G23" s="181" t="str">
        <v/>
      </c>
      <c r="H23" s="182" t="str">
        <v/>
      </c>
      <c r="I23" s="183" t="str">
        <v/>
      </c>
      <c r="J23" s="189" t="str">
        <v/>
      </c>
      <c r="K23" s="182" t="str">
        <v/>
      </c>
      <c r="L23" s="183" t="str">
        <v/>
      </c>
      <c r="M23" s="184" t="str">
        <v/>
      </c>
      <c r="N23" s="180" t="str">
        <v/>
      </c>
      <c r="O23" s="180" t="str">
        <v/>
      </c>
      <c r="P23" s="180" t="str">
        <v/>
      </c>
      <c r="Q23" s="180" t="str">
        <v/>
      </c>
      <c r="R23" s="180" t="str">
        <v/>
      </c>
      <c r="S23" s="180" t="str">
        <v/>
      </c>
      <c r="T23" s="180" t="str">
        <v/>
      </c>
      <c r="U23" s="181" t="str">
        <v/>
      </c>
      <c r="V23" s="182" t="str">
        <v/>
      </c>
      <c r="W23" s="183" t="str">
        <v/>
      </c>
      <c r="X23" s="184" t="str">
        <v/>
      </c>
      <c r="Y23" s="180" t="str">
        <v/>
      </c>
      <c r="Z23" s="180" t="str">
        <v/>
      </c>
      <c r="AA23" s="180" t="str">
        <v/>
      </c>
      <c r="AB23" s="180" t="str">
        <v/>
      </c>
      <c r="AC23" s="180" t="str">
        <v/>
      </c>
      <c r="AD23" s="180" t="str">
        <v/>
      </c>
      <c r="AF23" s="231" t="str">
        <f>IF('[1]OMM_Building Matrix'!AF23="","",'[1]OMM_Building Matrix'!AF23)</f>
        <v>DELIVERY SCHEDULE</v>
      </c>
      <c r="AG23" s="232" t="str">
        <f>IF('[1]OMM_Building Matrix'!AG23="","",'[1]OMM_Building Matrix'!AG23)</f>
        <v/>
      </c>
    </row>
    <row r="24" spans="2:33" ht="13.9" customHeight="1">
      <c r="B24" s="290"/>
      <c r="C24" s="180" t="str">
        <v/>
      </c>
      <c r="D24" s="180" t="str">
        <v/>
      </c>
      <c r="E24" s="180" t="str">
        <v/>
      </c>
      <c r="F24" s="180" t="str">
        <v/>
      </c>
      <c r="G24" s="181" t="str">
        <v/>
      </c>
      <c r="H24" s="182" t="str">
        <v/>
      </c>
      <c r="I24" s="183" t="str">
        <v/>
      </c>
      <c r="J24" s="189" t="str">
        <v/>
      </c>
      <c r="K24" s="182" t="str">
        <v/>
      </c>
      <c r="L24" s="183" t="str">
        <v/>
      </c>
      <c r="M24" s="184" t="str">
        <v/>
      </c>
      <c r="N24" s="180" t="str">
        <v/>
      </c>
      <c r="O24" s="180" t="str">
        <v/>
      </c>
      <c r="P24" s="180" t="str">
        <v/>
      </c>
      <c r="Q24" s="180" t="str">
        <v/>
      </c>
      <c r="R24" s="180" t="str">
        <v/>
      </c>
      <c r="S24" s="180" t="str">
        <v/>
      </c>
      <c r="T24" s="180" t="str">
        <v/>
      </c>
      <c r="U24" s="181" t="str">
        <v/>
      </c>
      <c r="V24" s="182" t="str">
        <v/>
      </c>
      <c r="W24" s="183" t="str">
        <v/>
      </c>
      <c r="X24" s="184" t="str">
        <v/>
      </c>
      <c r="Y24" s="180" t="str">
        <v/>
      </c>
      <c r="Z24" s="180" t="str">
        <v/>
      </c>
      <c r="AA24" s="180" t="str">
        <v/>
      </c>
      <c r="AB24" s="180" t="str">
        <v/>
      </c>
      <c r="AC24" s="180" t="str">
        <v/>
      </c>
      <c r="AD24" s="180" t="str">
        <v/>
      </c>
      <c r="AF24" s="176" t="str" cm="1">
        <f t="array" ref="AF24:AG29">'[1]OMM_Building Matrix'!$AF$24:$AG$29</f>
        <v>DELIVERY GR 1:</v>
      </c>
      <c r="AG24" s="179">
        <v>46412</v>
      </c>
    </row>
    <row r="25" spans="2:33" ht="13.9" customHeight="1">
      <c r="B25" s="290"/>
      <c r="C25" s="180" t="str">
        <v/>
      </c>
      <c r="D25" s="180" t="str">
        <v/>
      </c>
      <c r="E25" s="180" t="str">
        <v/>
      </c>
      <c r="F25" s="180" t="str">
        <v/>
      </c>
      <c r="G25" s="181" t="str">
        <v/>
      </c>
      <c r="H25" s="182" t="str">
        <v/>
      </c>
      <c r="I25" s="183" t="str">
        <v/>
      </c>
      <c r="J25" s="189" t="str">
        <v/>
      </c>
      <c r="K25" s="182" t="str">
        <v/>
      </c>
      <c r="L25" s="183" t="str">
        <v/>
      </c>
      <c r="M25" s="184" t="str">
        <v/>
      </c>
      <c r="N25" s="180" t="str">
        <v/>
      </c>
      <c r="O25" s="180" t="str">
        <v/>
      </c>
      <c r="P25" s="180" t="str">
        <v/>
      </c>
      <c r="Q25" s="180" t="str">
        <v/>
      </c>
      <c r="R25" s="180" t="str">
        <v/>
      </c>
      <c r="S25" s="180" t="str">
        <v/>
      </c>
      <c r="T25" s="180" t="str">
        <v/>
      </c>
      <c r="U25" s="181" t="str">
        <v/>
      </c>
      <c r="V25" s="182" t="str">
        <v/>
      </c>
      <c r="W25" s="183" t="str">
        <v/>
      </c>
      <c r="X25" s="184" t="str">
        <v/>
      </c>
      <c r="Y25" s="180" t="str">
        <v/>
      </c>
      <c r="Z25" s="180" t="str">
        <v/>
      </c>
      <c r="AA25" s="180" t="str">
        <v/>
      </c>
      <c r="AB25" s="180" t="str">
        <v/>
      </c>
      <c r="AC25" s="180" t="str">
        <v/>
      </c>
      <c r="AD25" s="180" t="str">
        <v/>
      </c>
      <c r="AF25" s="165" t="str">
        <v>DELIVERY GR 2:</v>
      </c>
      <c r="AG25" s="167">
        <v>46415</v>
      </c>
    </row>
    <row r="26" spans="2:33" ht="13.9" customHeight="1">
      <c r="B26" s="290"/>
      <c r="C26" s="180" t="str">
        <v/>
      </c>
      <c r="D26" s="180" t="str">
        <v/>
      </c>
      <c r="E26" s="180" t="str">
        <v/>
      </c>
      <c r="F26" s="180" t="str">
        <v/>
      </c>
      <c r="G26" s="181" t="str">
        <v/>
      </c>
      <c r="H26" s="182" t="str">
        <v/>
      </c>
      <c r="I26" s="183" t="str">
        <v/>
      </c>
      <c r="J26" s="189" t="str">
        <v/>
      </c>
      <c r="K26" s="182" t="str">
        <v/>
      </c>
      <c r="L26" s="183" t="str">
        <v/>
      </c>
      <c r="M26" s="184" t="str">
        <v/>
      </c>
      <c r="N26" s="180" t="str">
        <v/>
      </c>
      <c r="O26" s="180" t="str">
        <v/>
      </c>
      <c r="P26" s="180" t="str">
        <v/>
      </c>
      <c r="Q26" s="180" t="str">
        <v/>
      </c>
      <c r="R26" s="180" t="str">
        <v/>
      </c>
      <c r="S26" s="180" t="str">
        <v/>
      </c>
      <c r="T26" s="180" t="str">
        <v/>
      </c>
      <c r="U26" s="181" t="str">
        <v/>
      </c>
      <c r="V26" s="182" t="str">
        <v/>
      </c>
      <c r="W26" s="183" t="str">
        <v/>
      </c>
      <c r="X26" s="184" t="str">
        <v/>
      </c>
      <c r="Y26" s="180" t="str">
        <v/>
      </c>
      <c r="Z26" s="180" t="str">
        <v/>
      </c>
      <c r="AA26" s="180" t="str">
        <v/>
      </c>
      <c r="AB26" s="180" t="str">
        <v/>
      </c>
      <c r="AC26" s="180" t="str">
        <v/>
      </c>
      <c r="AD26" s="180" t="str">
        <v/>
      </c>
      <c r="AF26" s="165" t="str">
        <v>DELIVERY GR 3:</v>
      </c>
      <c r="AG26" s="167">
        <v>46420</v>
      </c>
    </row>
    <row r="27" spans="2:33" ht="13.9" customHeight="1">
      <c r="B27" s="290"/>
      <c r="C27" s="180" t="str">
        <v/>
      </c>
      <c r="D27" s="180" t="str">
        <v/>
      </c>
      <c r="E27" s="180" t="str">
        <v/>
      </c>
      <c r="F27" s="180" t="str">
        <v/>
      </c>
      <c r="G27" s="181" t="str">
        <v/>
      </c>
      <c r="H27" s="182" t="str">
        <v/>
      </c>
      <c r="I27" s="183" t="str">
        <v/>
      </c>
      <c r="J27" s="189" t="str">
        <v/>
      </c>
      <c r="K27" s="182" t="str">
        <v/>
      </c>
      <c r="L27" s="183" t="str">
        <v/>
      </c>
      <c r="M27" s="184" t="str">
        <v/>
      </c>
      <c r="N27" s="180" t="str">
        <v/>
      </c>
      <c r="O27" s="180" t="str">
        <v/>
      </c>
      <c r="P27" s="180" t="str">
        <v/>
      </c>
      <c r="Q27" s="180" t="str">
        <v/>
      </c>
      <c r="R27" s="180" t="str">
        <v/>
      </c>
      <c r="S27" s="180" t="str">
        <v/>
      </c>
      <c r="T27" s="180" t="str">
        <v/>
      </c>
      <c r="U27" s="181" t="str">
        <v/>
      </c>
      <c r="V27" s="182" t="str">
        <v/>
      </c>
      <c r="W27" s="183" t="str">
        <v/>
      </c>
      <c r="X27" s="184" t="str">
        <v/>
      </c>
      <c r="Y27" s="180" t="str">
        <v/>
      </c>
      <c r="Z27" s="180" t="str">
        <v/>
      </c>
      <c r="AA27" s="180" t="str">
        <v/>
      </c>
      <c r="AB27" s="180" t="str">
        <v/>
      </c>
      <c r="AC27" s="180" t="str">
        <v/>
      </c>
      <c r="AD27" s="180" t="str">
        <v/>
      </c>
      <c r="AF27" s="165" t="str">
        <v>DELIVERY GR 4:</v>
      </c>
      <c r="AG27" s="167">
        <v>46423</v>
      </c>
    </row>
    <row r="28" spans="2:33" ht="13.9" customHeight="1">
      <c r="B28" s="290"/>
      <c r="C28" s="180" t="str">
        <v/>
      </c>
      <c r="D28" s="180" t="str">
        <v/>
      </c>
      <c r="E28" s="180" t="str">
        <v/>
      </c>
      <c r="F28" s="180" t="str">
        <v/>
      </c>
      <c r="G28" s="181" t="str">
        <v/>
      </c>
      <c r="H28" s="182" t="str">
        <v/>
      </c>
      <c r="I28" s="183" t="str">
        <v/>
      </c>
      <c r="J28" s="189" t="str">
        <v/>
      </c>
      <c r="K28" s="182" t="str">
        <v/>
      </c>
      <c r="L28" s="183" t="str">
        <v/>
      </c>
      <c r="M28" s="184" t="str">
        <v/>
      </c>
      <c r="N28" s="180" t="str">
        <v/>
      </c>
      <c r="O28" s="180" t="str">
        <v/>
      </c>
      <c r="P28" s="180" t="str">
        <v/>
      </c>
      <c r="Q28" s="180" t="str">
        <v/>
      </c>
      <c r="R28" s="180" t="str">
        <v/>
      </c>
      <c r="S28" s="180" t="str">
        <v/>
      </c>
      <c r="T28" s="180" t="str">
        <v/>
      </c>
      <c r="U28" s="181" t="str">
        <v/>
      </c>
      <c r="V28" s="182" t="str">
        <v/>
      </c>
      <c r="W28" s="183" t="str">
        <v/>
      </c>
      <c r="X28" s="184" t="str">
        <v/>
      </c>
      <c r="Y28" s="180" t="str">
        <v/>
      </c>
      <c r="Z28" s="180" t="str">
        <v/>
      </c>
      <c r="AA28" s="180" t="str">
        <v/>
      </c>
      <c r="AB28" s="180" t="str">
        <v/>
      </c>
      <c r="AC28" s="180" t="str">
        <v/>
      </c>
      <c r="AD28" s="180" t="str">
        <v/>
      </c>
      <c r="AF28" s="165" t="str">
        <v>DELIVERY GR 5:</v>
      </c>
      <c r="AG28" s="167">
        <v>46428</v>
      </c>
    </row>
    <row r="29" spans="2:33" ht="13.9" customHeight="1">
      <c r="B29" s="291"/>
      <c r="C29" s="180" t="str">
        <v/>
      </c>
      <c r="D29" s="188" t="str">
        <v/>
      </c>
      <c r="E29" s="188" t="str">
        <v/>
      </c>
      <c r="F29" s="180" t="str">
        <v/>
      </c>
      <c r="G29" s="181" t="str">
        <v/>
      </c>
      <c r="H29" s="185" t="str">
        <v/>
      </c>
      <c r="I29" s="187" t="str">
        <v/>
      </c>
      <c r="J29" s="189" t="str">
        <v/>
      </c>
      <c r="K29" s="185" t="str">
        <v/>
      </c>
      <c r="L29" s="187" t="str">
        <v/>
      </c>
      <c r="M29" s="184" t="str">
        <v/>
      </c>
      <c r="N29" s="180" t="str">
        <v/>
      </c>
      <c r="O29" s="180" t="str">
        <v/>
      </c>
      <c r="P29" s="180" t="str">
        <v/>
      </c>
      <c r="Q29" s="180" t="str">
        <v/>
      </c>
      <c r="R29" s="180" t="str">
        <v/>
      </c>
      <c r="S29" s="188" t="str">
        <v/>
      </c>
      <c r="T29" s="188" t="str">
        <v/>
      </c>
      <c r="U29" s="190" t="str">
        <v/>
      </c>
      <c r="V29" s="191" t="str">
        <v/>
      </c>
      <c r="W29" s="187" t="str">
        <v/>
      </c>
      <c r="X29" s="184" t="str">
        <v/>
      </c>
      <c r="Y29" s="180" t="str">
        <v/>
      </c>
      <c r="Z29" s="180" t="str">
        <v/>
      </c>
      <c r="AA29" s="180" t="str">
        <v/>
      </c>
      <c r="AB29" s="180" t="str">
        <v/>
      </c>
      <c r="AC29" s="180" t="str">
        <v/>
      </c>
      <c r="AD29" s="180" t="str">
        <v/>
      </c>
      <c r="AF29" s="166" t="str">
        <v>DELIVERY GR 6:</v>
      </c>
      <c r="AG29" s="167">
        <v>46433</v>
      </c>
    </row>
    <row r="30" spans="2:33" ht="18" customHeight="1">
      <c r="B30" s="289">
        <v>6</v>
      </c>
      <c r="C30" s="156">
        <v>6001</v>
      </c>
      <c r="D30" s="149">
        <v>6002</v>
      </c>
      <c r="E30" s="151">
        <v>6003</v>
      </c>
      <c r="F30" s="154">
        <v>6004</v>
      </c>
      <c r="G30" s="148">
        <v>6005</v>
      </c>
      <c r="H30" s="148">
        <v>6006</v>
      </c>
      <c r="I30" s="148">
        <v>6007</v>
      </c>
      <c r="J30" s="148">
        <v>6008</v>
      </c>
      <c r="K30" s="148">
        <v>6009</v>
      </c>
      <c r="L30" s="148">
        <v>6010</v>
      </c>
      <c r="M30" s="148">
        <v>6011</v>
      </c>
      <c r="N30" s="148">
        <v>6012</v>
      </c>
      <c r="O30" s="148">
        <v>6013</v>
      </c>
      <c r="P30" s="148">
        <v>6014</v>
      </c>
      <c r="Q30" s="148">
        <v>6015</v>
      </c>
      <c r="R30" s="156">
        <v>6016</v>
      </c>
      <c r="S30" s="149">
        <v>6017</v>
      </c>
      <c r="T30" s="151">
        <v>6018</v>
      </c>
      <c r="U30" s="149">
        <v>6019</v>
      </c>
      <c r="V30" s="151">
        <v>6020</v>
      </c>
      <c r="W30" s="154">
        <v>6021</v>
      </c>
      <c r="X30" s="148">
        <v>6022</v>
      </c>
      <c r="Y30" s="148">
        <v>6023</v>
      </c>
      <c r="Z30" s="148">
        <v>6024</v>
      </c>
      <c r="AA30" s="148">
        <v>6025</v>
      </c>
      <c r="AB30" s="148">
        <v>6026</v>
      </c>
      <c r="AC30" s="148">
        <v>6027</v>
      </c>
      <c r="AD30" s="148">
        <v>6028</v>
      </c>
      <c r="AF30" s="292" t="str">
        <f>IF('[1]OMM_Building Matrix'!AF30="","",'[1]OMM_Building Matrix'!AF30)</f>
        <v>6th FLOOR</v>
      </c>
      <c r="AG30" s="292"/>
    </row>
    <row r="31" spans="2:33" ht="13.9" customHeight="1">
      <c r="B31" s="290"/>
      <c r="C31" s="181" t="str">
        <v/>
      </c>
      <c r="D31" s="182" t="str">
        <v>FOYER</v>
      </c>
      <c r="E31" s="183" t="str">
        <v/>
      </c>
      <c r="F31" s="184" t="str">
        <v/>
      </c>
      <c r="G31" s="180" t="str">
        <v/>
      </c>
      <c r="H31" s="180" t="str">
        <v/>
      </c>
      <c r="I31" s="180" t="str">
        <v>FOYER</v>
      </c>
      <c r="J31" s="180" t="str">
        <v/>
      </c>
      <c r="K31" s="180" t="str">
        <v>FOYER</v>
      </c>
      <c r="L31" s="180" t="str">
        <v>FOYER</v>
      </c>
      <c r="M31" s="180" t="str">
        <v/>
      </c>
      <c r="N31" s="180" t="str">
        <v/>
      </c>
      <c r="O31" s="180" t="str">
        <v/>
      </c>
      <c r="P31" s="180" t="str">
        <v/>
      </c>
      <c r="Q31" s="180" t="str">
        <v/>
      </c>
      <c r="R31" s="181" t="str">
        <v/>
      </c>
      <c r="S31" s="182" t="str">
        <v>UTILITY ROOM</v>
      </c>
      <c r="T31" s="183" t="str">
        <v/>
      </c>
      <c r="U31" s="182" t="str">
        <v>FOYER</v>
      </c>
      <c r="V31" s="183" t="str">
        <v/>
      </c>
      <c r="W31" s="184" t="str">
        <v/>
      </c>
      <c r="X31" s="180" t="str">
        <v/>
      </c>
      <c r="Y31" s="180" t="str">
        <v/>
      </c>
      <c r="Z31" s="180" t="str">
        <v/>
      </c>
      <c r="AA31" s="180" t="str">
        <v>FOYER</v>
      </c>
      <c r="AB31" s="180" t="str">
        <v/>
      </c>
      <c r="AC31" s="180" t="str">
        <v/>
      </c>
      <c r="AD31" s="180" t="str">
        <v/>
      </c>
      <c r="AF31" s="203" t="str">
        <f>IF('[1]OMM_Building Matrix'!AF31="","",'[1]OMM_Building Matrix'!AF31)</f>
        <v>SCOPE OF WORK:</v>
      </c>
      <c r="AG31" s="204" t="str">
        <f>IF('[1]OMM_Building Matrix'!AG31="","",'[1]OMM_Building Matrix'!AG31)</f>
        <v/>
      </c>
    </row>
    <row r="32" spans="2:33" ht="13.9" customHeight="1">
      <c r="B32" s="290"/>
      <c r="C32" s="181" t="str">
        <v/>
      </c>
      <c r="D32" s="182" t="str">
        <v>UTILITY ROOM</v>
      </c>
      <c r="E32" s="183" t="str">
        <v/>
      </c>
      <c r="F32" s="184" t="str">
        <v/>
      </c>
      <c r="G32" s="180" t="str">
        <v/>
      </c>
      <c r="H32" s="180" t="str">
        <v/>
      </c>
      <c r="I32" s="180" t="str">
        <v>UTILITY ROOM</v>
      </c>
      <c r="J32" s="180" t="str">
        <v/>
      </c>
      <c r="K32" s="180" t="str">
        <v>UTILITY ROOM</v>
      </c>
      <c r="L32" s="180" t="str">
        <v>UTILITY ROOM</v>
      </c>
      <c r="M32" s="180" t="str">
        <v/>
      </c>
      <c r="N32" s="180" t="str">
        <v/>
      </c>
      <c r="O32" s="180" t="str">
        <v/>
      </c>
      <c r="P32" s="180" t="str">
        <v/>
      </c>
      <c r="Q32" s="180" t="str">
        <v/>
      </c>
      <c r="R32" s="181" t="str">
        <v/>
      </c>
      <c r="S32" s="182" t="str">
        <v>KITCHEN</v>
      </c>
      <c r="T32" s="183" t="str">
        <v/>
      </c>
      <c r="U32" s="182" t="str">
        <v>UTILITY ROOM</v>
      </c>
      <c r="V32" s="183" t="str">
        <v/>
      </c>
      <c r="W32" s="184" t="str">
        <v/>
      </c>
      <c r="X32" s="180" t="str">
        <v/>
      </c>
      <c r="Y32" s="180" t="str">
        <v/>
      </c>
      <c r="Z32" s="180" t="str">
        <v/>
      </c>
      <c r="AA32" s="180" t="str">
        <v>UTILITY ROOM</v>
      </c>
      <c r="AB32" s="180" t="str">
        <v/>
      </c>
      <c r="AC32" s="180" t="str">
        <v/>
      </c>
      <c r="AD32" s="180" t="str">
        <v/>
      </c>
      <c r="AF32" s="164" t="str">
        <f>IF('[1]OMM_Building Matrix'!AF32="","",'[1]OMM_Building Matrix'!AF32)</f>
        <v>SCOPE OF WORK:</v>
      </c>
      <c r="AG32" s="178" t="str" cm="1">
        <f t="array" ref="AG32:AG33">'[1]OMM_Building Matrix'!$AG$32:$AG$33</f>
        <v>43 AREAS TO DELIVER</v>
      </c>
    </row>
    <row r="33" spans="2:33" ht="13.9" customHeight="1">
      <c r="B33" s="290"/>
      <c r="C33" s="181" t="str">
        <v/>
      </c>
      <c r="D33" s="182" t="str">
        <v>KITCHEN</v>
      </c>
      <c r="E33" s="183" t="str">
        <v/>
      </c>
      <c r="F33" s="184" t="str">
        <v/>
      </c>
      <c r="G33" s="180" t="str">
        <v/>
      </c>
      <c r="H33" s="180" t="str">
        <v/>
      </c>
      <c r="I33" s="180" t="str">
        <v>KITCHEN</v>
      </c>
      <c r="J33" s="180" t="str">
        <v/>
      </c>
      <c r="K33" s="180" t="str">
        <v>KITCHEN</v>
      </c>
      <c r="L33" s="180" t="str">
        <v>KITCHEN</v>
      </c>
      <c r="M33" s="180" t="str">
        <v/>
      </c>
      <c r="N33" s="180" t="str">
        <v/>
      </c>
      <c r="O33" s="180" t="str">
        <v/>
      </c>
      <c r="P33" s="180" t="str">
        <v/>
      </c>
      <c r="Q33" s="180" t="str">
        <v/>
      </c>
      <c r="R33" s="181" t="str">
        <v/>
      </c>
      <c r="S33" s="182" t="str">
        <v>PRIM BATH</v>
      </c>
      <c r="T33" s="183" t="str">
        <v/>
      </c>
      <c r="U33" s="182" t="str">
        <v>BEV CENTER</v>
      </c>
      <c r="V33" s="183" t="str">
        <v/>
      </c>
      <c r="W33" s="184" t="str">
        <v/>
      </c>
      <c r="X33" s="180" t="str">
        <v/>
      </c>
      <c r="Y33" s="180" t="str">
        <v/>
      </c>
      <c r="Z33" s="180" t="str">
        <v/>
      </c>
      <c r="AA33" s="180" t="str">
        <v>KITCHEN</v>
      </c>
      <c r="AB33" s="180" t="str">
        <v/>
      </c>
      <c r="AC33" s="180" t="str">
        <v/>
      </c>
      <c r="AD33" s="180" t="str">
        <v/>
      </c>
      <c r="AF33" s="164" t="str">
        <f>IF('[1]OMM_Building Matrix'!AF33="","",'[1]OMM_Building Matrix'!AF33)</f>
        <v>UNITS IN SCOPE:</v>
      </c>
      <c r="AG33" s="167" t="str">
        <v>7 UNITS (3 COMBO)</v>
      </c>
    </row>
    <row r="34" spans="2:33" ht="13.9" customHeight="1">
      <c r="B34" s="290"/>
      <c r="C34" s="181" t="str">
        <v/>
      </c>
      <c r="D34" s="182" t="str">
        <v>PRIM BATH</v>
      </c>
      <c r="E34" s="183" t="str">
        <v/>
      </c>
      <c r="F34" s="184" t="str">
        <v/>
      </c>
      <c r="G34" s="180" t="str">
        <v/>
      </c>
      <c r="H34" s="180" t="str">
        <v/>
      </c>
      <c r="I34" s="180" t="str">
        <v>PRIM BATH</v>
      </c>
      <c r="J34" s="180" t="str">
        <v/>
      </c>
      <c r="K34" s="180" t="str">
        <v>PRIM BATH</v>
      </c>
      <c r="L34" s="180" t="str">
        <v>PRIM BATH</v>
      </c>
      <c r="M34" s="180" t="str">
        <v/>
      </c>
      <c r="N34" s="180" t="str">
        <v/>
      </c>
      <c r="O34" s="180" t="str">
        <v/>
      </c>
      <c r="P34" s="180" t="str">
        <v/>
      </c>
      <c r="Q34" s="180" t="str">
        <v/>
      </c>
      <c r="R34" s="181" t="str">
        <v/>
      </c>
      <c r="S34" s="182" t="str">
        <v>BATH 2</v>
      </c>
      <c r="T34" s="183" t="str">
        <v/>
      </c>
      <c r="U34" s="182" t="str">
        <v>KITCHEN</v>
      </c>
      <c r="V34" s="183" t="str">
        <v/>
      </c>
      <c r="W34" s="184" t="str">
        <v/>
      </c>
      <c r="X34" s="180" t="str">
        <v/>
      </c>
      <c r="Y34" s="180" t="str">
        <v/>
      </c>
      <c r="Z34" s="180" t="str">
        <v/>
      </c>
      <c r="AA34" s="180" t="str">
        <v>PRIM BATH</v>
      </c>
      <c r="AB34" s="180" t="str">
        <v/>
      </c>
      <c r="AC34" s="180" t="str">
        <v/>
      </c>
      <c r="AD34" s="180" t="str">
        <v/>
      </c>
      <c r="AF34" s="231" t="str">
        <f>IF('[1]OMM_Building Matrix'!AF34="","",'[1]OMM_Building Matrix'!AF34)</f>
        <v>DELIVERY SCHEDULE</v>
      </c>
      <c r="AG34" s="232" t="str">
        <f>IF('[1]OMM_Building Matrix'!AG34="","",'[1]OMM_Building Matrix'!AG34)</f>
        <v/>
      </c>
    </row>
    <row r="35" spans="2:33" ht="13.9" customHeight="1">
      <c r="B35" s="290"/>
      <c r="C35" s="181" t="str">
        <v/>
      </c>
      <c r="D35" s="182" t="str">
        <v>BATH 2</v>
      </c>
      <c r="E35" s="183" t="str">
        <v/>
      </c>
      <c r="F35" s="184" t="str">
        <v/>
      </c>
      <c r="G35" s="180" t="str">
        <v/>
      </c>
      <c r="H35" s="180" t="str">
        <v/>
      </c>
      <c r="I35" s="180" t="str">
        <v/>
      </c>
      <c r="J35" s="180" t="str">
        <v/>
      </c>
      <c r="K35" s="180" t="str">
        <v>PRIM BED</v>
      </c>
      <c r="L35" s="180" t="str">
        <v>BATH 2</v>
      </c>
      <c r="M35" s="180" t="str">
        <v/>
      </c>
      <c r="N35" s="180" t="str">
        <v/>
      </c>
      <c r="O35" s="180" t="str">
        <v/>
      </c>
      <c r="P35" s="180" t="str">
        <v/>
      </c>
      <c r="Q35" s="180" t="str">
        <v/>
      </c>
      <c r="R35" s="181" t="str">
        <v/>
      </c>
      <c r="S35" s="182" t="str">
        <v>BATH 3</v>
      </c>
      <c r="T35" s="183" t="str">
        <v/>
      </c>
      <c r="U35" s="182" t="str">
        <v>GREAT ROOM</v>
      </c>
      <c r="V35" s="183" t="str">
        <v/>
      </c>
      <c r="W35" s="184" t="str">
        <v/>
      </c>
      <c r="X35" s="180" t="str">
        <v/>
      </c>
      <c r="Y35" s="180" t="str">
        <v/>
      </c>
      <c r="Z35" s="180" t="str">
        <v/>
      </c>
      <c r="AA35" s="180" t="str">
        <v>BATH 2</v>
      </c>
      <c r="AB35" s="180" t="str">
        <v/>
      </c>
      <c r="AC35" s="180" t="str">
        <v/>
      </c>
      <c r="AD35" s="180" t="str">
        <v/>
      </c>
      <c r="AF35" s="176" t="str" cm="1">
        <f t="array" ref="AF35:AG40">'[1]OMM_Building Matrix'!$AF$35:$AG$40</f>
        <v>DELIVERY GR 1:</v>
      </c>
      <c r="AG35" s="179">
        <v>46384</v>
      </c>
    </row>
    <row r="36" spans="2:33" ht="13.9" customHeight="1">
      <c r="B36" s="290"/>
      <c r="C36" s="181" t="str">
        <v/>
      </c>
      <c r="D36" s="182" t="str">
        <v>BATH 3</v>
      </c>
      <c r="E36" s="183" t="str">
        <v/>
      </c>
      <c r="F36" s="184" t="str">
        <v/>
      </c>
      <c r="G36" s="180" t="str">
        <v/>
      </c>
      <c r="H36" s="180" t="str">
        <v/>
      </c>
      <c r="I36" s="180" t="str">
        <v/>
      </c>
      <c r="J36" s="180" t="str">
        <v/>
      </c>
      <c r="K36" s="180" t="str">
        <v/>
      </c>
      <c r="L36" s="180" t="str">
        <v/>
      </c>
      <c r="M36" s="180" t="str">
        <v/>
      </c>
      <c r="N36" s="180" t="str">
        <v/>
      </c>
      <c r="O36" s="180" t="str">
        <v/>
      </c>
      <c r="P36" s="180" t="str">
        <v/>
      </c>
      <c r="Q36" s="180" t="str">
        <v/>
      </c>
      <c r="R36" s="181" t="str">
        <v/>
      </c>
      <c r="S36" s="182" t="str">
        <v>BATH 4</v>
      </c>
      <c r="T36" s="183" t="str">
        <v/>
      </c>
      <c r="U36" s="182" t="str">
        <v>PRIM BATH</v>
      </c>
      <c r="V36" s="183" t="str">
        <v/>
      </c>
      <c r="W36" s="184" t="str">
        <v/>
      </c>
      <c r="X36" s="180" t="str">
        <v/>
      </c>
      <c r="Y36" s="180" t="str">
        <v/>
      </c>
      <c r="Z36" s="180" t="str">
        <v/>
      </c>
      <c r="AA36" s="180" t="str">
        <v>BED 2</v>
      </c>
      <c r="AB36" s="180" t="str">
        <v/>
      </c>
      <c r="AC36" s="180" t="str">
        <v/>
      </c>
      <c r="AD36" s="180" t="str">
        <v/>
      </c>
      <c r="AF36" s="165" t="str">
        <v>DELIVERY GR 2:</v>
      </c>
      <c r="AG36" s="167">
        <v>46391</v>
      </c>
    </row>
    <row r="37" spans="2:33" ht="13.9" customHeight="1">
      <c r="B37" s="290"/>
      <c r="C37" s="181" t="str">
        <v/>
      </c>
      <c r="D37" s="182" t="str">
        <v>BATH 4</v>
      </c>
      <c r="E37" s="183" t="str">
        <v/>
      </c>
      <c r="F37" s="184" t="str">
        <v/>
      </c>
      <c r="G37" s="180" t="str">
        <v/>
      </c>
      <c r="H37" s="180" t="str">
        <v/>
      </c>
      <c r="I37" s="180" t="str">
        <v/>
      </c>
      <c r="J37" s="180" t="str">
        <v/>
      </c>
      <c r="K37" s="180" t="str">
        <v/>
      </c>
      <c r="L37" s="180" t="str">
        <v/>
      </c>
      <c r="M37" s="180" t="str">
        <v/>
      </c>
      <c r="N37" s="180" t="str">
        <v/>
      </c>
      <c r="O37" s="180" t="str">
        <v/>
      </c>
      <c r="P37" s="180" t="str">
        <v/>
      </c>
      <c r="Q37" s="180" t="str">
        <v/>
      </c>
      <c r="R37" s="181" t="str">
        <v/>
      </c>
      <c r="S37" s="182" t="str">
        <v>BED 2</v>
      </c>
      <c r="T37" s="183" t="str">
        <v/>
      </c>
      <c r="U37" s="182" t="str">
        <v>BATH 2</v>
      </c>
      <c r="V37" s="183" t="str">
        <v/>
      </c>
      <c r="W37" s="184" t="str">
        <v/>
      </c>
      <c r="X37" s="180" t="str">
        <v/>
      </c>
      <c r="Y37" s="180" t="str">
        <v/>
      </c>
      <c r="Z37" s="180" t="str">
        <v/>
      </c>
      <c r="AA37" s="180" t="str">
        <v/>
      </c>
      <c r="AB37" s="180" t="str">
        <v/>
      </c>
      <c r="AC37" s="180" t="str">
        <v/>
      </c>
      <c r="AD37" s="180" t="str">
        <v/>
      </c>
      <c r="AF37" s="165" t="str">
        <v>DELIVERY GR 3:</v>
      </c>
      <c r="AG37" s="167">
        <v>46394</v>
      </c>
    </row>
    <row r="38" spans="2:33" ht="13.9" customHeight="1">
      <c r="B38" s="290"/>
      <c r="C38" s="181" t="str">
        <v/>
      </c>
      <c r="D38" s="182" t="str">
        <v>BED 2</v>
      </c>
      <c r="E38" s="183" t="str">
        <v/>
      </c>
      <c r="F38" s="184" t="str">
        <v/>
      </c>
      <c r="G38" s="180" t="str">
        <v/>
      </c>
      <c r="H38" s="180" t="str">
        <v/>
      </c>
      <c r="I38" s="180" t="str">
        <v/>
      </c>
      <c r="J38" s="180" t="str">
        <v/>
      </c>
      <c r="K38" s="180" t="str">
        <v/>
      </c>
      <c r="L38" s="180" t="str">
        <v/>
      </c>
      <c r="M38" s="180" t="str">
        <v/>
      </c>
      <c r="N38" s="180" t="str">
        <v/>
      </c>
      <c r="O38" s="180" t="str">
        <v/>
      </c>
      <c r="P38" s="180" t="str">
        <v/>
      </c>
      <c r="Q38" s="180" t="str">
        <v/>
      </c>
      <c r="R38" s="181" t="str">
        <v/>
      </c>
      <c r="S38" s="182" t="str">
        <v/>
      </c>
      <c r="T38" s="183" t="str">
        <v/>
      </c>
      <c r="U38" s="182" t="str">
        <v>BED 2</v>
      </c>
      <c r="V38" s="183" t="str">
        <v/>
      </c>
      <c r="W38" s="184" t="str">
        <v/>
      </c>
      <c r="X38" s="180" t="str">
        <v/>
      </c>
      <c r="Y38" s="180" t="str">
        <v/>
      </c>
      <c r="Z38" s="180" t="str">
        <v/>
      </c>
      <c r="AA38" s="180" t="str">
        <v/>
      </c>
      <c r="AB38" s="180" t="str">
        <v/>
      </c>
      <c r="AC38" s="180" t="str">
        <v/>
      </c>
      <c r="AD38" s="180" t="str">
        <v/>
      </c>
      <c r="AF38" s="165" t="str">
        <v>DELIVERY GR 4:</v>
      </c>
      <c r="AG38" s="167">
        <v>46399</v>
      </c>
    </row>
    <row r="39" spans="2:33" ht="13.9" customHeight="1">
      <c r="B39" s="290"/>
      <c r="C39" s="181" t="str">
        <v/>
      </c>
      <c r="D39" s="182" t="str">
        <v/>
      </c>
      <c r="E39" s="183" t="str">
        <v/>
      </c>
      <c r="F39" s="184" t="str">
        <v/>
      </c>
      <c r="G39" s="180" t="str">
        <v/>
      </c>
      <c r="H39" s="180" t="str">
        <v/>
      </c>
      <c r="I39" s="180" t="str">
        <v/>
      </c>
      <c r="J39" s="180" t="str">
        <v/>
      </c>
      <c r="K39" s="180" t="str">
        <v/>
      </c>
      <c r="L39" s="180" t="str">
        <v/>
      </c>
      <c r="M39" s="180" t="str">
        <v/>
      </c>
      <c r="N39" s="180" t="str">
        <v/>
      </c>
      <c r="O39" s="180" t="str">
        <v/>
      </c>
      <c r="P39" s="180" t="str">
        <v/>
      </c>
      <c r="Q39" s="180" t="str">
        <v/>
      </c>
      <c r="R39" s="181" t="str">
        <v/>
      </c>
      <c r="S39" s="182" t="str">
        <v/>
      </c>
      <c r="T39" s="183" t="str">
        <v/>
      </c>
      <c r="U39" s="182" t="str">
        <v/>
      </c>
      <c r="V39" s="183" t="str">
        <v/>
      </c>
      <c r="W39" s="184" t="str">
        <v/>
      </c>
      <c r="X39" s="180" t="str">
        <v/>
      </c>
      <c r="Y39" s="180" t="str">
        <v/>
      </c>
      <c r="Z39" s="180" t="str">
        <v/>
      </c>
      <c r="AA39" s="180" t="str">
        <v/>
      </c>
      <c r="AB39" s="180" t="str">
        <v/>
      </c>
      <c r="AC39" s="180" t="str">
        <v/>
      </c>
      <c r="AD39" s="180" t="str">
        <v/>
      </c>
      <c r="AF39" s="165" t="str">
        <v>DELIVERY GR 5:</v>
      </c>
      <c r="AG39" s="167">
        <v>46402</v>
      </c>
    </row>
    <row r="40" spans="2:33" ht="13.9" customHeight="1">
      <c r="B40" s="291"/>
      <c r="C40" s="181" t="str">
        <v/>
      </c>
      <c r="D40" s="185" t="str">
        <v/>
      </c>
      <c r="E40" s="187" t="str">
        <v/>
      </c>
      <c r="F40" s="184" t="str">
        <v/>
      </c>
      <c r="G40" s="180" t="str">
        <v/>
      </c>
      <c r="H40" s="180" t="str">
        <v/>
      </c>
      <c r="I40" s="180" t="str">
        <v/>
      </c>
      <c r="J40" s="188" t="str">
        <v/>
      </c>
      <c r="K40" s="188" t="str">
        <v/>
      </c>
      <c r="L40" s="180" t="str">
        <v/>
      </c>
      <c r="M40" s="180" t="str">
        <v/>
      </c>
      <c r="N40" s="180" t="str">
        <v/>
      </c>
      <c r="O40" s="180" t="str">
        <v/>
      </c>
      <c r="P40" s="180" t="str">
        <v/>
      </c>
      <c r="Q40" s="180" t="str">
        <v/>
      </c>
      <c r="R40" s="181" t="str">
        <v/>
      </c>
      <c r="S40" s="185" t="str">
        <v/>
      </c>
      <c r="T40" s="187" t="str">
        <v/>
      </c>
      <c r="U40" s="185" t="str">
        <v/>
      </c>
      <c r="V40" s="187" t="str">
        <v/>
      </c>
      <c r="W40" s="184" t="str">
        <v/>
      </c>
      <c r="X40" s="180" t="str">
        <v/>
      </c>
      <c r="Y40" s="180" t="str">
        <v/>
      </c>
      <c r="Z40" s="180" t="str">
        <v/>
      </c>
      <c r="AA40" s="180" t="str">
        <v/>
      </c>
      <c r="AB40" s="180" t="str">
        <v/>
      </c>
      <c r="AC40" s="180" t="str">
        <v/>
      </c>
      <c r="AD40" s="180" t="str">
        <v/>
      </c>
      <c r="AF40" s="166" t="str">
        <v>DELIVERY GR 6:</v>
      </c>
      <c r="AG40" s="167">
        <v>46407</v>
      </c>
    </row>
    <row r="41" spans="2:33" ht="18" customHeight="1">
      <c r="B41" s="289">
        <v>5</v>
      </c>
      <c r="C41" s="148">
        <v>5001</v>
      </c>
      <c r="D41" s="148">
        <v>5002</v>
      </c>
      <c r="E41" s="148">
        <v>5003</v>
      </c>
      <c r="F41" s="148">
        <v>5004</v>
      </c>
      <c r="G41" s="148">
        <v>5005</v>
      </c>
      <c r="H41" s="148">
        <v>5006</v>
      </c>
      <c r="I41" s="156">
        <v>5007</v>
      </c>
      <c r="J41" s="149">
        <v>5008</v>
      </c>
      <c r="K41" s="151">
        <v>5009</v>
      </c>
      <c r="L41" s="154">
        <v>5010</v>
      </c>
      <c r="M41" s="148">
        <v>5011</v>
      </c>
      <c r="N41" s="148">
        <v>5012</v>
      </c>
      <c r="O41" s="148">
        <v>5013</v>
      </c>
      <c r="P41" s="148">
        <v>5014</v>
      </c>
      <c r="Q41" s="148">
        <v>5015</v>
      </c>
      <c r="R41" s="148">
        <v>5016</v>
      </c>
      <c r="S41" s="148">
        <v>5017</v>
      </c>
      <c r="T41" s="148">
        <v>5018</v>
      </c>
      <c r="U41" s="148">
        <v>5019</v>
      </c>
      <c r="V41" s="148">
        <v>5020</v>
      </c>
      <c r="W41" s="148">
        <v>5021</v>
      </c>
      <c r="X41" s="148">
        <v>5022</v>
      </c>
      <c r="Y41" s="148">
        <v>5023</v>
      </c>
      <c r="Z41" s="148">
        <v>5024</v>
      </c>
      <c r="AA41" s="148">
        <v>5025</v>
      </c>
      <c r="AB41" s="148">
        <v>5026</v>
      </c>
      <c r="AC41" s="148">
        <v>5027</v>
      </c>
      <c r="AD41" s="148">
        <v>5028</v>
      </c>
      <c r="AF41" s="292" t="str">
        <f>IF('[1]OMM_Building Matrix'!AF41="","",'[1]OMM_Building Matrix'!AF41)</f>
        <v>5th FLOOR</v>
      </c>
      <c r="AG41" s="292"/>
    </row>
    <row r="42" spans="2:33" ht="13.9" customHeight="1">
      <c r="B42" s="290"/>
      <c r="C42" s="180" t="str">
        <v/>
      </c>
      <c r="D42" s="180" t="str">
        <v/>
      </c>
      <c r="E42" s="180" t="str">
        <v/>
      </c>
      <c r="F42" s="180" t="str">
        <v/>
      </c>
      <c r="G42" s="180" t="str">
        <v/>
      </c>
      <c r="H42" s="180" t="str">
        <v/>
      </c>
      <c r="I42" s="181" t="str">
        <v/>
      </c>
      <c r="J42" s="182" t="str">
        <v>FOYER</v>
      </c>
      <c r="K42" s="183" t="str">
        <v/>
      </c>
      <c r="L42" s="184" t="str">
        <v/>
      </c>
      <c r="M42" s="180" t="str">
        <v/>
      </c>
      <c r="N42" s="180" t="str">
        <v/>
      </c>
      <c r="O42" s="180" t="str">
        <v/>
      </c>
      <c r="P42" s="180" t="str">
        <v/>
      </c>
      <c r="Q42" s="180" t="str">
        <v/>
      </c>
      <c r="R42" s="180" t="str">
        <v/>
      </c>
      <c r="S42" s="180" t="str">
        <v/>
      </c>
      <c r="T42" s="180" t="str">
        <v/>
      </c>
      <c r="U42" s="180" t="str">
        <v>FOYER</v>
      </c>
      <c r="V42" s="180" t="str">
        <v>FOYER</v>
      </c>
      <c r="W42" s="180" t="str">
        <v>FOYER</v>
      </c>
      <c r="X42" s="180" t="str">
        <v/>
      </c>
      <c r="Y42" s="180" t="str">
        <v/>
      </c>
      <c r="Z42" s="180" t="str">
        <v/>
      </c>
      <c r="AA42" s="180" t="str">
        <v>FOYER</v>
      </c>
      <c r="AB42" s="180" t="str">
        <v/>
      </c>
      <c r="AC42" s="180" t="str">
        <v/>
      </c>
      <c r="AD42" s="180" t="str">
        <v/>
      </c>
      <c r="AF42" s="203" t="str">
        <f>IF('[1]OMM_Building Matrix'!AF42="","",'[1]OMM_Building Matrix'!AF42)</f>
        <v>SCOPE OF WORK:</v>
      </c>
      <c r="AG42" s="204" t="str">
        <f>IF('[1]OMM_Building Matrix'!AG42="","",'[1]OMM_Building Matrix'!AG42)</f>
        <v/>
      </c>
    </row>
    <row r="43" spans="2:33" ht="13.9" customHeight="1">
      <c r="B43" s="290"/>
      <c r="C43" s="180" t="str">
        <v/>
      </c>
      <c r="D43" s="180" t="str">
        <v/>
      </c>
      <c r="E43" s="180" t="str">
        <v/>
      </c>
      <c r="F43" s="180" t="str">
        <v/>
      </c>
      <c r="G43" s="180" t="str">
        <v/>
      </c>
      <c r="H43" s="180" t="str">
        <v/>
      </c>
      <c r="I43" s="181" t="str">
        <v/>
      </c>
      <c r="J43" s="182" t="str">
        <v>UTILITY ROOM</v>
      </c>
      <c r="K43" s="183" t="str">
        <v/>
      </c>
      <c r="L43" s="184" t="str">
        <v/>
      </c>
      <c r="M43" s="180" t="str">
        <v/>
      </c>
      <c r="N43" s="180" t="str">
        <v/>
      </c>
      <c r="O43" s="180" t="str">
        <v/>
      </c>
      <c r="P43" s="180" t="str">
        <v/>
      </c>
      <c r="Q43" s="180" t="str">
        <v/>
      </c>
      <c r="R43" s="180" t="str">
        <v/>
      </c>
      <c r="S43" s="180" t="str">
        <v/>
      </c>
      <c r="T43" s="180" t="str">
        <v/>
      </c>
      <c r="U43" s="180" t="str">
        <v>UTILITY ROOM</v>
      </c>
      <c r="V43" s="180" t="str">
        <v>UTILITY ROOM</v>
      </c>
      <c r="W43" s="180" t="str">
        <v>HALL</v>
      </c>
      <c r="X43" s="180" t="str">
        <v/>
      </c>
      <c r="Y43" s="180" t="str">
        <v/>
      </c>
      <c r="Z43" s="180" t="str">
        <v/>
      </c>
      <c r="AA43" s="180" t="str">
        <v>UTILITY ROOM</v>
      </c>
      <c r="AB43" s="180" t="str">
        <v/>
      </c>
      <c r="AC43" s="180" t="str">
        <v/>
      </c>
      <c r="AD43" s="180" t="str">
        <v/>
      </c>
      <c r="AF43" s="164" t="str">
        <f>IF('[1]OMM_Building Matrix'!AF43="","",'[1]OMM_Building Matrix'!AF43)</f>
        <v>SCOPE OF WORK:</v>
      </c>
      <c r="AG43" s="178" t="str" cm="1">
        <f t="array" ref="AG43:AG44">'[1]OMM_Building Matrix'!$AG$43:$AG$44</f>
        <v>34 AREAS TO DELIVER</v>
      </c>
    </row>
    <row r="44" spans="2:33" ht="13.9" customHeight="1">
      <c r="B44" s="290"/>
      <c r="C44" s="180" t="str">
        <v/>
      </c>
      <c r="D44" s="180" t="str">
        <v/>
      </c>
      <c r="E44" s="180" t="str">
        <v/>
      </c>
      <c r="F44" s="180" t="str">
        <v/>
      </c>
      <c r="G44" s="180" t="str">
        <v/>
      </c>
      <c r="H44" s="180" t="str">
        <v/>
      </c>
      <c r="I44" s="181" t="str">
        <v/>
      </c>
      <c r="J44" s="182" t="str">
        <v>CLOSET</v>
      </c>
      <c r="K44" s="183" t="str">
        <v/>
      </c>
      <c r="L44" s="184" t="str">
        <v/>
      </c>
      <c r="M44" s="180" t="str">
        <v/>
      </c>
      <c r="N44" s="180" t="str">
        <v/>
      </c>
      <c r="O44" s="180" t="str">
        <v/>
      </c>
      <c r="P44" s="180" t="str">
        <v/>
      </c>
      <c r="Q44" s="180" t="str">
        <v/>
      </c>
      <c r="R44" s="180" t="str">
        <v/>
      </c>
      <c r="S44" s="180" t="str">
        <v/>
      </c>
      <c r="T44" s="180" t="str">
        <v/>
      </c>
      <c r="U44" s="180" t="str">
        <v>BEV CENTER</v>
      </c>
      <c r="V44" s="180" t="str">
        <v>KITCHEN</v>
      </c>
      <c r="W44" s="180" t="str">
        <v>UTILITY ROOM</v>
      </c>
      <c r="X44" s="180" t="str">
        <v/>
      </c>
      <c r="Y44" s="180" t="str">
        <v/>
      </c>
      <c r="Z44" s="180" t="str">
        <v/>
      </c>
      <c r="AA44" s="180" t="str">
        <v>KITCHEN</v>
      </c>
      <c r="AB44" s="180" t="str">
        <v/>
      </c>
      <c r="AC44" s="180" t="str">
        <v/>
      </c>
      <c r="AD44" s="180" t="str">
        <v/>
      </c>
      <c r="AF44" s="164" t="str">
        <f>IF('[1]OMM_Building Matrix'!AF44="","",'[1]OMM_Building Matrix'!AF44)</f>
        <v>UNITS IN SCOPE:</v>
      </c>
      <c r="AG44" s="167" t="str">
        <v>5 UNITS (1 COMBO)</v>
      </c>
    </row>
    <row r="45" spans="2:33" ht="13.9" customHeight="1">
      <c r="B45" s="290"/>
      <c r="C45" s="180" t="str">
        <v/>
      </c>
      <c r="D45" s="180" t="str">
        <v/>
      </c>
      <c r="E45" s="180" t="str">
        <v/>
      </c>
      <c r="F45" s="180" t="str">
        <v/>
      </c>
      <c r="G45" s="180" t="str">
        <v/>
      </c>
      <c r="H45" s="180" t="str">
        <v/>
      </c>
      <c r="I45" s="181" t="str">
        <v/>
      </c>
      <c r="J45" s="182" t="str">
        <v>KITCHEN</v>
      </c>
      <c r="K45" s="183" t="str">
        <v/>
      </c>
      <c r="L45" s="184" t="str">
        <v/>
      </c>
      <c r="M45" s="180" t="str">
        <v/>
      </c>
      <c r="N45" s="180" t="str">
        <v/>
      </c>
      <c r="O45" s="180" t="str">
        <v/>
      </c>
      <c r="P45" s="180" t="str">
        <v/>
      </c>
      <c r="Q45" s="180" t="str">
        <v/>
      </c>
      <c r="R45" s="180" t="str">
        <v/>
      </c>
      <c r="S45" s="180" t="str">
        <v/>
      </c>
      <c r="T45" s="180" t="str">
        <v/>
      </c>
      <c r="U45" s="180" t="str">
        <v>KITCHEN</v>
      </c>
      <c r="V45" s="180" t="str">
        <v>PRIM BATH</v>
      </c>
      <c r="W45" s="180" t="str">
        <v>KITCHEN</v>
      </c>
      <c r="X45" s="180" t="str">
        <v/>
      </c>
      <c r="Y45" s="180" t="str">
        <v/>
      </c>
      <c r="Z45" s="180" t="str">
        <v/>
      </c>
      <c r="AA45" s="180" t="str">
        <v>PRIM BATH</v>
      </c>
      <c r="AB45" s="180" t="str">
        <v/>
      </c>
      <c r="AC45" s="180" t="str">
        <v/>
      </c>
      <c r="AD45" s="180" t="str">
        <v/>
      </c>
      <c r="AF45" s="231" t="str">
        <f>IF('[1]OMM_Building Matrix'!AF45="","",'[1]OMM_Building Matrix'!AF45)</f>
        <v>DELIVERY SCHEDULE</v>
      </c>
      <c r="AG45" s="232" t="str">
        <f>IF('[1]OMM_Building Matrix'!AG45="","",'[1]OMM_Building Matrix'!AG45)</f>
        <v/>
      </c>
    </row>
    <row r="46" spans="2:33" ht="13.9" customHeight="1">
      <c r="B46" s="290"/>
      <c r="C46" s="180" t="str">
        <v/>
      </c>
      <c r="D46" s="180" t="str">
        <v/>
      </c>
      <c r="E46" s="180" t="str">
        <v/>
      </c>
      <c r="F46" s="180" t="str">
        <v/>
      </c>
      <c r="G46" s="180" t="str">
        <v/>
      </c>
      <c r="H46" s="180" t="str">
        <v/>
      </c>
      <c r="I46" s="181" t="str">
        <v/>
      </c>
      <c r="J46" s="182" t="str">
        <v>PRIM BATH</v>
      </c>
      <c r="K46" s="183" t="str">
        <v/>
      </c>
      <c r="L46" s="184" t="str">
        <v/>
      </c>
      <c r="M46" s="180" t="str">
        <v/>
      </c>
      <c r="N46" s="180" t="str">
        <v/>
      </c>
      <c r="O46" s="180" t="str">
        <v/>
      </c>
      <c r="P46" s="180" t="str">
        <v/>
      </c>
      <c r="Q46" s="180" t="str">
        <v/>
      </c>
      <c r="R46" s="180" t="str">
        <v/>
      </c>
      <c r="S46" s="180" t="str">
        <v/>
      </c>
      <c r="T46" s="180" t="str">
        <v/>
      </c>
      <c r="U46" s="180" t="str">
        <v>GREAT ROOM</v>
      </c>
      <c r="V46" s="180" t="str">
        <v/>
      </c>
      <c r="W46" s="180" t="str">
        <v>PRIM BATH</v>
      </c>
      <c r="X46" s="180" t="str">
        <v/>
      </c>
      <c r="Y46" s="180" t="str">
        <v/>
      </c>
      <c r="Z46" s="180" t="str">
        <v/>
      </c>
      <c r="AA46" s="180" t="str">
        <v>BATH 2</v>
      </c>
      <c r="AB46" s="180" t="str">
        <v/>
      </c>
      <c r="AC46" s="180" t="str">
        <v/>
      </c>
      <c r="AD46" s="180" t="str">
        <v/>
      </c>
      <c r="AF46" s="176" t="str" cm="1">
        <f t="array" ref="AF46:AG51">'[1]OMM_Building Matrix'!$AF$46:$AG$51</f>
        <v>DELIVERY GR 1:</v>
      </c>
      <c r="AG46" s="179">
        <v>46356</v>
      </c>
    </row>
    <row r="47" spans="2:33" ht="13.9" customHeight="1">
      <c r="B47" s="290"/>
      <c r="C47" s="180" t="str">
        <v/>
      </c>
      <c r="D47" s="180" t="str">
        <v/>
      </c>
      <c r="E47" s="180" t="str">
        <v/>
      </c>
      <c r="F47" s="180" t="str">
        <v/>
      </c>
      <c r="G47" s="180" t="str">
        <v/>
      </c>
      <c r="H47" s="180" t="str">
        <v/>
      </c>
      <c r="I47" s="181" t="str">
        <v/>
      </c>
      <c r="J47" s="182" t="str">
        <v>BATH 2</v>
      </c>
      <c r="K47" s="183" t="str">
        <v/>
      </c>
      <c r="L47" s="184" t="str">
        <v/>
      </c>
      <c r="M47" s="180" t="str">
        <v/>
      </c>
      <c r="N47" s="180" t="str">
        <v/>
      </c>
      <c r="O47" s="180" t="str">
        <v/>
      </c>
      <c r="P47" s="180" t="str">
        <v/>
      </c>
      <c r="Q47" s="180" t="str">
        <v/>
      </c>
      <c r="R47" s="180" t="str">
        <v/>
      </c>
      <c r="S47" s="180" t="str">
        <v/>
      </c>
      <c r="T47" s="180" t="str">
        <v/>
      </c>
      <c r="U47" s="180" t="str">
        <v>PRIM BATH</v>
      </c>
      <c r="V47" s="180" t="str">
        <v/>
      </c>
      <c r="W47" s="180" t="str">
        <v>BATH 2</v>
      </c>
      <c r="X47" s="180" t="str">
        <v/>
      </c>
      <c r="Y47" s="180" t="str">
        <v/>
      </c>
      <c r="Z47" s="180" t="str">
        <v/>
      </c>
      <c r="AA47" s="180" t="str">
        <v>BED 2</v>
      </c>
      <c r="AB47" s="180" t="str">
        <v/>
      </c>
      <c r="AC47" s="180" t="str">
        <v/>
      </c>
      <c r="AD47" s="180" t="str">
        <v/>
      </c>
      <c r="AF47" s="165" t="str">
        <v>DELIVERY GR 2:</v>
      </c>
      <c r="AG47" s="167">
        <v>46359</v>
      </c>
    </row>
    <row r="48" spans="2:33" ht="13.9" customHeight="1">
      <c r="B48" s="290"/>
      <c r="C48" s="180" t="str">
        <v/>
      </c>
      <c r="D48" s="180" t="str">
        <v/>
      </c>
      <c r="E48" s="180" t="str">
        <v/>
      </c>
      <c r="F48" s="180" t="str">
        <v/>
      </c>
      <c r="G48" s="180" t="str">
        <v/>
      </c>
      <c r="H48" s="180" t="str">
        <v/>
      </c>
      <c r="I48" s="181" t="str">
        <v/>
      </c>
      <c r="J48" s="182" t="str">
        <v>BATH 3</v>
      </c>
      <c r="K48" s="183" t="str">
        <v/>
      </c>
      <c r="L48" s="184" t="str">
        <v/>
      </c>
      <c r="M48" s="180" t="str">
        <v/>
      </c>
      <c r="N48" s="180" t="str">
        <v/>
      </c>
      <c r="O48" s="180" t="str">
        <v/>
      </c>
      <c r="P48" s="180" t="str">
        <v/>
      </c>
      <c r="Q48" s="180" t="str">
        <v/>
      </c>
      <c r="R48" s="180" t="str">
        <v/>
      </c>
      <c r="S48" s="180" t="str">
        <v/>
      </c>
      <c r="T48" s="180" t="str">
        <v/>
      </c>
      <c r="U48" s="180" t="str">
        <v>BATH 2</v>
      </c>
      <c r="V48" s="180" t="str">
        <v/>
      </c>
      <c r="W48" s="180" t="str">
        <v/>
      </c>
      <c r="X48" s="180" t="str">
        <v/>
      </c>
      <c r="Y48" s="180" t="str">
        <v/>
      </c>
      <c r="Z48" s="180" t="str">
        <v/>
      </c>
      <c r="AA48" s="180" t="str">
        <v/>
      </c>
      <c r="AB48" s="180" t="str">
        <v/>
      </c>
      <c r="AC48" s="180" t="str">
        <v/>
      </c>
      <c r="AD48" s="180" t="str">
        <v/>
      </c>
      <c r="AF48" s="165" t="str">
        <v>DELIVERY GR 3:</v>
      </c>
      <c r="AG48" s="167">
        <v>46364</v>
      </c>
    </row>
    <row r="49" spans="2:33" ht="13.9" customHeight="1">
      <c r="B49" s="290"/>
      <c r="C49" s="180" t="str">
        <v/>
      </c>
      <c r="D49" s="180" t="str">
        <v/>
      </c>
      <c r="E49" s="180" t="str">
        <v/>
      </c>
      <c r="F49" s="180" t="str">
        <v/>
      </c>
      <c r="G49" s="180" t="str">
        <v/>
      </c>
      <c r="H49" s="180" t="str">
        <v/>
      </c>
      <c r="I49" s="181" t="str">
        <v/>
      </c>
      <c r="J49" s="182" t="str">
        <v>BED 3</v>
      </c>
      <c r="K49" s="183" t="str">
        <v/>
      </c>
      <c r="L49" s="184" t="str">
        <v/>
      </c>
      <c r="M49" s="180" t="str">
        <v/>
      </c>
      <c r="N49" s="180" t="str">
        <v/>
      </c>
      <c r="O49" s="180" t="str">
        <v/>
      </c>
      <c r="P49" s="180" t="str">
        <v/>
      </c>
      <c r="Q49" s="180" t="str">
        <v/>
      </c>
      <c r="R49" s="180" t="str">
        <v/>
      </c>
      <c r="S49" s="180" t="str">
        <v/>
      </c>
      <c r="T49" s="180" t="str">
        <v/>
      </c>
      <c r="U49" s="180" t="str">
        <v>BATH 3</v>
      </c>
      <c r="V49" s="180" t="str">
        <v/>
      </c>
      <c r="W49" s="180" t="str">
        <v/>
      </c>
      <c r="X49" s="180" t="str">
        <v/>
      </c>
      <c r="Y49" s="180" t="str">
        <v/>
      </c>
      <c r="Z49" s="180" t="str">
        <v/>
      </c>
      <c r="AA49" s="180" t="str">
        <v/>
      </c>
      <c r="AB49" s="180" t="str">
        <v/>
      </c>
      <c r="AC49" s="180" t="str">
        <v/>
      </c>
      <c r="AD49" s="180" t="str">
        <v/>
      </c>
      <c r="AF49" s="165" t="str">
        <v>DELIVERY GR 4:</v>
      </c>
      <c r="AG49" s="167">
        <v>46367</v>
      </c>
    </row>
    <row r="50" spans="2:33" ht="13.9" customHeight="1">
      <c r="B50" s="290"/>
      <c r="C50" s="180" t="str">
        <v/>
      </c>
      <c r="D50" s="180" t="str">
        <v/>
      </c>
      <c r="E50" s="180" t="str">
        <v/>
      </c>
      <c r="F50" s="180" t="str">
        <v/>
      </c>
      <c r="G50" s="180" t="str">
        <v/>
      </c>
      <c r="H50" s="180" t="str">
        <v/>
      </c>
      <c r="I50" s="181" t="str">
        <v/>
      </c>
      <c r="J50" s="182" t="str">
        <v/>
      </c>
      <c r="K50" s="183" t="str">
        <v/>
      </c>
      <c r="L50" s="184" t="str">
        <v/>
      </c>
      <c r="M50" s="180" t="str">
        <v/>
      </c>
      <c r="N50" s="180" t="str">
        <v/>
      </c>
      <c r="O50" s="180" t="str">
        <v/>
      </c>
      <c r="P50" s="180" t="str">
        <v/>
      </c>
      <c r="Q50" s="180" t="str">
        <v/>
      </c>
      <c r="R50" s="180" t="str">
        <v/>
      </c>
      <c r="S50" s="180" t="str">
        <v/>
      </c>
      <c r="T50" s="180" t="str">
        <v/>
      </c>
      <c r="U50" s="180" t="str">
        <v>BED 2</v>
      </c>
      <c r="V50" s="180" t="str">
        <v/>
      </c>
      <c r="W50" s="180" t="str">
        <v/>
      </c>
      <c r="X50" s="180" t="str">
        <v/>
      </c>
      <c r="Y50" s="180" t="str">
        <v/>
      </c>
      <c r="Z50" s="180" t="str">
        <v/>
      </c>
      <c r="AA50" s="180" t="str">
        <v/>
      </c>
      <c r="AB50" s="180" t="str">
        <v/>
      </c>
      <c r="AC50" s="180" t="str">
        <v/>
      </c>
      <c r="AD50" s="180" t="str">
        <v/>
      </c>
      <c r="AF50" s="165" t="str">
        <v>DELIVERY GR 5:</v>
      </c>
      <c r="AG50" s="167">
        <v>46372</v>
      </c>
    </row>
    <row r="51" spans="2:33" ht="13.9" customHeight="1">
      <c r="B51" s="291"/>
      <c r="C51" s="180" t="str">
        <v/>
      </c>
      <c r="D51" s="180" t="str">
        <v/>
      </c>
      <c r="E51" s="180" t="str">
        <v/>
      </c>
      <c r="F51" s="180" t="str">
        <v/>
      </c>
      <c r="G51" s="180" t="str">
        <v/>
      </c>
      <c r="H51" s="180" t="str">
        <v/>
      </c>
      <c r="I51" s="181" t="str">
        <v/>
      </c>
      <c r="J51" s="185" t="str">
        <v/>
      </c>
      <c r="K51" s="187" t="str">
        <v/>
      </c>
      <c r="L51" s="184" t="str">
        <v/>
      </c>
      <c r="M51" s="180" t="str">
        <v/>
      </c>
      <c r="N51" s="180" t="str">
        <v/>
      </c>
      <c r="O51" s="180" t="str">
        <v/>
      </c>
      <c r="P51" s="180" t="str">
        <v/>
      </c>
      <c r="Q51" s="180" t="str">
        <v/>
      </c>
      <c r="R51" s="180" t="str">
        <v/>
      </c>
      <c r="S51" s="180" t="str">
        <v/>
      </c>
      <c r="T51" s="180" t="str">
        <v/>
      </c>
      <c r="U51" s="180" t="str">
        <v>BED 3</v>
      </c>
      <c r="V51" s="180" t="str">
        <v/>
      </c>
      <c r="W51" s="180" t="str">
        <v/>
      </c>
      <c r="X51" s="180" t="str">
        <v/>
      </c>
      <c r="Y51" s="180" t="str">
        <v/>
      </c>
      <c r="Z51" s="180" t="str">
        <v/>
      </c>
      <c r="AA51" s="180" t="str">
        <v/>
      </c>
      <c r="AB51" s="180" t="str">
        <v/>
      </c>
      <c r="AC51" s="180" t="str">
        <v/>
      </c>
      <c r="AD51" s="180" t="str">
        <v/>
      </c>
      <c r="AF51" s="166" t="str">
        <v>DELIVERY GR 6:</v>
      </c>
      <c r="AG51" s="167">
        <v>46377</v>
      </c>
    </row>
    <row r="52" spans="2:33" ht="18" customHeight="1">
      <c r="B52" s="289">
        <v>4</v>
      </c>
      <c r="C52" s="144">
        <v>4001</v>
      </c>
      <c r="D52" s="144">
        <v>4002</v>
      </c>
      <c r="E52" s="144">
        <v>4003</v>
      </c>
      <c r="F52" s="144">
        <v>4004</v>
      </c>
      <c r="G52" s="144">
        <v>4005</v>
      </c>
      <c r="H52" s="144">
        <v>4006</v>
      </c>
      <c r="I52" s="144">
        <v>4007</v>
      </c>
      <c r="J52" s="148">
        <v>4008</v>
      </c>
      <c r="K52" s="148">
        <v>4009</v>
      </c>
      <c r="L52" s="144">
        <v>4010</v>
      </c>
      <c r="M52" s="144">
        <v>4011</v>
      </c>
      <c r="N52" s="144">
        <v>4012</v>
      </c>
      <c r="O52" s="144">
        <v>4013</v>
      </c>
      <c r="P52" s="144">
        <v>4014</v>
      </c>
      <c r="Q52" s="144">
        <v>4015</v>
      </c>
      <c r="R52" s="144">
        <v>4016</v>
      </c>
      <c r="S52" s="144">
        <v>4017</v>
      </c>
      <c r="T52" s="144">
        <v>4018</v>
      </c>
      <c r="U52" s="144">
        <v>4019</v>
      </c>
      <c r="V52" s="144">
        <v>4020</v>
      </c>
      <c r="W52" s="144">
        <v>4021</v>
      </c>
      <c r="X52" s="144">
        <v>4022</v>
      </c>
      <c r="Y52" s="144">
        <v>4023</v>
      </c>
      <c r="Z52" s="144">
        <v>4024</v>
      </c>
      <c r="AA52" s="144">
        <v>4025</v>
      </c>
      <c r="AB52" s="144">
        <v>4026</v>
      </c>
      <c r="AC52" s="144">
        <v>4027</v>
      </c>
      <c r="AD52" s="144">
        <v>4028</v>
      </c>
      <c r="AF52" s="292" t="str">
        <f>IF('[1]OMM_Building Matrix'!AF52="","",'[1]OMM_Building Matrix'!AF52)</f>
        <v>4th FLOOR</v>
      </c>
      <c r="AG52" s="292"/>
    </row>
    <row r="53" spans="2:33" ht="13.9" customHeight="1">
      <c r="B53" s="293"/>
      <c r="C53" s="180" t="str">
        <v/>
      </c>
      <c r="D53" s="180" t="str">
        <v/>
      </c>
      <c r="E53" s="180" t="str">
        <v/>
      </c>
      <c r="F53" s="180" t="str">
        <v/>
      </c>
      <c r="G53" s="180" t="str">
        <v/>
      </c>
      <c r="H53" s="180" t="str">
        <v/>
      </c>
      <c r="I53" s="180" t="str">
        <v/>
      </c>
      <c r="J53" s="180" t="str">
        <v>UTILITY ROOM</v>
      </c>
      <c r="K53" s="180" t="str">
        <v/>
      </c>
      <c r="L53" s="180" t="str">
        <v/>
      </c>
      <c r="M53" s="180" t="str">
        <v/>
      </c>
      <c r="N53" s="180" t="str">
        <v/>
      </c>
      <c r="O53" s="180" t="str">
        <v/>
      </c>
      <c r="P53" s="180" t="str">
        <v/>
      </c>
      <c r="Q53" s="180" t="str">
        <v/>
      </c>
      <c r="R53" s="180" t="str">
        <v/>
      </c>
      <c r="S53" s="180" t="str">
        <v/>
      </c>
      <c r="T53" s="180" t="str">
        <v/>
      </c>
      <c r="U53" s="180" t="str">
        <v/>
      </c>
      <c r="V53" s="180" t="str">
        <v/>
      </c>
      <c r="W53" s="180" t="str">
        <v/>
      </c>
      <c r="X53" s="180" t="str">
        <v/>
      </c>
      <c r="Y53" s="180" t="str">
        <v/>
      </c>
      <c r="Z53" s="180" t="str">
        <v/>
      </c>
      <c r="AA53" s="180" t="str">
        <v/>
      </c>
      <c r="AB53" s="180" t="str">
        <v/>
      </c>
      <c r="AC53" s="180" t="str">
        <v/>
      </c>
      <c r="AD53" s="180" t="str">
        <v/>
      </c>
      <c r="AF53" s="203" t="str">
        <f>IF('[1]OMM_Building Matrix'!AF53="","",'[1]OMM_Building Matrix'!AF53)</f>
        <v>SCOPE OF WORK:</v>
      </c>
      <c r="AG53" s="204" t="str">
        <f>IF('[1]OMM_Building Matrix'!AG53="","",'[1]OMM_Building Matrix'!AG53)</f>
        <v/>
      </c>
    </row>
    <row r="54" spans="2:33" ht="13.9" customHeight="1">
      <c r="B54" s="293"/>
      <c r="C54" s="180" t="str">
        <v/>
      </c>
      <c r="D54" s="180" t="str">
        <v/>
      </c>
      <c r="E54" s="180" t="str">
        <v/>
      </c>
      <c r="F54" s="180" t="str">
        <v/>
      </c>
      <c r="G54" s="180" t="str">
        <v/>
      </c>
      <c r="H54" s="180" t="str">
        <v/>
      </c>
      <c r="I54" s="180" t="str">
        <v/>
      </c>
      <c r="J54" s="180" t="str">
        <v>KITCHEN</v>
      </c>
      <c r="K54" s="180" t="str">
        <v/>
      </c>
      <c r="L54" s="180" t="str">
        <v/>
      </c>
      <c r="M54" s="180" t="str">
        <v/>
      </c>
      <c r="N54" s="180" t="str">
        <v/>
      </c>
      <c r="O54" s="180" t="str">
        <v/>
      </c>
      <c r="P54" s="180" t="str">
        <v/>
      </c>
      <c r="Q54" s="180" t="str">
        <v/>
      </c>
      <c r="R54" s="180" t="str">
        <v/>
      </c>
      <c r="S54" s="180" t="str">
        <v/>
      </c>
      <c r="T54" s="180" t="str">
        <v/>
      </c>
      <c r="U54" s="180" t="str">
        <v/>
      </c>
      <c r="V54" s="180" t="str">
        <v/>
      </c>
      <c r="W54" s="180" t="str">
        <v/>
      </c>
      <c r="X54" s="180" t="str">
        <v/>
      </c>
      <c r="Y54" s="180" t="str">
        <v/>
      </c>
      <c r="Z54" s="180" t="str">
        <v/>
      </c>
      <c r="AA54" s="180" t="str">
        <v/>
      </c>
      <c r="AB54" s="180" t="str">
        <v/>
      </c>
      <c r="AC54" s="180" t="str">
        <v/>
      </c>
      <c r="AD54" s="180" t="str">
        <v/>
      </c>
      <c r="AF54" s="164" t="str">
        <f>IF('[1]OMM_Building Matrix'!AF54="","",'[1]OMM_Building Matrix'!AF54)</f>
        <v>SCOPE OF WORK:</v>
      </c>
      <c r="AG54" s="178" t="str" cm="1">
        <f t="array" ref="AG54:AG55">'[1]OMM_Building Matrix'!$AG$54:$AG$55</f>
        <v>5 AREAS TO DELIVER</v>
      </c>
    </row>
    <row r="55" spans="2:33" ht="13.9" customHeight="1">
      <c r="B55" s="293"/>
      <c r="C55" s="180" t="str">
        <v/>
      </c>
      <c r="D55" s="180" t="str">
        <v/>
      </c>
      <c r="E55" s="180" t="str">
        <v/>
      </c>
      <c r="F55" s="180" t="str">
        <v/>
      </c>
      <c r="G55" s="180" t="str">
        <v/>
      </c>
      <c r="H55" s="180" t="str">
        <v/>
      </c>
      <c r="I55" s="180" t="str">
        <v/>
      </c>
      <c r="J55" s="180" t="str">
        <v>PRIM BATH</v>
      </c>
      <c r="K55" s="180" t="str">
        <v/>
      </c>
      <c r="L55" s="180" t="str">
        <v/>
      </c>
      <c r="M55" s="180" t="str">
        <v/>
      </c>
      <c r="N55" s="180" t="str">
        <v/>
      </c>
      <c r="O55" s="180" t="str">
        <v/>
      </c>
      <c r="P55" s="180" t="str">
        <v/>
      </c>
      <c r="Q55" s="180" t="str">
        <v/>
      </c>
      <c r="R55" s="180" t="str">
        <v/>
      </c>
      <c r="S55" s="180" t="str">
        <v/>
      </c>
      <c r="T55" s="180" t="str">
        <v/>
      </c>
      <c r="U55" s="180" t="str">
        <v/>
      </c>
      <c r="V55" s="180" t="str">
        <v/>
      </c>
      <c r="W55" s="180" t="str">
        <v/>
      </c>
      <c r="X55" s="180" t="str">
        <v/>
      </c>
      <c r="Y55" s="180" t="str">
        <v/>
      </c>
      <c r="Z55" s="180" t="str">
        <v/>
      </c>
      <c r="AA55" s="180" t="str">
        <v/>
      </c>
      <c r="AB55" s="180" t="str">
        <v/>
      </c>
      <c r="AC55" s="180" t="str">
        <v/>
      </c>
      <c r="AD55" s="180" t="str">
        <v/>
      </c>
      <c r="AF55" s="164" t="str">
        <f>IF('[1]OMM_Building Matrix'!AF55="","",'[1]OMM_Building Matrix'!AF55)</f>
        <v>UNITS IN SCOPE:</v>
      </c>
      <c r="AG55" s="167" t="str">
        <v>1 UNITS (0 COMBO)</v>
      </c>
    </row>
    <row r="56" spans="2:33" ht="13.9" customHeight="1">
      <c r="B56" s="293"/>
      <c r="C56" s="180" t="str">
        <v/>
      </c>
      <c r="D56" s="180" t="str">
        <v/>
      </c>
      <c r="E56" s="180" t="str">
        <v/>
      </c>
      <c r="F56" s="180" t="str">
        <v/>
      </c>
      <c r="G56" s="180" t="str">
        <v/>
      </c>
      <c r="H56" s="180" t="str">
        <v/>
      </c>
      <c r="I56" s="180" t="str">
        <v/>
      </c>
      <c r="J56" s="180" t="str">
        <v>BATH 2</v>
      </c>
      <c r="K56" s="180" t="str">
        <v/>
      </c>
      <c r="L56" s="180" t="str">
        <v/>
      </c>
      <c r="M56" s="180" t="str">
        <v/>
      </c>
      <c r="N56" s="180" t="str">
        <v/>
      </c>
      <c r="O56" s="180" t="str">
        <v/>
      </c>
      <c r="P56" s="180" t="str">
        <v/>
      </c>
      <c r="Q56" s="180" t="str">
        <v/>
      </c>
      <c r="R56" s="180" t="str">
        <v/>
      </c>
      <c r="S56" s="180" t="str">
        <v/>
      </c>
      <c r="T56" s="180" t="str">
        <v/>
      </c>
      <c r="U56" s="180" t="str">
        <v/>
      </c>
      <c r="V56" s="180" t="str">
        <v/>
      </c>
      <c r="W56" s="180" t="str">
        <v/>
      </c>
      <c r="X56" s="180" t="str">
        <v/>
      </c>
      <c r="Y56" s="180" t="str">
        <v/>
      </c>
      <c r="Z56" s="180" t="str">
        <v/>
      </c>
      <c r="AA56" s="180" t="str">
        <v/>
      </c>
      <c r="AB56" s="180" t="str">
        <v/>
      </c>
      <c r="AC56" s="180" t="str">
        <v/>
      </c>
      <c r="AD56" s="180" t="str">
        <v/>
      </c>
      <c r="AF56" s="231" t="str">
        <f>IF('[1]OMM_Building Matrix'!AF56="","",'[1]OMM_Building Matrix'!AF56)</f>
        <v>DELIVERY SCHEDULE</v>
      </c>
      <c r="AG56" s="232" t="str">
        <f>IF('[1]OMM_Building Matrix'!AG56="","",'[1]OMM_Building Matrix'!AG56)</f>
        <v/>
      </c>
    </row>
    <row r="57" spans="2:33" ht="13.9" customHeight="1">
      <c r="B57" s="293"/>
      <c r="C57" s="180" t="str">
        <v/>
      </c>
      <c r="D57" s="180" t="str">
        <v/>
      </c>
      <c r="E57" s="180" t="str">
        <v/>
      </c>
      <c r="F57" s="180" t="str">
        <v/>
      </c>
      <c r="G57" s="180" t="str">
        <v/>
      </c>
      <c r="H57" s="180" t="str">
        <v/>
      </c>
      <c r="I57" s="180" t="str">
        <v/>
      </c>
      <c r="J57" s="180" t="str">
        <v>BED 2</v>
      </c>
      <c r="K57" s="180" t="str">
        <v/>
      </c>
      <c r="L57" s="180" t="str">
        <v/>
      </c>
      <c r="M57" s="180" t="str">
        <v/>
      </c>
      <c r="N57" s="180" t="str">
        <v/>
      </c>
      <c r="O57" s="180" t="str">
        <v/>
      </c>
      <c r="P57" s="180" t="str">
        <v/>
      </c>
      <c r="Q57" s="180" t="str">
        <v/>
      </c>
      <c r="R57" s="180" t="str">
        <v/>
      </c>
      <c r="S57" s="180" t="str">
        <v/>
      </c>
      <c r="T57" s="180" t="str">
        <v/>
      </c>
      <c r="U57" s="180" t="str">
        <v/>
      </c>
      <c r="V57" s="180" t="str">
        <v/>
      </c>
      <c r="W57" s="180" t="str">
        <v/>
      </c>
      <c r="X57" s="180" t="str">
        <v/>
      </c>
      <c r="Y57" s="180" t="str">
        <v/>
      </c>
      <c r="Z57" s="180" t="str">
        <v/>
      </c>
      <c r="AA57" s="180" t="str">
        <v/>
      </c>
      <c r="AB57" s="180" t="str">
        <v/>
      </c>
      <c r="AC57" s="180" t="str">
        <v/>
      </c>
      <c r="AD57" s="180" t="str">
        <v/>
      </c>
      <c r="AF57" s="176" t="str" cm="1">
        <f t="array" ref="AF57:AG62">'[1]OMM_Building Matrix'!$AF$57:$AG$62</f>
        <v>DELIVERY GR 1:</v>
      </c>
      <c r="AG57" s="179">
        <v>46328</v>
      </c>
    </row>
    <row r="58" spans="2:33" ht="13.9" customHeight="1">
      <c r="B58" s="293"/>
      <c r="C58" s="180" t="str">
        <v/>
      </c>
      <c r="D58" s="180" t="str">
        <v/>
      </c>
      <c r="E58" s="180" t="str">
        <v/>
      </c>
      <c r="F58" s="180" t="str">
        <v/>
      </c>
      <c r="G58" s="180" t="str">
        <v/>
      </c>
      <c r="H58" s="180" t="str">
        <v/>
      </c>
      <c r="I58" s="180" t="str">
        <v/>
      </c>
      <c r="J58" s="180" t="str">
        <v/>
      </c>
      <c r="K58" s="180" t="str">
        <v/>
      </c>
      <c r="L58" s="180" t="str">
        <v/>
      </c>
      <c r="M58" s="180" t="str">
        <v/>
      </c>
      <c r="N58" s="180" t="str">
        <v/>
      </c>
      <c r="O58" s="180" t="str">
        <v/>
      </c>
      <c r="P58" s="180" t="str">
        <v/>
      </c>
      <c r="Q58" s="180" t="str">
        <v/>
      </c>
      <c r="R58" s="180" t="str">
        <v/>
      </c>
      <c r="S58" s="180" t="str">
        <v/>
      </c>
      <c r="T58" s="180" t="str">
        <v/>
      </c>
      <c r="U58" s="180" t="str">
        <v/>
      </c>
      <c r="V58" s="180" t="str">
        <v/>
      </c>
      <c r="W58" s="180" t="str">
        <v/>
      </c>
      <c r="X58" s="180" t="str">
        <v/>
      </c>
      <c r="Y58" s="180" t="str">
        <v/>
      </c>
      <c r="Z58" s="180" t="str">
        <v/>
      </c>
      <c r="AA58" s="180" t="str">
        <v/>
      </c>
      <c r="AB58" s="180" t="str">
        <v/>
      </c>
      <c r="AC58" s="180" t="str">
        <v/>
      </c>
      <c r="AD58" s="180" t="str">
        <v/>
      </c>
      <c r="AF58" s="165" t="str">
        <v>DELIVERY GR 2:</v>
      </c>
      <c r="AG58" s="167">
        <v>46331</v>
      </c>
    </row>
    <row r="59" spans="2:33" ht="13.9" customHeight="1">
      <c r="B59" s="293"/>
      <c r="C59" s="180" t="str">
        <v/>
      </c>
      <c r="D59" s="180" t="str">
        <v/>
      </c>
      <c r="E59" s="180" t="str">
        <v/>
      </c>
      <c r="F59" s="180" t="str">
        <v/>
      </c>
      <c r="G59" s="180" t="str">
        <v/>
      </c>
      <c r="H59" s="180" t="str">
        <v/>
      </c>
      <c r="I59" s="180" t="str">
        <v/>
      </c>
      <c r="J59" s="180" t="str">
        <v/>
      </c>
      <c r="K59" s="180" t="str">
        <v/>
      </c>
      <c r="L59" s="180" t="str">
        <v/>
      </c>
      <c r="M59" s="180" t="str">
        <v/>
      </c>
      <c r="N59" s="180" t="str">
        <v/>
      </c>
      <c r="O59" s="180" t="str">
        <v/>
      </c>
      <c r="P59" s="180" t="str">
        <v/>
      </c>
      <c r="Q59" s="180" t="str">
        <v/>
      </c>
      <c r="R59" s="180" t="str">
        <v/>
      </c>
      <c r="S59" s="180" t="str">
        <v/>
      </c>
      <c r="T59" s="180" t="str">
        <v/>
      </c>
      <c r="U59" s="180" t="str">
        <v/>
      </c>
      <c r="V59" s="180" t="str">
        <v/>
      </c>
      <c r="W59" s="180" t="str">
        <v/>
      </c>
      <c r="X59" s="180" t="str">
        <v/>
      </c>
      <c r="Y59" s="180" t="str">
        <v/>
      </c>
      <c r="Z59" s="180" t="str">
        <v/>
      </c>
      <c r="AA59" s="180" t="str">
        <v/>
      </c>
      <c r="AB59" s="180" t="str">
        <v/>
      </c>
      <c r="AC59" s="180" t="str">
        <v/>
      </c>
      <c r="AD59" s="180" t="str">
        <v/>
      </c>
      <c r="AF59" s="165" t="str">
        <v>DELIVERY GR 3:</v>
      </c>
      <c r="AG59" s="167">
        <v>46336</v>
      </c>
    </row>
    <row r="60" spans="2:33" ht="13.9" customHeight="1">
      <c r="B60" s="293"/>
      <c r="C60" s="180" t="str">
        <v/>
      </c>
      <c r="D60" s="180" t="str">
        <v/>
      </c>
      <c r="E60" s="180" t="str">
        <v/>
      </c>
      <c r="F60" s="180" t="str">
        <v/>
      </c>
      <c r="G60" s="180" t="str">
        <v/>
      </c>
      <c r="H60" s="180" t="str">
        <v/>
      </c>
      <c r="I60" s="180" t="str">
        <v/>
      </c>
      <c r="J60" s="180" t="str">
        <v/>
      </c>
      <c r="K60" s="180" t="str">
        <v/>
      </c>
      <c r="L60" s="180" t="str">
        <v/>
      </c>
      <c r="M60" s="180" t="str">
        <v/>
      </c>
      <c r="N60" s="180" t="str">
        <v/>
      </c>
      <c r="O60" s="180" t="str">
        <v/>
      </c>
      <c r="P60" s="180" t="str">
        <v/>
      </c>
      <c r="Q60" s="180" t="str">
        <v/>
      </c>
      <c r="R60" s="180" t="str">
        <v/>
      </c>
      <c r="S60" s="180" t="str">
        <v/>
      </c>
      <c r="T60" s="180" t="str">
        <v/>
      </c>
      <c r="U60" s="180" t="str">
        <v/>
      </c>
      <c r="V60" s="180" t="str">
        <v/>
      </c>
      <c r="W60" s="180" t="str">
        <v/>
      </c>
      <c r="X60" s="180" t="str">
        <v/>
      </c>
      <c r="Y60" s="180" t="str">
        <v/>
      </c>
      <c r="Z60" s="180" t="str">
        <v/>
      </c>
      <c r="AA60" s="180" t="str">
        <v/>
      </c>
      <c r="AB60" s="180" t="str">
        <v/>
      </c>
      <c r="AC60" s="180" t="str">
        <v/>
      </c>
      <c r="AD60" s="180" t="str">
        <v/>
      </c>
      <c r="AF60" s="165" t="str">
        <v>DELIVERY GR 4:</v>
      </c>
      <c r="AG60" s="167">
        <v>46339</v>
      </c>
    </row>
    <row r="61" spans="2:33" ht="13.9" customHeight="1">
      <c r="B61" s="293"/>
      <c r="C61" s="180" t="str">
        <v/>
      </c>
      <c r="D61" s="180" t="str">
        <v/>
      </c>
      <c r="E61" s="180" t="str">
        <v/>
      </c>
      <c r="F61" s="180" t="str">
        <v/>
      </c>
      <c r="G61" s="180" t="str">
        <v/>
      </c>
      <c r="H61" s="180" t="str">
        <v/>
      </c>
      <c r="I61" s="180" t="str">
        <v/>
      </c>
      <c r="J61" s="180" t="str">
        <v/>
      </c>
      <c r="K61" s="180" t="str">
        <v/>
      </c>
      <c r="L61" s="180" t="str">
        <v/>
      </c>
      <c r="M61" s="180" t="str">
        <v/>
      </c>
      <c r="N61" s="180" t="str">
        <v/>
      </c>
      <c r="O61" s="180" t="str">
        <v/>
      </c>
      <c r="P61" s="180" t="str">
        <v/>
      </c>
      <c r="Q61" s="180" t="str">
        <v/>
      </c>
      <c r="R61" s="180" t="str">
        <v/>
      </c>
      <c r="S61" s="180" t="str">
        <v/>
      </c>
      <c r="T61" s="180" t="str">
        <v/>
      </c>
      <c r="U61" s="180" t="str">
        <v/>
      </c>
      <c r="V61" s="180" t="str">
        <v/>
      </c>
      <c r="W61" s="180" t="str">
        <v/>
      </c>
      <c r="X61" s="180" t="str">
        <v/>
      </c>
      <c r="Y61" s="180" t="str">
        <v/>
      </c>
      <c r="Z61" s="180" t="str">
        <v/>
      </c>
      <c r="AA61" s="180" t="str">
        <v/>
      </c>
      <c r="AB61" s="180" t="str">
        <v/>
      </c>
      <c r="AC61" s="180" t="str">
        <v/>
      </c>
      <c r="AD61" s="180" t="str">
        <v/>
      </c>
      <c r="AF61" s="165" t="str">
        <v>DELIVERY GR 5:</v>
      </c>
      <c r="AG61" s="167">
        <v>46344</v>
      </c>
    </row>
    <row r="62" spans="2:33" ht="13.9" customHeight="1">
      <c r="B62" s="294"/>
      <c r="C62" s="180" t="str">
        <v/>
      </c>
      <c r="D62" s="180" t="str">
        <v/>
      </c>
      <c r="E62" s="180" t="str">
        <v/>
      </c>
      <c r="F62" s="180" t="str">
        <v/>
      </c>
      <c r="G62" s="180" t="str">
        <v/>
      </c>
      <c r="H62" s="180" t="str">
        <v/>
      </c>
      <c r="I62" s="180" t="str">
        <v/>
      </c>
      <c r="J62" s="180" t="str">
        <v/>
      </c>
      <c r="K62" s="180" t="str">
        <v/>
      </c>
      <c r="L62" s="180" t="str">
        <v/>
      </c>
      <c r="M62" s="180" t="str">
        <v/>
      </c>
      <c r="N62" s="180" t="str">
        <v/>
      </c>
      <c r="O62" s="180" t="str">
        <v/>
      </c>
      <c r="P62" s="180" t="str">
        <v/>
      </c>
      <c r="Q62" s="180" t="str">
        <v/>
      </c>
      <c r="R62" s="180" t="str">
        <v/>
      </c>
      <c r="S62" s="180" t="str">
        <v/>
      </c>
      <c r="T62" s="180" t="str">
        <v/>
      </c>
      <c r="U62" s="180" t="str">
        <v/>
      </c>
      <c r="V62" s="180" t="str">
        <v/>
      </c>
      <c r="W62" s="180" t="str">
        <v/>
      </c>
      <c r="X62" s="180" t="str">
        <v/>
      </c>
      <c r="Y62" s="180" t="str">
        <v/>
      </c>
      <c r="Z62" s="180" t="str">
        <v/>
      </c>
      <c r="AA62" s="180" t="str">
        <v/>
      </c>
      <c r="AB62" s="180" t="str">
        <v/>
      </c>
      <c r="AC62" s="180" t="str">
        <v/>
      </c>
      <c r="AD62" s="180" t="str">
        <v/>
      </c>
      <c r="AF62" s="166" t="str">
        <v>DELIVERY GR 6:</v>
      </c>
      <c r="AG62" s="167">
        <v>46349</v>
      </c>
    </row>
    <row r="63" spans="2:33" ht="18" customHeight="1">
      <c r="B63" s="289">
        <v>3</v>
      </c>
      <c r="C63" s="144">
        <v>3001</v>
      </c>
      <c r="D63" s="144">
        <v>3002</v>
      </c>
      <c r="E63" s="144">
        <v>3003</v>
      </c>
      <c r="F63" s="146">
        <v>3004</v>
      </c>
      <c r="G63" s="149">
        <v>3005</v>
      </c>
      <c r="H63" s="150">
        <v>3006</v>
      </c>
      <c r="I63" s="151">
        <v>3007</v>
      </c>
      <c r="J63" s="147">
        <v>3008</v>
      </c>
      <c r="K63" s="144">
        <v>3009</v>
      </c>
      <c r="L63" s="144">
        <v>3010</v>
      </c>
      <c r="M63" s="144">
        <v>3011</v>
      </c>
      <c r="N63" s="144">
        <v>3012</v>
      </c>
      <c r="O63" s="144">
        <v>3013</v>
      </c>
      <c r="P63" s="144">
        <v>3014</v>
      </c>
      <c r="Q63" s="144">
        <v>3015</v>
      </c>
      <c r="R63" s="144">
        <v>3016</v>
      </c>
      <c r="S63" s="144">
        <v>3017</v>
      </c>
      <c r="T63" s="144">
        <v>3018</v>
      </c>
      <c r="U63" s="144">
        <v>3019</v>
      </c>
      <c r="V63" s="144">
        <v>3020</v>
      </c>
      <c r="W63" s="144">
        <v>3021</v>
      </c>
      <c r="X63" s="144">
        <v>3022</v>
      </c>
      <c r="Y63" s="144">
        <v>3023</v>
      </c>
      <c r="Z63" s="144">
        <v>3024</v>
      </c>
      <c r="AA63" s="144">
        <v>3025</v>
      </c>
      <c r="AB63" s="144">
        <v>3026</v>
      </c>
      <c r="AC63" s="144">
        <v>3027</v>
      </c>
      <c r="AD63" s="144">
        <v>3028</v>
      </c>
      <c r="AF63" s="292" t="str">
        <f>IF('[1]OMM_Building Matrix'!AF63="","",'[1]OMM_Building Matrix'!AF63)</f>
        <v>3th FLOOR</v>
      </c>
      <c r="AG63" s="292"/>
    </row>
    <row r="64" spans="2:33" ht="13.9" customHeight="1">
      <c r="B64" s="290"/>
      <c r="C64" s="180" t="str">
        <v/>
      </c>
      <c r="D64" s="180" t="str">
        <v/>
      </c>
      <c r="E64" s="180" t="str">
        <v/>
      </c>
      <c r="F64" s="181" t="str">
        <v/>
      </c>
      <c r="G64" s="182" t="str">
        <v>UTILITY ROOM</v>
      </c>
      <c r="H64" s="180" t="str">
        <v/>
      </c>
      <c r="I64" s="183" t="str">
        <v/>
      </c>
      <c r="J64" s="184" t="str">
        <v/>
      </c>
      <c r="K64" s="180" t="str">
        <v/>
      </c>
      <c r="L64" s="180" t="str">
        <v/>
      </c>
      <c r="M64" s="180" t="str">
        <v/>
      </c>
      <c r="N64" s="180" t="str">
        <v/>
      </c>
      <c r="O64" s="180" t="str">
        <v/>
      </c>
      <c r="P64" s="180" t="str">
        <v/>
      </c>
      <c r="Q64" s="180" t="str">
        <v/>
      </c>
      <c r="R64" s="180" t="str">
        <v/>
      </c>
      <c r="S64" s="180" t="str">
        <v>FOYER</v>
      </c>
      <c r="T64" s="180" t="str">
        <v/>
      </c>
      <c r="U64" s="180" t="str">
        <v/>
      </c>
      <c r="V64" s="180" t="str">
        <v>FOYER</v>
      </c>
      <c r="W64" s="180" t="str">
        <v/>
      </c>
      <c r="X64" s="180" t="str">
        <v/>
      </c>
      <c r="Y64" s="180" t="str">
        <v/>
      </c>
      <c r="Z64" s="180" t="str">
        <v/>
      </c>
      <c r="AA64" s="180" t="str">
        <v>BEV CENTER</v>
      </c>
      <c r="AB64" s="180" t="str">
        <v/>
      </c>
      <c r="AC64" s="180" t="str">
        <v>FOYER</v>
      </c>
      <c r="AD64" s="180" t="str">
        <v/>
      </c>
      <c r="AF64" s="203" t="str">
        <f>IF('[1]OMM_Building Matrix'!AF64="","",'[1]OMM_Building Matrix'!AF64)</f>
        <v>SCOPE OF WORK:</v>
      </c>
      <c r="AG64" s="204" t="str">
        <f>IF('[1]OMM_Building Matrix'!AG64="","",'[1]OMM_Building Matrix'!AG64)</f>
        <v/>
      </c>
    </row>
    <row r="65" spans="2:33" ht="13.9" customHeight="1">
      <c r="B65" s="293"/>
      <c r="C65" s="180" t="str">
        <v/>
      </c>
      <c r="D65" s="180" t="str">
        <v/>
      </c>
      <c r="E65" s="180" t="str">
        <v/>
      </c>
      <c r="F65" s="181" t="str">
        <v/>
      </c>
      <c r="G65" s="182" t="str">
        <v>KITCHEN</v>
      </c>
      <c r="H65" s="180" t="str">
        <v/>
      </c>
      <c r="I65" s="183" t="str">
        <v/>
      </c>
      <c r="J65" s="184" t="str">
        <v/>
      </c>
      <c r="K65" s="180" t="str">
        <v/>
      </c>
      <c r="L65" s="180" t="str">
        <v/>
      </c>
      <c r="M65" s="180" t="str">
        <v/>
      </c>
      <c r="N65" s="180" t="str">
        <v/>
      </c>
      <c r="O65" s="180" t="str">
        <v/>
      </c>
      <c r="P65" s="180" t="str">
        <v/>
      </c>
      <c r="Q65" s="180" t="str">
        <v/>
      </c>
      <c r="R65" s="180" t="str">
        <v/>
      </c>
      <c r="S65" s="180" t="str">
        <v>UTILITY ROOM</v>
      </c>
      <c r="T65" s="180" t="str">
        <v/>
      </c>
      <c r="U65" s="180" t="str">
        <v/>
      </c>
      <c r="V65" s="180" t="str">
        <v>UTILITY ROOM</v>
      </c>
      <c r="W65" s="180" t="str">
        <v/>
      </c>
      <c r="X65" s="180" t="str">
        <v/>
      </c>
      <c r="Y65" s="180" t="str">
        <v/>
      </c>
      <c r="Z65" s="180" t="str">
        <v/>
      </c>
      <c r="AA65" s="180" t="str">
        <v>KITCHEN</v>
      </c>
      <c r="AB65" s="180" t="str">
        <v/>
      </c>
      <c r="AC65" s="180" t="str">
        <v>UTILITY ROOM</v>
      </c>
      <c r="AD65" s="180" t="str">
        <v/>
      </c>
      <c r="AF65" s="164" t="str">
        <f>IF('[1]OMM_Building Matrix'!AF65="","",'[1]OMM_Building Matrix'!AF65)</f>
        <v>SCOPE OF WORK:</v>
      </c>
      <c r="AG65" s="178" t="str" cm="1">
        <f t="array" ref="AG65:AG66">'[1]OMM_Building Matrix'!$AG$65:$AG$66</f>
        <v>21 AREAS TO DELIVER</v>
      </c>
    </row>
    <row r="66" spans="2:33" ht="13.9" customHeight="1">
      <c r="B66" s="293"/>
      <c r="C66" s="180" t="str">
        <v/>
      </c>
      <c r="D66" s="180" t="str">
        <v/>
      </c>
      <c r="E66" s="180" t="str">
        <v/>
      </c>
      <c r="F66" s="181" t="str">
        <v/>
      </c>
      <c r="G66" s="182" t="str">
        <v>DINING</v>
      </c>
      <c r="H66" s="180" t="str">
        <v/>
      </c>
      <c r="I66" s="183" t="str">
        <v/>
      </c>
      <c r="J66" s="184" t="str">
        <v/>
      </c>
      <c r="K66" s="180" t="str">
        <v/>
      </c>
      <c r="L66" s="180" t="str">
        <v/>
      </c>
      <c r="M66" s="180" t="str">
        <v/>
      </c>
      <c r="N66" s="180" t="str">
        <v/>
      </c>
      <c r="O66" s="180" t="str">
        <v/>
      </c>
      <c r="P66" s="180" t="str">
        <v/>
      </c>
      <c r="Q66" s="180" t="str">
        <v/>
      </c>
      <c r="R66" s="180" t="str">
        <v/>
      </c>
      <c r="S66" s="180" t="str">
        <v>KITCHEN</v>
      </c>
      <c r="T66" s="180" t="str">
        <v/>
      </c>
      <c r="U66" s="180" t="str">
        <v/>
      </c>
      <c r="V66" s="180" t="str">
        <v>KITCHEN</v>
      </c>
      <c r="W66" s="180" t="str">
        <v/>
      </c>
      <c r="X66" s="180" t="str">
        <v/>
      </c>
      <c r="Y66" s="180" t="str">
        <v/>
      </c>
      <c r="Z66" s="180" t="str">
        <v/>
      </c>
      <c r="AA66" s="180" t="str">
        <v/>
      </c>
      <c r="AB66" s="180" t="str">
        <v/>
      </c>
      <c r="AC66" s="180" t="str">
        <v>KITCHEN</v>
      </c>
      <c r="AD66" s="180" t="str">
        <v/>
      </c>
      <c r="AF66" s="164" t="str">
        <f>IF('[1]OMM_Building Matrix'!AF66="","",'[1]OMM_Building Matrix'!AF66)</f>
        <v>UNITS IN SCOPE:</v>
      </c>
      <c r="AG66" s="167" t="str">
        <v>5 UNITS (1 COMBO)</v>
      </c>
    </row>
    <row r="67" spans="2:33" ht="13.9" customHeight="1">
      <c r="B67" s="293"/>
      <c r="C67" s="180" t="str">
        <v/>
      </c>
      <c r="D67" s="180" t="str">
        <v/>
      </c>
      <c r="E67" s="180" t="str">
        <v/>
      </c>
      <c r="F67" s="181" t="str">
        <v/>
      </c>
      <c r="G67" s="182" t="str">
        <v>PRIM BATH</v>
      </c>
      <c r="H67" s="180" t="str">
        <v/>
      </c>
      <c r="I67" s="183" t="str">
        <v/>
      </c>
      <c r="J67" s="184" t="str">
        <v/>
      </c>
      <c r="K67" s="180" t="str">
        <v/>
      </c>
      <c r="L67" s="180" t="str">
        <v/>
      </c>
      <c r="M67" s="180" t="str">
        <v/>
      </c>
      <c r="N67" s="180" t="str">
        <v/>
      </c>
      <c r="O67" s="180" t="str">
        <v/>
      </c>
      <c r="P67" s="180" t="str">
        <v/>
      </c>
      <c r="Q67" s="180" t="str">
        <v/>
      </c>
      <c r="R67" s="180" t="str">
        <v/>
      </c>
      <c r="S67" s="180" t="str">
        <v>PRIM BATH</v>
      </c>
      <c r="T67" s="180" t="str">
        <v/>
      </c>
      <c r="U67" s="180" t="str">
        <v/>
      </c>
      <c r="V67" s="180" t="str">
        <v>PRIM BATH</v>
      </c>
      <c r="W67" s="180" t="str">
        <v/>
      </c>
      <c r="X67" s="180" t="str">
        <v/>
      </c>
      <c r="Y67" s="180" t="str">
        <v/>
      </c>
      <c r="Z67" s="180" t="str">
        <v/>
      </c>
      <c r="AA67" s="180" t="str">
        <v/>
      </c>
      <c r="AB67" s="180" t="str">
        <v/>
      </c>
      <c r="AC67" s="180" t="str">
        <v>PRIM BATH</v>
      </c>
      <c r="AD67" s="180" t="str">
        <v/>
      </c>
      <c r="AF67" s="231" t="str">
        <f>IF('[1]OMM_Building Matrix'!AF67="","",'[1]OMM_Building Matrix'!AF67)</f>
        <v>DELIVERY SCHEDULE</v>
      </c>
      <c r="AG67" s="232" t="str">
        <f>IF('[1]OMM_Building Matrix'!AG67="","",'[1]OMM_Building Matrix'!AG67)</f>
        <v/>
      </c>
    </row>
    <row r="68" spans="2:33" ht="13.9" customHeight="1">
      <c r="B68" s="293"/>
      <c r="C68" s="180" t="str">
        <v/>
      </c>
      <c r="D68" s="180" t="str">
        <v/>
      </c>
      <c r="E68" s="180" t="str">
        <v/>
      </c>
      <c r="F68" s="181" t="str">
        <v/>
      </c>
      <c r="G68" s="182" t="str">
        <v>BATH 2</v>
      </c>
      <c r="H68" s="180" t="str">
        <v/>
      </c>
      <c r="I68" s="183" t="str">
        <v/>
      </c>
      <c r="J68" s="184" t="str">
        <v/>
      </c>
      <c r="K68" s="180" t="str">
        <v/>
      </c>
      <c r="L68" s="180" t="str">
        <v/>
      </c>
      <c r="M68" s="180" t="str">
        <v/>
      </c>
      <c r="N68" s="180" t="str">
        <v/>
      </c>
      <c r="O68" s="180" t="str">
        <v/>
      </c>
      <c r="P68" s="180" t="str">
        <v/>
      </c>
      <c r="Q68" s="180" t="str">
        <v/>
      </c>
      <c r="R68" s="180" t="str">
        <v/>
      </c>
      <c r="S68" s="180" t="str">
        <v/>
      </c>
      <c r="T68" s="180" t="str">
        <v/>
      </c>
      <c r="U68" s="180" t="str">
        <v/>
      </c>
      <c r="V68" s="180" t="str">
        <v/>
      </c>
      <c r="W68" s="180" t="str">
        <v/>
      </c>
      <c r="X68" s="180" t="str">
        <v/>
      </c>
      <c r="Y68" s="180" t="str">
        <v/>
      </c>
      <c r="Z68" s="180" t="str">
        <v/>
      </c>
      <c r="AA68" s="180" t="str">
        <v/>
      </c>
      <c r="AB68" s="180" t="str">
        <v/>
      </c>
      <c r="AC68" s="180" t="str">
        <v>BATH 2</v>
      </c>
      <c r="AD68" s="180" t="str">
        <v/>
      </c>
      <c r="AF68" s="176" t="str" cm="1">
        <f t="array" ref="AF68:AG73">'[1]OMM_Building Matrix'!$AF$68:$AG$73</f>
        <v>DELIVERY GR 1:</v>
      </c>
      <c r="AG68" s="179">
        <v>46304</v>
      </c>
    </row>
    <row r="69" spans="2:33" ht="13.9" customHeight="1">
      <c r="B69" s="293"/>
      <c r="C69" s="180" t="str">
        <v/>
      </c>
      <c r="D69" s="180" t="str">
        <v/>
      </c>
      <c r="E69" s="180" t="str">
        <v/>
      </c>
      <c r="F69" s="181" t="str">
        <v/>
      </c>
      <c r="G69" s="182" t="str">
        <v>BATH 3</v>
      </c>
      <c r="H69" s="180" t="str">
        <v/>
      </c>
      <c r="I69" s="183" t="str">
        <v/>
      </c>
      <c r="J69" s="184" t="str">
        <v/>
      </c>
      <c r="K69" s="180" t="str">
        <v/>
      </c>
      <c r="L69" s="180" t="str">
        <v/>
      </c>
      <c r="M69" s="180" t="str">
        <v/>
      </c>
      <c r="N69" s="180" t="str">
        <v/>
      </c>
      <c r="O69" s="180" t="str">
        <v/>
      </c>
      <c r="P69" s="180" t="str">
        <v/>
      </c>
      <c r="Q69" s="180" t="str">
        <v/>
      </c>
      <c r="R69" s="180" t="str">
        <v/>
      </c>
      <c r="S69" s="180" t="str">
        <v/>
      </c>
      <c r="T69" s="180" t="str">
        <v/>
      </c>
      <c r="U69" s="180" t="str">
        <v/>
      </c>
      <c r="V69" s="180" t="str">
        <v/>
      </c>
      <c r="W69" s="180" t="str">
        <v/>
      </c>
      <c r="X69" s="180" t="str">
        <v/>
      </c>
      <c r="Y69" s="180" t="str">
        <v/>
      </c>
      <c r="Z69" s="180" t="str">
        <v/>
      </c>
      <c r="AA69" s="180" t="str">
        <v/>
      </c>
      <c r="AB69" s="180" t="str">
        <v/>
      </c>
      <c r="AC69" s="180" t="str">
        <v/>
      </c>
      <c r="AD69" s="180" t="str">
        <v/>
      </c>
      <c r="AF69" s="165" t="str">
        <v>DELIVERY GR 2:</v>
      </c>
      <c r="AG69" s="167">
        <v>46309</v>
      </c>
    </row>
    <row r="70" spans="2:33" ht="13.9" customHeight="1">
      <c r="B70" s="293"/>
      <c r="C70" s="180" t="str">
        <v/>
      </c>
      <c r="D70" s="180" t="str">
        <v/>
      </c>
      <c r="E70" s="180" t="str">
        <v/>
      </c>
      <c r="F70" s="181" t="str">
        <v/>
      </c>
      <c r="G70" s="182" t="str">
        <v/>
      </c>
      <c r="H70" s="180" t="str">
        <v/>
      </c>
      <c r="I70" s="183" t="str">
        <v/>
      </c>
      <c r="J70" s="184" t="str">
        <v/>
      </c>
      <c r="K70" s="180" t="str">
        <v/>
      </c>
      <c r="L70" s="180" t="str">
        <v/>
      </c>
      <c r="M70" s="180" t="str">
        <v/>
      </c>
      <c r="N70" s="180" t="str">
        <v/>
      </c>
      <c r="O70" s="180" t="str">
        <v/>
      </c>
      <c r="P70" s="180" t="str">
        <v/>
      </c>
      <c r="Q70" s="180" t="str">
        <v/>
      </c>
      <c r="R70" s="180" t="str">
        <v/>
      </c>
      <c r="S70" s="180" t="str">
        <v/>
      </c>
      <c r="T70" s="180" t="str">
        <v/>
      </c>
      <c r="U70" s="180" t="str">
        <v/>
      </c>
      <c r="V70" s="180" t="str">
        <v/>
      </c>
      <c r="W70" s="180" t="str">
        <v/>
      </c>
      <c r="X70" s="180" t="str">
        <v/>
      </c>
      <c r="Y70" s="180" t="str">
        <v/>
      </c>
      <c r="Z70" s="180" t="str">
        <v/>
      </c>
      <c r="AA70" s="180" t="str">
        <v/>
      </c>
      <c r="AB70" s="180" t="str">
        <v/>
      </c>
      <c r="AC70" s="180" t="str">
        <v/>
      </c>
      <c r="AD70" s="180" t="str">
        <v/>
      </c>
      <c r="AF70" s="165" t="str">
        <v>DELIVERY GR 3:</v>
      </c>
      <c r="AG70" s="167">
        <v>46314</v>
      </c>
    </row>
    <row r="71" spans="2:33" ht="13.9" customHeight="1">
      <c r="B71" s="293"/>
      <c r="C71" s="180" t="str">
        <v/>
      </c>
      <c r="D71" s="180" t="str">
        <v/>
      </c>
      <c r="E71" s="180" t="str">
        <v/>
      </c>
      <c r="F71" s="181" t="str">
        <v/>
      </c>
      <c r="G71" s="182" t="str">
        <v/>
      </c>
      <c r="H71" s="180" t="str">
        <v/>
      </c>
      <c r="I71" s="183" t="str">
        <v/>
      </c>
      <c r="J71" s="184" t="str">
        <v/>
      </c>
      <c r="K71" s="180" t="str">
        <v/>
      </c>
      <c r="L71" s="180" t="str">
        <v/>
      </c>
      <c r="M71" s="180" t="str">
        <v/>
      </c>
      <c r="N71" s="180" t="str">
        <v/>
      </c>
      <c r="O71" s="180" t="str">
        <v/>
      </c>
      <c r="P71" s="180" t="str">
        <v/>
      </c>
      <c r="Q71" s="180" t="str">
        <v/>
      </c>
      <c r="R71" s="180" t="str">
        <v/>
      </c>
      <c r="S71" s="180" t="str">
        <v/>
      </c>
      <c r="T71" s="180" t="str">
        <v/>
      </c>
      <c r="U71" s="180" t="str">
        <v/>
      </c>
      <c r="V71" s="180" t="str">
        <v/>
      </c>
      <c r="W71" s="180" t="str">
        <v/>
      </c>
      <c r="X71" s="180" t="str">
        <v/>
      </c>
      <c r="Y71" s="180" t="str">
        <v/>
      </c>
      <c r="Z71" s="180" t="str">
        <v/>
      </c>
      <c r="AA71" s="180" t="str">
        <v/>
      </c>
      <c r="AB71" s="180" t="str">
        <v/>
      </c>
      <c r="AC71" s="180" t="str">
        <v/>
      </c>
      <c r="AD71" s="180" t="str">
        <v/>
      </c>
      <c r="AF71" s="165" t="str">
        <v>DELIVERY GR 4:</v>
      </c>
      <c r="AG71" s="167">
        <v>46317</v>
      </c>
    </row>
    <row r="72" spans="2:33" ht="13.9" customHeight="1">
      <c r="B72" s="293"/>
      <c r="C72" s="180" t="str">
        <v/>
      </c>
      <c r="D72" s="180" t="str">
        <v/>
      </c>
      <c r="E72" s="180" t="str">
        <v/>
      </c>
      <c r="F72" s="181" t="str">
        <v/>
      </c>
      <c r="G72" s="182" t="str">
        <v/>
      </c>
      <c r="H72" s="180" t="str">
        <v/>
      </c>
      <c r="I72" s="183" t="str">
        <v/>
      </c>
      <c r="J72" s="184" t="str">
        <v/>
      </c>
      <c r="K72" s="180" t="str">
        <v/>
      </c>
      <c r="L72" s="180" t="str">
        <v/>
      </c>
      <c r="M72" s="180" t="str">
        <v/>
      </c>
      <c r="N72" s="180" t="str">
        <v/>
      </c>
      <c r="O72" s="180" t="str">
        <v/>
      </c>
      <c r="P72" s="180" t="str">
        <v/>
      </c>
      <c r="Q72" s="180" t="str">
        <v/>
      </c>
      <c r="R72" s="180" t="str">
        <v/>
      </c>
      <c r="S72" s="180" t="str">
        <v/>
      </c>
      <c r="T72" s="180" t="str">
        <v/>
      </c>
      <c r="U72" s="180" t="str">
        <v/>
      </c>
      <c r="V72" s="180" t="str">
        <v/>
      </c>
      <c r="W72" s="180" t="str">
        <v/>
      </c>
      <c r="X72" s="180" t="str">
        <v/>
      </c>
      <c r="Y72" s="180" t="str">
        <v/>
      </c>
      <c r="Z72" s="180" t="str">
        <v/>
      </c>
      <c r="AA72" s="180" t="str">
        <v/>
      </c>
      <c r="AB72" s="180" t="str">
        <v/>
      </c>
      <c r="AC72" s="180" t="str">
        <v/>
      </c>
      <c r="AD72" s="180" t="str">
        <v/>
      </c>
      <c r="AF72" s="165" t="str">
        <v>DELIVERY GR 5:</v>
      </c>
      <c r="AG72" s="167">
        <v>46322</v>
      </c>
    </row>
    <row r="73" spans="2:33" ht="13.9" customHeight="1">
      <c r="B73" s="294"/>
      <c r="C73" s="180" t="str">
        <v/>
      </c>
      <c r="D73" s="180" t="str">
        <v/>
      </c>
      <c r="E73" s="180" t="str">
        <v/>
      </c>
      <c r="F73" s="181" t="str">
        <v/>
      </c>
      <c r="G73" s="185" t="str">
        <v/>
      </c>
      <c r="H73" s="186" t="str">
        <v/>
      </c>
      <c r="I73" s="187" t="str">
        <v/>
      </c>
      <c r="J73" s="184" t="str">
        <v/>
      </c>
      <c r="K73" s="180" t="str">
        <v/>
      </c>
      <c r="L73" s="180" t="str">
        <v/>
      </c>
      <c r="M73" s="180" t="str">
        <v/>
      </c>
      <c r="N73" s="180" t="str">
        <v/>
      </c>
      <c r="O73" s="180" t="str">
        <v/>
      </c>
      <c r="P73" s="180" t="str">
        <v/>
      </c>
      <c r="Q73" s="180" t="str">
        <v/>
      </c>
      <c r="R73" s="180" t="str">
        <v/>
      </c>
      <c r="S73" s="180" t="str">
        <v/>
      </c>
      <c r="T73" s="180" t="str">
        <v/>
      </c>
      <c r="U73" s="180" t="str">
        <v/>
      </c>
      <c r="V73" s="180" t="str">
        <v/>
      </c>
      <c r="W73" s="180" t="str">
        <v/>
      </c>
      <c r="X73" s="180" t="str">
        <v/>
      </c>
      <c r="Y73" s="180" t="str">
        <v/>
      </c>
      <c r="Z73" s="180" t="str">
        <v/>
      </c>
      <c r="AA73" s="180" t="str">
        <v/>
      </c>
      <c r="AB73" s="180" t="str">
        <v/>
      </c>
      <c r="AC73" s="180" t="str">
        <v/>
      </c>
      <c r="AD73" s="180" t="str">
        <v/>
      </c>
      <c r="AF73" s="166" t="str">
        <v>DELIVERY GR 6:</v>
      </c>
      <c r="AG73" s="167">
        <v>46325</v>
      </c>
    </row>
    <row r="74" spans="2:33" ht="18" customHeight="1">
      <c r="B74" s="289">
        <v>2</v>
      </c>
      <c r="C74" s="144">
        <v>2001</v>
      </c>
      <c r="D74" s="144">
        <v>2002</v>
      </c>
      <c r="E74" s="144">
        <v>2003</v>
      </c>
      <c r="F74" s="144">
        <v>2004</v>
      </c>
      <c r="G74" s="148">
        <v>2005</v>
      </c>
      <c r="H74" s="148">
        <v>2006</v>
      </c>
      <c r="I74" s="148">
        <v>2007</v>
      </c>
      <c r="J74" s="144">
        <v>2008</v>
      </c>
      <c r="K74" s="144">
        <v>2009</v>
      </c>
      <c r="L74" s="144">
        <v>2010</v>
      </c>
      <c r="M74" s="144">
        <v>2011</v>
      </c>
      <c r="N74" s="144">
        <v>2012</v>
      </c>
      <c r="O74" s="144">
        <v>2013</v>
      </c>
      <c r="P74" s="144">
        <v>2014</v>
      </c>
      <c r="Q74" s="144">
        <v>2015</v>
      </c>
      <c r="R74" s="144">
        <v>2016</v>
      </c>
      <c r="S74" s="144">
        <v>2017</v>
      </c>
      <c r="T74" s="144">
        <v>2018</v>
      </c>
      <c r="U74" s="144">
        <v>2019</v>
      </c>
      <c r="V74" s="144">
        <v>2020</v>
      </c>
      <c r="W74" s="144">
        <v>2021</v>
      </c>
      <c r="X74" s="144">
        <v>2022</v>
      </c>
      <c r="Y74" s="144">
        <v>2023</v>
      </c>
      <c r="Z74" s="144">
        <v>2024</v>
      </c>
      <c r="AA74" s="144">
        <v>2025</v>
      </c>
      <c r="AB74" s="144">
        <v>2026</v>
      </c>
      <c r="AC74" s="144">
        <v>2027</v>
      </c>
      <c r="AD74" s="144">
        <v>2028</v>
      </c>
      <c r="AF74" s="295" t="str">
        <f>IF('[1]OMM_Building Matrix'!AF74="","",'[1]OMM_Building Matrix'!AF74)</f>
        <v>2th FLOOR</v>
      </c>
      <c r="AG74" s="295"/>
    </row>
    <row r="75" spans="2:33" ht="13.9" customHeight="1">
      <c r="B75" s="293"/>
      <c r="C75" s="180" t="str">
        <v/>
      </c>
      <c r="D75" s="180" t="str">
        <v/>
      </c>
      <c r="E75" s="180" t="str">
        <v/>
      </c>
      <c r="F75" s="180" t="str">
        <v/>
      </c>
      <c r="G75" s="180" t="str">
        <v/>
      </c>
      <c r="H75" s="180" t="str">
        <v>BEV CENTER</v>
      </c>
      <c r="I75" s="180" t="str">
        <v>FOYER</v>
      </c>
      <c r="J75" s="180" t="str">
        <v/>
      </c>
      <c r="K75" s="180" t="str">
        <v/>
      </c>
      <c r="L75" s="180" t="str">
        <v/>
      </c>
      <c r="M75" s="180" t="str">
        <v/>
      </c>
      <c r="N75" s="180" t="str">
        <v/>
      </c>
      <c r="O75" s="180" t="str">
        <v/>
      </c>
      <c r="P75" s="180" t="str">
        <v/>
      </c>
      <c r="Q75" s="180" t="str">
        <v>FOYER</v>
      </c>
      <c r="R75" s="180" t="str">
        <v/>
      </c>
      <c r="S75" s="180" t="str">
        <v/>
      </c>
      <c r="T75" s="180" t="str">
        <v/>
      </c>
      <c r="U75" s="180" t="str">
        <v/>
      </c>
      <c r="V75" s="180" t="str">
        <v/>
      </c>
      <c r="W75" s="180" t="str">
        <v/>
      </c>
      <c r="X75" s="180" t="str">
        <v/>
      </c>
      <c r="Y75" s="180" t="str">
        <v>FOYER</v>
      </c>
      <c r="Z75" s="180" t="str">
        <v/>
      </c>
      <c r="AA75" s="180" t="str">
        <v/>
      </c>
      <c r="AB75" s="180" t="str">
        <v/>
      </c>
      <c r="AC75" s="180" t="str">
        <v/>
      </c>
      <c r="AD75" s="180" t="str">
        <v/>
      </c>
      <c r="AF75" s="203" t="str">
        <f>IF('[1]OMM_Building Matrix'!AF75="","",'[1]OMM_Building Matrix'!AF75)</f>
        <v>SCOPE OF WORK:</v>
      </c>
      <c r="AG75" s="204" t="str">
        <f>IF('[1]OMM_Building Matrix'!AG75="","",'[1]OMM_Building Matrix'!AG75)</f>
        <v/>
      </c>
    </row>
    <row r="76" spans="2:33" ht="13.9" customHeight="1">
      <c r="B76" s="293"/>
      <c r="C76" s="180" t="str">
        <v/>
      </c>
      <c r="D76" s="180" t="str">
        <v/>
      </c>
      <c r="E76" s="180" t="str">
        <v/>
      </c>
      <c r="F76" s="180" t="str">
        <v/>
      </c>
      <c r="G76" s="180" t="str">
        <v/>
      </c>
      <c r="H76" s="180" t="str">
        <v>LAUNDRY CLOSET</v>
      </c>
      <c r="I76" s="180" t="str">
        <v>UTILITY ROOM</v>
      </c>
      <c r="J76" s="180" t="str">
        <v/>
      </c>
      <c r="K76" s="180" t="str">
        <v/>
      </c>
      <c r="L76" s="180" t="str">
        <v/>
      </c>
      <c r="M76" s="180" t="str">
        <v/>
      </c>
      <c r="N76" s="180" t="str">
        <v/>
      </c>
      <c r="O76" s="180" t="str">
        <v/>
      </c>
      <c r="P76" s="180" t="str">
        <v/>
      </c>
      <c r="Q76" s="180" t="str">
        <v>HALL</v>
      </c>
      <c r="R76" s="180" t="str">
        <v/>
      </c>
      <c r="S76" s="180" t="str">
        <v/>
      </c>
      <c r="T76" s="180" t="str">
        <v/>
      </c>
      <c r="U76" s="180" t="str">
        <v/>
      </c>
      <c r="V76" s="180" t="str">
        <v/>
      </c>
      <c r="W76" s="180" t="str">
        <v/>
      </c>
      <c r="X76" s="180" t="str">
        <v/>
      </c>
      <c r="Y76" s="180" t="str">
        <v>HALL</v>
      </c>
      <c r="Z76" s="180" t="str">
        <v/>
      </c>
      <c r="AA76" s="180" t="str">
        <v/>
      </c>
      <c r="AB76" s="180" t="str">
        <v/>
      </c>
      <c r="AC76" s="180" t="str">
        <v/>
      </c>
      <c r="AD76" s="180" t="str">
        <v/>
      </c>
      <c r="AF76" s="164" t="str">
        <f>IF('[1]OMM_Building Matrix'!AF76="","",'[1]OMM_Building Matrix'!AF76)</f>
        <v>SCOPE OF WORK:</v>
      </c>
      <c r="AG76" s="178" t="str" cm="1">
        <f t="array" ref="AG76:AG77">'[1]OMM_Building Matrix'!$AG$76:$AG$77</f>
        <v>19 AREAS TO DELIVER</v>
      </c>
    </row>
    <row r="77" spans="2:33" ht="13.9" customHeight="1">
      <c r="B77" s="293"/>
      <c r="C77" s="180" t="str">
        <v/>
      </c>
      <c r="D77" s="180" t="str">
        <v/>
      </c>
      <c r="E77" s="180" t="str">
        <v/>
      </c>
      <c r="F77" s="180" t="str">
        <v/>
      </c>
      <c r="G77" s="180" t="str">
        <v/>
      </c>
      <c r="H77" s="180" t="str">
        <v/>
      </c>
      <c r="I77" s="180" t="str">
        <v>KITCHEN</v>
      </c>
      <c r="J77" s="180" t="str">
        <v/>
      </c>
      <c r="K77" s="180" t="str">
        <v/>
      </c>
      <c r="L77" s="180" t="str">
        <v/>
      </c>
      <c r="M77" s="180" t="str">
        <v/>
      </c>
      <c r="N77" s="180" t="str">
        <v/>
      </c>
      <c r="O77" s="180" t="str">
        <v/>
      </c>
      <c r="P77" s="180" t="str">
        <v/>
      </c>
      <c r="Q77" s="180" t="str">
        <v>UTILITY ROOM</v>
      </c>
      <c r="R77" s="180" t="str">
        <v/>
      </c>
      <c r="S77" s="180" t="str">
        <v/>
      </c>
      <c r="T77" s="180" t="str">
        <v/>
      </c>
      <c r="U77" s="180" t="str">
        <v/>
      </c>
      <c r="V77" s="180" t="str">
        <v/>
      </c>
      <c r="W77" s="180" t="str">
        <v/>
      </c>
      <c r="X77" s="180" t="str">
        <v/>
      </c>
      <c r="Y77" s="180" t="str">
        <v>UTILITY ROOM</v>
      </c>
      <c r="Z77" s="180" t="str">
        <v/>
      </c>
      <c r="AA77" s="180" t="str">
        <v/>
      </c>
      <c r="AB77" s="180" t="str">
        <v/>
      </c>
      <c r="AC77" s="180" t="str">
        <v/>
      </c>
      <c r="AD77" s="180" t="str">
        <v/>
      </c>
      <c r="AF77" s="164" t="str">
        <f>IF('[1]OMM_Building Matrix'!AF77="","",'[1]OMM_Building Matrix'!AF77)</f>
        <v>UNITS IN SCOPE:</v>
      </c>
      <c r="AG77" s="167" t="str">
        <v>4 UNITS (0 COMBO)</v>
      </c>
    </row>
    <row r="78" spans="2:33" ht="13.9" customHeight="1">
      <c r="B78" s="293"/>
      <c r="C78" s="180" t="str">
        <v/>
      </c>
      <c r="D78" s="180" t="str">
        <v/>
      </c>
      <c r="E78" s="180" t="str">
        <v/>
      </c>
      <c r="F78" s="180" t="str">
        <v/>
      </c>
      <c r="G78" s="180" t="str">
        <v/>
      </c>
      <c r="H78" s="180" t="str">
        <v/>
      </c>
      <c r="I78" s="180" t="str">
        <v>PRIM BATH</v>
      </c>
      <c r="J78" s="180" t="str">
        <v/>
      </c>
      <c r="K78" s="180" t="str">
        <v/>
      </c>
      <c r="L78" s="180" t="str">
        <v/>
      </c>
      <c r="M78" s="180" t="str">
        <v/>
      </c>
      <c r="N78" s="180" t="str">
        <v/>
      </c>
      <c r="O78" s="180" t="str">
        <v/>
      </c>
      <c r="P78" s="180" t="str">
        <v/>
      </c>
      <c r="Q78" s="180" t="str">
        <v>KITCHEN</v>
      </c>
      <c r="R78" s="180" t="str">
        <v/>
      </c>
      <c r="S78" s="180" t="str">
        <v/>
      </c>
      <c r="T78" s="180" t="str">
        <v/>
      </c>
      <c r="U78" s="180" t="str">
        <v/>
      </c>
      <c r="V78" s="180" t="str">
        <v/>
      </c>
      <c r="W78" s="180" t="str">
        <v/>
      </c>
      <c r="X78" s="180" t="str">
        <v/>
      </c>
      <c r="Y78" s="180" t="str">
        <v>KITCHEN</v>
      </c>
      <c r="Z78" s="180" t="str">
        <v/>
      </c>
      <c r="AA78" s="180" t="str">
        <v/>
      </c>
      <c r="AB78" s="180" t="str">
        <v/>
      </c>
      <c r="AC78" s="180" t="str">
        <v/>
      </c>
      <c r="AD78" s="180" t="str">
        <v/>
      </c>
      <c r="AF78" s="231" t="str">
        <f>IF('[1]OMM_Building Matrix'!AF78="","",'[1]OMM_Building Matrix'!AF78)</f>
        <v>DELIVERY SCHEDULE</v>
      </c>
      <c r="AG78" s="232" t="str">
        <f>IF('[1]OMM_Building Matrix'!AG78="","",'[1]OMM_Building Matrix'!AG78)</f>
        <v/>
      </c>
    </row>
    <row r="79" spans="2:33" ht="13.9" customHeight="1">
      <c r="B79" s="293"/>
      <c r="C79" s="180" t="str">
        <v/>
      </c>
      <c r="D79" s="180" t="str">
        <v/>
      </c>
      <c r="E79" s="180" t="str">
        <v/>
      </c>
      <c r="F79" s="180" t="str">
        <v/>
      </c>
      <c r="G79" s="180" t="str">
        <v/>
      </c>
      <c r="H79" s="180" t="str">
        <v/>
      </c>
      <c r="I79" s="180" t="str">
        <v/>
      </c>
      <c r="J79" s="180" t="str">
        <v/>
      </c>
      <c r="K79" s="180" t="str">
        <v/>
      </c>
      <c r="L79" s="180" t="str">
        <v/>
      </c>
      <c r="M79" s="180" t="str">
        <v/>
      </c>
      <c r="N79" s="180" t="str">
        <v/>
      </c>
      <c r="O79" s="180" t="str">
        <v/>
      </c>
      <c r="P79" s="180" t="str">
        <v/>
      </c>
      <c r="Q79" s="180" t="str">
        <v>PRIM BATH</v>
      </c>
      <c r="R79" s="180" t="str">
        <v/>
      </c>
      <c r="S79" s="180" t="str">
        <v/>
      </c>
      <c r="T79" s="180" t="str">
        <v/>
      </c>
      <c r="U79" s="180" t="str">
        <v/>
      </c>
      <c r="V79" s="180" t="str">
        <v/>
      </c>
      <c r="W79" s="180" t="str">
        <v/>
      </c>
      <c r="X79" s="180" t="str">
        <v/>
      </c>
      <c r="Y79" s="180" t="str">
        <v>PRIM BATH</v>
      </c>
      <c r="Z79" s="180" t="str">
        <v/>
      </c>
      <c r="AA79" s="180" t="str">
        <v/>
      </c>
      <c r="AB79" s="180" t="str">
        <v/>
      </c>
      <c r="AC79" s="180" t="str">
        <v/>
      </c>
      <c r="AD79" s="180" t="str">
        <v/>
      </c>
      <c r="AF79" s="176" t="str" cm="1">
        <f t="array" ref="AF79:AG84">'[1]OMM_Building Matrix'!$AF$79:$AG$84</f>
        <v>DELIVERY GR 1:</v>
      </c>
      <c r="AG79" s="179">
        <v>46281</v>
      </c>
    </row>
    <row r="80" spans="2:33" ht="13.9" customHeight="1">
      <c r="B80" s="293"/>
      <c r="C80" s="180" t="str">
        <v/>
      </c>
      <c r="D80" s="180" t="str">
        <v/>
      </c>
      <c r="E80" s="180" t="str">
        <v/>
      </c>
      <c r="F80" s="180" t="str">
        <v/>
      </c>
      <c r="G80" s="180" t="str">
        <v/>
      </c>
      <c r="H80" s="180" t="str">
        <v/>
      </c>
      <c r="I80" s="180" t="str">
        <v/>
      </c>
      <c r="J80" s="180" t="str">
        <v/>
      </c>
      <c r="K80" s="180" t="str">
        <v/>
      </c>
      <c r="L80" s="180" t="str">
        <v/>
      </c>
      <c r="M80" s="180" t="str">
        <v/>
      </c>
      <c r="N80" s="180" t="str">
        <v/>
      </c>
      <c r="O80" s="180" t="str">
        <v/>
      </c>
      <c r="P80" s="180" t="str">
        <v/>
      </c>
      <c r="Q80" s="180" t="str">
        <v>BATH 2</v>
      </c>
      <c r="R80" s="180" t="str">
        <v/>
      </c>
      <c r="S80" s="180" t="str">
        <v/>
      </c>
      <c r="T80" s="180" t="str">
        <v/>
      </c>
      <c r="U80" s="180" t="str">
        <v/>
      </c>
      <c r="V80" s="180" t="str">
        <v/>
      </c>
      <c r="W80" s="180" t="str">
        <v/>
      </c>
      <c r="X80" s="180" t="str">
        <v/>
      </c>
      <c r="Y80" s="180" t="str">
        <v>BATH 2</v>
      </c>
      <c r="Z80" s="180" t="str">
        <v/>
      </c>
      <c r="AA80" s="180" t="str">
        <v/>
      </c>
      <c r="AB80" s="180" t="str">
        <v/>
      </c>
      <c r="AC80" s="180" t="str">
        <v/>
      </c>
      <c r="AD80" s="180" t="str">
        <v/>
      </c>
      <c r="AF80" s="165" t="str">
        <v>DELIVERY GR 2:</v>
      </c>
      <c r="AG80" s="167">
        <v>46286</v>
      </c>
    </row>
    <row r="81" spans="2:33" ht="13.9" customHeight="1">
      <c r="B81" s="293"/>
      <c r="C81" s="180" t="str">
        <v/>
      </c>
      <c r="D81" s="180" t="str">
        <v/>
      </c>
      <c r="E81" s="180" t="str">
        <v/>
      </c>
      <c r="F81" s="180" t="str">
        <v/>
      </c>
      <c r="G81" s="180" t="str">
        <v/>
      </c>
      <c r="H81" s="180" t="str">
        <v/>
      </c>
      <c r="I81" s="180" t="str">
        <v/>
      </c>
      <c r="J81" s="180" t="str">
        <v/>
      </c>
      <c r="K81" s="180" t="str">
        <v/>
      </c>
      <c r="L81" s="180" t="str">
        <v/>
      </c>
      <c r="M81" s="180" t="str">
        <v/>
      </c>
      <c r="N81" s="180" t="str">
        <v/>
      </c>
      <c r="O81" s="180" t="str">
        <v/>
      </c>
      <c r="P81" s="180" t="str">
        <v/>
      </c>
      <c r="Q81" s="180" t="str">
        <v/>
      </c>
      <c r="R81" s="180" t="str">
        <v/>
      </c>
      <c r="S81" s="180" t="str">
        <v/>
      </c>
      <c r="T81" s="180" t="str">
        <v/>
      </c>
      <c r="U81" s="180" t="str">
        <v/>
      </c>
      <c r="V81" s="180" t="str">
        <v/>
      </c>
      <c r="W81" s="180" t="str">
        <v/>
      </c>
      <c r="X81" s="180" t="str">
        <v/>
      </c>
      <c r="Y81" s="180" t="str">
        <v>BED 2</v>
      </c>
      <c r="Z81" s="180" t="str">
        <v/>
      </c>
      <c r="AA81" s="180" t="str">
        <v/>
      </c>
      <c r="AB81" s="180" t="str">
        <v/>
      </c>
      <c r="AC81" s="180" t="str">
        <v/>
      </c>
      <c r="AD81" s="180" t="str">
        <v/>
      </c>
      <c r="AF81" s="165" t="str">
        <v>DELIVERY GR 3:</v>
      </c>
      <c r="AG81" s="167">
        <v>46289</v>
      </c>
    </row>
    <row r="82" spans="2:33" ht="13.9" customHeight="1">
      <c r="B82" s="293"/>
      <c r="C82" s="180" t="str">
        <v/>
      </c>
      <c r="D82" s="180" t="str">
        <v/>
      </c>
      <c r="E82" s="180" t="str">
        <v/>
      </c>
      <c r="F82" s="180" t="str">
        <v/>
      </c>
      <c r="G82" s="180" t="str">
        <v/>
      </c>
      <c r="H82" s="180" t="str">
        <v/>
      </c>
      <c r="I82" s="180" t="str">
        <v/>
      </c>
      <c r="J82" s="180" t="str">
        <v/>
      </c>
      <c r="K82" s="180" t="str">
        <v/>
      </c>
      <c r="L82" s="180" t="str">
        <v/>
      </c>
      <c r="M82" s="180" t="str">
        <v/>
      </c>
      <c r="N82" s="180" t="str">
        <v/>
      </c>
      <c r="O82" s="180" t="str">
        <v/>
      </c>
      <c r="P82" s="180" t="str">
        <v/>
      </c>
      <c r="Q82" s="180" t="str">
        <v/>
      </c>
      <c r="R82" s="180" t="str">
        <v/>
      </c>
      <c r="S82" s="180" t="str">
        <v/>
      </c>
      <c r="T82" s="180" t="str">
        <v/>
      </c>
      <c r="U82" s="180" t="str">
        <v/>
      </c>
      <c r="V82" s="180" t="str">
        <v/>
      </c>
      <c r="W82" s="180" t="str">
        <v/>
      </c>
      <c r="X82" s="180" t="str">
        <v/>
      </c>
      <c r="Y82" s="180" t="str">
        <v/>
      </c>
      <c r="Z82" s="180" t="str">
        <v/>
      </c>
      <c r="AA82" s="180" t="str">
        <v/>
      </c>
      <c r="AB82" s="180" t="str">
        <v/>
      </c>
      <c r="AC82" s="180" t="str">
        <v/>
      </c>
      <c r="AD82" s="180" t="str">
        <v/>
      </c>
      <c r="AF82" s="165" t="str">
        <v>DELIVERY GR 4:</v>
      </c>
      <c r="AG82" s="167">
        <v>46294</v>
      </c>
    </row>
    <row r="83" spans="2:33" ht="13.9" customHeight="1">
      <c r="B83" s="293"/>
      <c r="C83" s="180" t="str">
        <v/>
      </c>
      <c r="D83" s="180" t="str">
        <v/>
      </c>
      <c r="E83" s="180" t="str">
        <v/>
      </c>
      <c r="F83" s="180" t="str">
        <v/>
      </c>
      <c r="G83" s="180" t="str">
        <v/>
      </c>
      <c r="H83" s="180" t="str">
        <v/>
      </c>
      <c r="I83" s="180" t="str">
        <v/>
      </c>
      <c r="J83" s="180" t="str">
        <v/>
      </c>
      <c r="K83" s="180" t="str">
        <v/>
      </c>
      <c r="L83" s="180" t="str">
        <v/>
      </c>
      <c r="M83" s="180" t="str">
        <v/>
      </c>
      <c r="N83" s="180" t="str">
        <v/>
      </c>
      <c r="O83" s="180" t="str">
        <v/>
      </c>
      <c r="P83" s="180" t="str">
        <v/>
      </c>
      <c r="Q83" s="180" t="str">
        <v/>
      </c>
      <c r="R83" s="180" t="str">
        <v/>
      </c>
      <c r="S83" s="180" t="str">
        <v/>
      </c>
      <c r="T83" s="180" t="str">
        <v/>
      </c>
      <c r="U83" s="180" t="str">
        <v/>
      </c>
      <c r="V83" s="180" t="str">
        <v/>
      </c>
      <c r="W83" s="180" t="str">
        <v/>
      </c>
      <c r="X83" s="180" t="str">
        <v/>
      </c>
      <c r="Y83" s="180" t="str">
        <v/>
      </c>
      <c r="Z83" s="180" t="str">
        <v/>
      </c>
      <c r="AA83" s="180" t="str">
        <v/>
      </c>
      <c r="AB83" s="180" t="str">
        <v/>
      </c>
      <c r="AC83" s="180" t="str">
        <v/>
      </c>
      <c r="AD83" s="180" t="str">
        <v/>
      </c>
      <c r="AF83" s="165" t="str">
        <v>DELIVERY GR 5:</v>
      </c>
      <c r="AG83" s="167">
        <v>46297</v>
      </c>
    </row>
    <row r="84" spans="2:33" ht="13.9" customHeight="1">
      <c r="B84" s="294"/>
      <c r="C84" s="180" t="str">
        <v/>
      </c>
      <c r="D84" s="180" t="str">
        <v/>
      </c>
      <c r="E84" s="180" t="str">
        <v/>
      </c>
      <c r="F84" s="180" t="str">
        <v/>
      </c>
      <c r="G84" s="180" t="str">
        <v/>
      </c>
      <c r="H84" s="180" t="str">
        <v/>
      </c>
      <c r="I84" s="180" t="str">
        <v/>
      </c>
      <c r="J84" s="180" t="str">
        <v/>
      </c>
      <c r="K84" s="180" t="str">
        <v/>
      </c>
      <c r="L84" s="180" t="str">
        <v/>
      </c>
      <c r="M84" s="180" t="str">
        <v/>
      </c>
      <c r="N84" s="180" t="str">
        <v/>
      </c>
      <c r="O84" s="180" t="str">
        <v/>
      </c>
      <c r="P84" s="180" t="str">
        <v/>
      </c>
      <c r="Q84" s="180" t="str">
        <v/>
      </c>
      <c r="R84" s="180" t="str">
        <v/>
      </c>
      <c r="S84" s="180" t="str">
        <v/>
      </c>
      <c r="T84" s="180" t="str">
        <v/>
      </c>
      <c r="U84" s="180" t="str">
        <v/>
      </c>
      <c r="V84" s="180" t="str">
        <v/>
      </c>
      <c r="W84" s="180" t="str">
        <v/>
      </c>
      <c r="X84" s="180" t="str">
        <v/>
      </c>
      <c r="Y84" s="180" t="str">
        <v/>
      </c>
      <c r="Z84" s="180" t="str">
        <v/>
      </c>
      <c r="AA84" s="180" t="str">
        <v/>
      </c>
      <c r="AB84" s="180" t="str">
        <v/>
      </c>
      <c r="AC84" s="180" t="str">
        <v/>
      </c>
      <c r="AD84" s="180" t="str">
        <v/>
      </c>
      <c r="AF84" s="166" t="str">
        <v>DELIVERY GR 6:</v>
      </c>
      <c r="AG84" s="168">
        <v>46302</v>
      </c>
    </row>
    <row r="1048576" spans="33:33">
      <c r="AG1048576" s="163">
        <f>'OMM_Buildout '!F1048508</f>
        <v>0</v>
      </c>
    </row>
  </sheetData>
  <mergeCells count="16">
    <mergeCell ref="B52:B62"/>
    <mergeCell ref="B63:B73"/>
    <mergeCell ref="B74:B84"/>
    <mergeCell ref="AF52:AG52"/>
    <mergeCell ref="AF63:AG63"/>
    <mergeCell ref="AF74:AG74"/>
    <mergeCell ref="AF5:AG6"/>
    <mergeCell ref="AF7:AG7"/>
    <mergeCell ref="AF8:AG8"/>
    <mergeCell ref="AF19:AG19"/>
    <mergeCell ref="AF30:AG30"/>
    <mergeCell ref="B8:B18"/>
    <mergeCell ref="B19:B29"/>
    <mergeCell ref="B30:B40"/>
    <mergeCell ref="B41:B51"/>
    <mergeCell ref="AF41:AG41"/>
  </mergeCells>
  <pageMargins left="0.7" right="0.7" top="0.75" bottom="0.75" header="0.3" footer="0.3"/>
  <pageSetup paperSize="17" scale="56" orientation="landscape" r:id="rId1"/>
  <extLst>
    <ext xmlns:x14="http://schemas.microsoft.com/office/spreadsheetml/2009/9/main" uri="{78C0D931-6437-407d-A8EE-F0AAD7539E65}">
      <x14:conditionalFormattings>
        <x14:conditionalFormatting xmlns:xm="http://schemas.microsoft.com/office/excel/2006/main">
          <x14:cfRule type="expression" priority="1" id="{8D8D12F2-DBD3-4428-850D-C2094C71726B}">
            <xm:f>_xlfn.XLOOKUP(C$8,'OMM_Unit Matrix'!$D$11:$D$207,'OMM_Unit Matrix'!$G$11:$G$207,"")="PENDING"</xm:f>
            <x14:dxf>
              <fill>
                <patternFill patternType="solid">
                  <fgColor indexed="64"/>
                  <bgColor theme="5" tint="0.79998168889431442"/>
                </patternFill>
              </fill>
            </x14:dxf>
          </x14:cfRule>
          <x14:cfRule type="expression" priority="2" id="{EAB9B35C-7FA8-4DA2-8A34-E2183B00C8DF}">
            <xm:f>_xlfn.XLOOKUP(C$8,'OMM_Unit Matrix'!$D$11:$D$207,'OMM_Unit Matrix'!$G$11:$G$207,"")="ORDERED"</xm:f>
            <x14:dxf>
              <fill>
                <patternFill patternType="solid">
                  <fgColor indexed="64"/>
                  <bgColor theme="9" tint="0.79998168889431442"/>
                </patternFill>
              </fill>
            </x14:dxf>
          </x14:cfRule>
          <x14:cfRule type="expression" priority="15" id="{F8CE11C2-C6D8-41CB-8997-3BB45FAB5606}">
            <xm:f>_xlfn.XLOOKUP(C$8,'OMM_Unit Matrix'!$D$11:$D$207,'OMM_Unit Matrix'!$G$11:$G$207,"")="NOT IN SCOPE"</xm:f>
            <x14:dxf>
              <fill>
                <patternFill patternType="solid">
                  <fgColor indexed="64"/>
                  <bgColor theme="2" tint="-0.24994659260841701"/>
                </patternFill>
              </fill>
            </x14:dxf>
          </x14:cfRule>
          <xm:sqref>C9:AD18</xm:sqref>
        </x14:conditionalFormatting>
        <x14:conditionalFormatting xmlns:xm="http://schemas.microsoft.com/office/excel/2006/main">
          <x14:cfRule type="expression" priority="8" id="{B217C563-3FF4-4713-956C-876468E104D8}">
            <xm:f>_xlfn.XLOOKUP(C$19,'OMM_Unit Matrix'!$D$11:$D$207,'OMM_Unit Matrix'!$G$11:$G$207,"")="PENDING"</xm:f>
            <x14:dxf>
              <fill>
                <patternFill patternType="solid">
                  <fgColor indexed="64"/>
                  <bgColor theme="5" tint="0.79998168889431442"/>
                </patternFill>
              </fill>
            </x14:dxf>
          </x14:cfRule>
          <x14:cfRule type="expression" priority="9" id="{7474B9B8-A25D-4648-817B-4E37E4F6B1B1}">
            <xm:f>_xlfn.XLOOKUP(C$19,'OMM_Unit Matrix'!$D$11:$D$207,'OMM_Unit Matrix'!$G$11:$G$207,"")="ORDERED"</xm:f>
            <x14:dxf>
              <fill>
                <patternFill patternType="solid">
                  <fgColor indexed="64"/>
                  <bgColor theme="9" tint="0.79998168889431442"/>
                </patternFill>
              </fill>
            </x14:dxf>
          </x14:cfRule>
          <x14:cfRule type="expression" priority="16" id="{FA434026-6402-4DD7-B5E1-5BC5F5423DB6}">
            <xm:f>_xlfn.XLOOKUP(C$19,'OMM_Unit Matrix'!$D$11:$D$207,'OMM_Unit Matrix'!$G$11:$G$207,"")="NOT IN SCOPE"</xm:f>
            <x14:dxf>
              <fill>
                <patternFill patternType="solid">
                  <fgColor indexed="64"/>
                  <bgColor theme="2" tint="-0.24994659260841701"/>
                </patternFill>
              </fill>
            </x14:dxf>
          </x14:cfRule>
          <xm:sqref>C20:AD29</xm:sqref>
        </x14:conditionalFormatting>
        <x14:conditionalFormatting xmlns:xm="http://schemas.microsoft.com/office/excel/2006/main">
          <x14:cfRule type="expression" priority="12" id="{7FA09669-647F-4990-8CF1-D172DC608FAD}">
            <xm:f>_xlfn.XLOOKUP(C$30,'OMM_Unit Matrix'!$D$11:$D$207,'OMM_Unit Matrix'!$G$11:$G$207,"")="PENDING"</xm:f>
            <x14:dxf>
              <fill>
                <patternFill patternType="solid">
                  <fgColor indexed="64"/>
                  <bgColor theme="5" tint="0.79998168889431442"/>
                </patternFill>
              </fill>
            </x14:dxf>
          </x14:cfRule>
          <x14:cfRule type="expression" priority="14" id="{1546C62F-992C-44C2-9CF3-F52027CB3AC1}">
            <xm:f>_xlfn.XLOOKUP(C$30,'OMM_Unit Matrix'!$D$11:$D$207,'OMM_Unit Matrix'!$G$11:$G$207,"")="ORDERED"</xm:f>
            <x14:dxf>
              <fill>
                <patternFill patternType="solid">
                  <fgColor indexed="64"/>
                  <bgColor theme="9" tint="0.79998168889431442"/>
                </patternFill>
              </fill>
            </x14:dxf>
          </x14:cfRule>
          <x14:cfRule type="expression" priority="17" id="{BD7B63C2-69F4-44F9-8DC5-9FAD2B4DF700}">
            <xm:f>_xlfn.XLOOKUP(C$30,'OMM_Unit Matrix'!$D$11:$D$207,'OMM_Unit Matrix'!$G$11:$G$207,"")="NOT IN SCOPE"</xm:f>
            <x14:dxf>
              <fill>
                <patternFill patternType="solid">
                  <fgColor indexed="64"/>
                  <bgColor theme="2" tint="-0.24994659260841701"/>
                </patternFill>
              </fill>
            </x14:dxf>
          </x14:cfRule>
          <xm:sqref>C31:AD40</xm:sqref>
        </x14:conditionalFormatting>
        <x14:conditionalFormatting xmlns:xm="http://schemas.microsoft.com/office/excel/2006/main">
          <x14:cfRule type="expression" priority="10" id="{D58D2284-F2A1-42E0-8AD4-1FF9A63406E4}">
            <xm:f>_xlfn.XLOOKUP(C$41,'OMM_Unit Matrix'!$D$11:$D$207,'OMM_Unit Matrix'!$G$11:$G$207,"")="PENDING"</xm:f>
            <x14:dxf>
              <fill>
                <patternFill patternType="solid">
                  <fgColor indexed="64"/>
                  <bgColor theme="5" tint="0.79998168889431442"/>
                </patternFill>
              </fill>
            </x14:dxf>
          </x14:cfRule>
          <x14:cfRule type="expression" priority="11" id="{574505D8-5D26-4500-A167-FCFA01402945}">
            <xm:f>_xlfn.XLOOKUP(C$41,'OMM_Unit Matrix'!$D$11:$D$207,'OMM_Unit Matrix'!$G$11:$G$207,"")="ORDERED"</xm:f>
            <x14:dxf>
              <fill>
                <patternFill patternType="solid">
                  <fgColor indexed="64"/>
                  <bgColor theme="9" tint="0.79998168889431442"/>
                </patternFill>
              </fill>
            </x14:dxf>
          </x14:cfRule>
          <x14:cfRule type="expression" priority="18" id="{185ADD09-AC15-4FE4-A34E-293FA069D406}">
            <xm:f>_xlfn.XLOOKUP(C$41,'OMM_Unit Matrix'!$D$11:$D$207,'OMM_Unit Matrix'!$G$11:$G$207,"")="NOT IN SCOPE"</xm:f>
            <x14:dxf>
              <fill>
                <patternFill patternType="solid">
                  <fgColor indexed="64"/>
                  <bgColor theme="2" tint="-0.24994659260841701"/>
                </patternFill>
              </fill>
            </x14:dxf>
          </x14:cfRule>
          <xm:sqref>C42:AD51</xm:sqref>
        </x14:conditionalFormatting>
        <x14:conditionalFormatting xmlns:xm="http://schemas.microsoft.com/office/excel/2006/main">
          <x14:cfRule type="expression" priority="7" id="{A110A032-2CF5-4731-A9EC-831D5615D8A3}">
            <xm:f>_xlfn.XLOOKUP(C$52,'OMM_Unit Matrix'!$D$11:$D$207,'OMM_Unit Matrix'!$G$11:$G$207,"")="PENDING"</xm:f>
            <x14:dxf>
              <fill>
                <patternFill patternType="solid">
                  <fgColor indexed="64"/>
                  <bgColor theme="5" tint="0.79998168889431442"/>
                </patternFill>
              </fill>
            </x14:dxf>
          </x14:cfRule>
          <x14:cfRule type="expression" priority="13" id="{790FB3CF-4FF5-43E1-ADEF-AAAF42FDB73B}">
            <xm:f>_xlfn.XLOOKUP(C$52,'OMM_Unit Matrix'!$D$11:$D$207,'OMM_Unit Matrix'!$G$11:$G$207,"")="NOT IN SCOPE"</xm:f>
            <x14:dxf>
              <fill>
                <patternFill patternType="solid">
                  <fgColor indexed="64"/>
                  <bgColor theme="2" tint="-0.24994659260841701"/>
                </patternFill>
              </fill>
            </x14:dxf>
          </x14:cfRule>
          <x14:cfRule type="expression" priority="19" id="{8049C7E6-DAB5-468B-8111-509C7BA8D936}">
            <xm:f>_xlfn.XLOOKUP(C$52,'OMM_Unit Matrix'!$D$11:$D$207,'OMM_Unit Matrix'!$G$11:$G$207,"")="ORDERED"</xm:f>
            <x14:dxf>
              <fill>
                <patternFill patternType="solid">
                  <fgColor indexed="64"/>
                  <bgColor theme="9" tint="0.79998168889431442"/>
                </patternFill>
              </fill>
            </x14:dxf>
          </x14:cfRule>
          <xm:sqref>C53:AD62</xm:sqref>
        </x14:conditionalFormatting>
        <x14:conditionalFormatting xmlns:xm="http://schemas.microsoft.com/office/excel/2006/main">
          <x14:cfRule type="expression" priority="5" id="{18CA777C-F88A-484A-A9BF-A17D185832B9}">
            <xm:f>_xlfn.XLOOKUP(C$63,'OMM_Unit Matrix'!$D$11:$D$207,'OMM_Unit Matrix'!$G$11:$G$207,"")="PENDING"</xm:f>
            <x14:dxf>
              <fill>
                <patternFill patternType="solid">
                  <fgColor indexed="64"/>
                  <bgColor theme="5" tint="0.79998168889431442"/>
                </patternFill>
              </fill>
            </x14:dxf>
          </x14:cfRule>
          <x14:cfRule type="expression" priority="6" id="{5188936A-89E9-45BF-B6CC-880CE868A566}">
            <xm:f>_xlfn.XLOOKUP(C$63,'OMM_Unit Matrix'!$D$11:$D$207,'OMM_Unit Matrix'!$G$11:$G$207,"")="ORDERED"</xm:f>
            <x14:dxf>
              <fill>
                <patternFill patternType="solid">
                  <fgColor indexed="64"/>
                  <bgColor theme="9" tint="0.79998168889431442"/>
                </patternFill>
              </fill>
            </x14:dxf>
          </x14:cfRule>
          <x14:cfRule type="expression" priority="20" id="{C4EA280D-1F77-4792-9C53-9BA9F0B3596B}">
            <xm:f>_xlfn.XLOOKUP(C$63,'OMM_Unit Matrix'!$D$11:$D$207,'OMM_Unit Matrix'!$G$11:$G$207,"")="NOT IN SCOPE"</xm:f>
            <x14:dxf>
              <fill>
                <patternFill patternType="solid">
                  <fgColor indexed="64"/>
                  <bgColor theme="2" tint="-0.24994659260841701"/>
                </patternFill>
              </fill>
            </x14:dxf>
          </x14:cfRule>
          <xm:sqref>C64:AD73</xm:sqref>
        </x14:conditionalFormatting>
        <x14:conditionalFormatting xmlns:xm="http://schemas.microsoft.com/office/excel/2006/main">
          <x14:cfRule type="expression" priority="3" id="{24B87580-3CB1-4446-8EA5-F84B6B893B13}">
            <xm:f>_xlfn.XLOOKUP(C$74,'OMM_Unit Matrix'!$D$11:$D$207,'OMM_Unit Matrix'!$G$11:$G$207,"")="PENDING"</xm:f>
            <x14:dxf>
              <fill>
                <patternFill patternType="solid">
                  <fgColor indexed="64"/>
                  <bgColor theme="5" tint="0.79998168889431442"/>
                </patternFill>
              </fill>
            </x14:dxf>
          </x14:cfRule>
          <x14:cfRule type="expression" priority="4" id="{D80C13A2-410C-4586-814D-43BF8260155B}">
            <xm:f>_xlfn.XLOOKUP(C$74,'OMM_Unit Matrix'!$D$11:$D$207,'OMM_Unit Matrix'!$G$11:$G$207,"")="ORDERED"</xm:f>
            <x14:dxf>
              <fill>
                <patternFill patternType="solid">
                  <fgColor indexed="64"/>
                  <bgColor theme="9" tint="0.79998168889431442"/>
                </patternFill>
              </fill>
            </x14:dxf>
          </x14:cfRule>
          <x14:cfRule type="expression" priority="21" id="{90082DB4-7F97-4E76-A5C2-B702DAF58772}">
            <xm:f>_xlfn.XLOOKUP(C$74,'OMM_Unit Matrix'!$D$11:$D$207,'OMM_Unit Matrix'!$G$11:$G$207,"")="NOT IN SCOPE"</xm:f>
            <x14:dxf>
              <fill>
                <patternFill patternType="solid">
                  <fgColor indexed="64"/>
                  <bgColor theme="2" tint="-0.24994659260841701"/>
                </patternFill>
              </fill>
            </x14:dxf>
          </x14:cfRule>
          <xm:sqref>C75:AD84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f7b4e4-6495-46c0-8fcf-ef19f3a6bd9c" xsi:nil="true"/>
    <lcf76f155ced4ddcb4097134ff3c332f xmlns="ed3c05a0-cece-4f00-8403-7deeafde481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45E07CCE48A348B642B5529F500E03" ma:contentTypeVersion="14" ma:contentTypeDescription="Create a new document." ma:contentTypeScope="" ma:versionID="5b54151a9ba6a2cad0fec24781022b6a">
  <xsd:schema xmlns:xsd="http://www.w3.org/2001/XMLSchema" xmlns:xs="http://www.w3.org/2001/XMLSchema" xmlns:p="http://schemas.microsoft.com/office/2006/metadata/properties" xmlns:ns2="ed3c05a0-cece-4f00-8403-7deeafde481c" xmlns:ns3="07f7b4e4-6495-46c0-8fcf-ef19f3a6bd9c" targetNamespace="http://schemas.microsoft.com/office/2006/metadata/properties" ma:root="true" ma:fieldsID="a57e9ebe160f5f601aca792ababcae66" ns2:_="" ns3:_="">
    <xsd:import namespace="ed3c05a0-cece-4f00-8403-7deeafde481c"/>
    <xsd:import namespace="07f7b4e4-6495-46c0-8fcf-ef19f3a6bd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3c05a0-cece-4f00-8403-7deeafde48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43c9028-bbf4-4a1e-8032-2cd836384a2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f7b4e4-6495-46c0-8fcf-ef19f3a6bd9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6562c33-d12d-4571-a484-bdaf3f802990}" ma:internalName="TaxCatchAll" ma:showField="CatchAllData" ma:web="07f7b4e4-6495-46c0-8fcf-ef19f3a6bd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52ACBC-CC7A-4438-ABFF-F48F54C2B65C}"/>
</file>

<file path=customXml/itemProps2.xml><?xml version="1.0" encoding="utf-8"?>
<ds:datastoreItem xmlns:ds="http://schemas.openxmlformats.org/officeDocument/2006/customXml" ds:itemID="{2E3254D1-2092-4A5A-9A93-C99D62776D70}"/>
</file>

<file path=customXml/itemProps3.xml><?xml version="1.0" encoding="utf-8"?>
<ds:datastoreItem xmlns:ds="http://schemas.openxmlformats.org/officeDocument/2006/customXml" ds:itemID="{3C17273E-E9BC-49B9-A81D-0ACE1A460353}"/>
</file>

<file path=docProps/app.xml><?xml version="1.0" encoding="utf-8"?>
<Properties xmlns="http://schemas.openxmlformats.org/officeDocument/2006/extended-properties" xmlns:vt="http://schemas.openxmlformats.org/officeDocument/2006/docPropsVTypes">
  <Template>TM03986960</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Edwin Flores</cp:lastModifiedBy>
  <cp:revision/>
  <dcterms:created xsi:type="dcterms:W3CDTF">2019-06-18T21:49:30Z</dcterms:created>
  <dcterms:modified xsi:type="dcterms:W3CDTF">2026-08-11T14:38:35Z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0x0101007645E07CCE48A348B642B5529F500E03</vt:lpwstr>
  </property>
  <property fmtid="{D5CDD505-2E9C-101B-9397-08002B2CF9AE}" pid="3" name="MediaServiceImageTags">
    <vt:lpwstr/>
  </property>
</Properties>
</file>