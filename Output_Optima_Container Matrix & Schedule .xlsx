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7253" documentId="13_ncr:1_{4E998629-1D3A-4FDE-9A35-3C7527BCC12D}" xr6:coauthVersionLast="47" xr6:coauthVersionMax="47" xr10:uidLastSave="{FEC5FDC9-6E1B-4198-B7CC-748BF64B3021}"/>
  <bookViews>
    <workbookView xWindow="28680" yWindow="-11835" windowWidth="29040" windowHeight="15720" tabRatio="840" firstSheet="2" activeTab="3"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<sst xmlns="http://schemas.openxmlformats.org/spreadsheetml/2006/main" count="1168" uniqueCount="885">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</sst>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02" t="s">
        <v>22</v>
      </c>
      <c r="D2" s="303"/>
      <c r="E2" s="302" t="s">
        <v>24</v>
      </c>
      <c r="F2" s="303"/>
      <c r="G2" s="302" t="s">
        <v>25</v>
      </c>
      <c r="H2" s="303"/>
      <c r="I2" s="302" t="s">
        <v>27</v>
      </c>
      <c r="J2" s="303"/>
      <c r="K2" s="302" t="s">
        <v>28</v>
      </c>
      <c r="L2" s="303"/>
      <c r="M2" s="302" t="s">
        <v>30</v>
      </c>
      <c r="N2" s="303"/>
      <c r="O2" s="302" t="s">
        <v>31</v>
      </c>
      <c r="P2" s="303"/>
      <c r="Q2" s="302" t="s">
        <v>32</v>
      </c>
      <c r="R2" s="303"/>
      <c r="S2" s="302" t="s">
        <v>33</v>
      </c>
      <c r="T2" s="303"/>
      <c r="U2" s="309" t="s">
        <v>34</v>
      </c>
      <c r="V2" s="310"/>
      <c r="W2" s="309" t="s">
        <v>35</v>
      </c>
      <c r="X2" s="310"/>
      <c r="Y2" s="309" t="s">
        <v>36</v>
      </c>
      <c r="Z2" s="310"/>
      <c r="AA2" s="309" t="s">
        <v>37</v>
      </c>
      <c r="AB2" s="310"/>
      <c r="AC2" s="309" t="s">
        <v>38</v>
      </c>
      <c r="AD2" s="310"/>
      <c r="AE2" s="309" t="s">
        <v>39</v>
      </c>
      <c r="AF2" s="310"/>
      <c r="AG2" s="309" t="s">
        <v>40</v>
      </c>
      <c r="AH2" s="310"/>
      <c r="AI2" s="309" t="s">
        <v>41</v>
      </c>
      <c r="AJ2" s="310"/>
      <c r="AK2" s="309" t="s">
        <v>42</v>
      </c>
      <c r="AL2" s="318"/>
      <c r="AM2" s="318" t="s">
        <v>43</v>
      </c>
      <c r="AN2" s="310"/>
      <c r="AO2" s="319" t="s">
        <v>17</v>
      </c>
      <c r="AP2" s="320"/>
      <c r="AQ2" s="317" t="s">
        <v>648</v>
      </c>
      <c r="AR2" s="317" t="s">
        <v>649</v>
      </c>
    </row>
    <row r="3" spans="1:44" ht="17.399999999999999" x14ac:dyDescent="0.3">
      <c r="A3" s="47"/>
      <c r="B3" s="46"/>
      <c r="C3" s="304" t="s">
        <v>23</v>
      </c>
      <c r="D3" s="305"/>
      <c r="E3" s="305"/>
      <c r="F3" s="306"/>
      <c r="G3" s="307" t="s">
        <v>26</v>
      </c>
      <c r="H3" s="308"/>
      <c r="I3" s="307" t="s">
        <v>29</v>
      </c>
      <c r="J3" s="311"/>
      <c r="K3" s="311"/>
      <c r="L3" s="308"/>
      <c r="M3" s="307" t="s">
        <v>23</v>
      </c>
      <c r="N3" s="308"/>
      <c r="O3" s="307" t="s">
        <v>23</v>
      </c>
      <c r="P3" s="308"/>
      <c r="Q3" s="307" t="s">
        <v>26</v>
      </c>
      <c r="R3" s="311"/>
      <c r="S3" s="311"/>
      <c r="T3" s="308"/>
      <c r="U3" s="307" t="s">
        <v>26</v>
      </c>
      <c r="V3" s="308"/>
      <c r="W3" s="307" t="s">
        <v>23</v>
      </c>
      <c r="X3" s="311"/>
      <c r="Y3" s="311"/>
      <c r="Z3" s="308"/>
      <c r="AA3" s="307" t="s">
        <v>29</v>
      </c>
      <c r="AB3" s="308"/>
      <c r="AC3" s="307" t="s">
        <v>26</v>
      </c>
      <c r="AD3" s="308"/>
      <c r="AE3" s="307" t="s">
        <v>26</v>
      </c>
      <c r="AF3" s="311"/>
      <c r="AG3" s="311"/>
      <c r="AH3" s="308"/>
      <c r="AI3" s="307" t="s">
        <v>26</v>
      </c>
      <c r="AJ3" s="308"/>
      <c r="AK3" s="307" t="s">
        <v>29</v>
      </c>
      <c r="AL3" s="311"/>
      <c r="AM3" s="311"/>
      <c r="AN3" s="308"/>
      <c r="AO3" s="321"/>
      <c r="AP3" s="322"/>
      <c r="AQ3" s="317"/>
      <c r="AR3" s="317"/>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317"/>
      <c r="AR4" s="317"/>
    </row>
    <row r="5" spans="1:44" ht="20.100000000000001" customHeight="1" x14ac:dyDescent="0.25">
      <c r="A5" s="5">
        <f t="shared" ref="A5:A33" si="0">A6+1</f>
        <v>43</v>
      </c>
      <c r="B5" s="312"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13"/>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13"/>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13"/>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13"/>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13"/>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13"/>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13"/>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13"/>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13"/>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13"/>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13"/>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13"/>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13"/>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13"/>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13"/>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13"/>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13"/>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13"/>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13"/>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13"/>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13"/>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13"/>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13"/>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13"/>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13"/>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13"/>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13"/>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13"/>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13"/>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13"/>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13"/>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13"/>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13"/>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13"/>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13"/>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13"/>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13"/>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13"/>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14"/>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15" t="s">
        <v>15</v>
      </c>
      <c r="B49" s="316"/>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298" t="s">
        <v>13</v>
      </c>
      <c r="B50" s="299"/>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298" t="s">
        <v>12</v>
      </c>
      <c r="B51" s="299"/>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300" t="s">
        <v>0</v>
      </c>
      <c r="B52" s="301"/>
      <c r="C52" s="294" t="str">
        <f>C2</f>
        <v>T01 - AFFORDABLE</v>
      </c>
      <c r="D52" s="295"/>
      <c r="E52" s="294" t="str">
        <f>E2</f>
        <v>T01 - MARKET RATE</v>
      </c>
      <c r="F52" s="295"/>
      <c r="G52" s="294" t="str">
        <f>G2</f>
        <v>T02 - MARKET RATE</v>
      </c>
      <c r="H52" s="295"/>
      <c r="I52" s="294" t="str">
        <f>I2</f>
        <v>T03 - AFFORDABLE</v>
      </c>
      <c r="J52" s="295"/>
      <c r="K52" s="294" t="str">
        <f>K2</f>
        <v>T03 - MARKET RATE</v>
      </c>
      <c r="L52" s="295"/>
      <c r="M52" s="294" t="str">
        <f>M2</f>
        <v>T04 - MARKET RATE</v>
      </c>
      <c r="N52" s="295"/>
      <c r="O52" s="294" t="str">
        <f>O2</f>
        <v>T05 - MARKET RATE</v>
      </c>
      <c r="P52" s="295"/>
      <c r="Q52" s="294" t="str">
        <f>Q2</f>
        <v>T06 - AFFORDABLE</v>
      </c>
      <c r="R52" s="295"/>
      <c r="S52" s="294" t="str">
        <f>S2</f>
        <v>T06 - MARKET RATE</v>
      </c>
      <c r="T52" s="295"/>
      <c r="U52" s="294" t="str">
        <f>U2</f>
        <v>T07 - MARKET RATE</v>
      </c>
      <c r="V52" s="295"/>
      <c r="W52" s="294" t="str">
        <f>W2</f>
        <v>T08 - AFFORDABLE</v>
      </c>
      <c r="X52" s="295"/>
      <c r="Y52" s="294" t="str">
        <f>Y2</f>
        <v>T08 - MARKET RATE</v>
      </c>
      <c r="Z52" s="295"/>
      <c r="AA52" s="294" t="str">
        <f>AA2</f>
        <v>T09 - MARKET RATE</v>
      </c>
      <c r="AB52" s="295"/>
      <c r="AC52" s="294" t="str">
        <f>AC2</f>
        <v>T10 - MARKET RATE</v>
      </c>
      <c r="AD52" s="295"/>
      <c r="AE52" s="294" t="str">
        <f>AE2</f>
        <v>T11 - AFFORDABLE</v>
      </c>
      <c r="AF52" s="295"/>
      <c r="AG52" s="294" t="str">
        <f>AG2</f>
        <v>T11 - MARKET RATE</v>
      </c>
      <c r="AH52" s="295"/>
      <c r="AI52" s="294" t="str">
        <f>AI2</f>
        <v>T12 - MARKET RATE</v>
      </c>
      <c r="AJ52" s="295"/>
      <c r="AK52" s="294" t="str">
        <f>AK2</f>
        <v>T14 - AFFORDABLE</v>
      </c>
      <c r="AL52" s="295"/>
      <c r="AM52" s="294" t="str">
        <f>AM2</f>
        <v>T14 - MARKET RATE</v>
      </c>
      <c r="AN52" s="295"/>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298" t="s">
        <v>6</v>
      </c>
      <c r="B54" s="299"/>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296" t="s">
        <v>105</v>
      </c>
      <c r="B55" s="297"/>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296" t="s">
        <v>11</v>
      </c>
      <c r="B56" s="297"/>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298" t="s">
        <v>84</v>
      </c>
      <c r="B57" s="299"/>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298" t="s">
        <v>109</v>
      </c>
      <c r="B59" s="299"/>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298" t="s">
        <v>110</v>
      </c>
      <c r="B60" s="299"/>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293"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293"/>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293"/>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293"/>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293"/>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293"/>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293"/>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293"/>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293"/>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293"/>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293"/>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293"/>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293"/>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293"/>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293"/>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293"/>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293"/>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293"/>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293"/>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293"/>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293"/>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293"/>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293"/>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293"/>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293"/>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293"/>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293"/>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293"/>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293"/>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293"/>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293"/>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293"/>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293"/>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293"/>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293"/>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293"/>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293"/>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293"/>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293"/>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293"/>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293"/>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290"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291"/>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291"/>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291"/>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291"/>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291"/>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291"/>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291"/>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291"/>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292"/>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290"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291"/>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291"/>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291"/>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291"/>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291"/>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291"/>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291"/>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292"/>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290"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291"/>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291"/>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291"/>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291"/>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291"/>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291"/>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292"/>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319" t="s">
        <v>17</v>
      </c>
      <c r="Q2" s="320"/>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321"/>
      <c r="Q3" s="322"/>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12"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13"/>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13"/>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13"/>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13"/>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13"/>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13"/>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13"/>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13"/>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13"/>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13"/>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13"/>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13"/>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13"/>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13"/>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13"/>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13"/>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13"/>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13"/>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13"/>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13"/>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13"/>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13"/>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13"/>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13"/>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13"/>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13"/>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13"/>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13"/>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13"/>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13"/>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13"/>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13"/>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13"/>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13"/>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13"/>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13"/>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13"/>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13"/>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14"/>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15" t="s">
        <v>15</v>
      </c>
      <c r="B49" s="316"/>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298" t="s">
        <v>13</v>
      </c>
      <c r="B50" s="299"/>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298" t="s">
        <v>12</v>
      </c>
      <c r="B51" s="299"/>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300" t="s">
        <v>0</v>
      </c>
      <c r="B52" s="301"/>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I11" activePane="bottomRight" state="frozen"/>
      <selection activeCell="A2" sqref="A2"/>
      <selection pane="topRight" activeCell="F2" sqref="F2"/>
      <selection pane="bottomLeft" activeCell="A11" sqref="A11"/>
      <selection pane="bottomRight" activeCell="T14" sqref="T14"/>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288" t="e" vm="1">
        <v>#VALUE!</v>
      </c>
      <c r="C3" s="176" t="s">
        <v>760</v>
      </c>
      <c r="D3" s="176"/>
      <c r="E3" s="177"/>
      <c r="F3" s="177"/>
      <c r="G3" s="177"/>
      <c r="H3" s="177"/>
      <c r="I3" s="177"/>
      <c r="J3" s="177"/>
      <c r="K3" s="177"/>
      <c r="L3" s="178" t="s">
        <v>647</v>
      </c>
      <c r="M3" s="289">
        <f ca="1">TODAY()</f>
        <v>46199</v>
      </c>
      <c r="N3" s="289"/>
      <c r="O3" s="179" t="str">
        <f ca="1">": Week " &amp; _xlfn.ISOWEEKNUM(M3)</f>
        <v>: Week 26</v>
      </c>
      <c r="P3" s="180"/>
      <c r="Q3" s="175"/>
    </row>
    <row r="4" spans="1:43" ht="15" customHeight="1" x14ac:dyDescent="0.3">
      <c r="A4" s="288"/>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282" t="s">
        <v>707</v>
      </c>
      <c r="D6" s="282"/>
      <c r="E6" s="282"/>
      <c r="F6" s="282" t="s">
        <v>729</v>
      </c>
      <c r="G6" s="282"/>
      <c r="H6" s="282"/>
      <c r="I6" s="282"/>
      <c r="J6" s="282"/>
      <c r="K6" s="282"/>
      <c r="L6" s="282"/>
      <c r="M6" s="282"/>
      <c r="N6" s="282" t="s">
        <v>709</v>
      </c>
      <c r="O6" s="282"/>
      <c r="P6" s="282" t="s">
        <v>713</v>
      </c>
      <c r="Q6" s="282"/>
      <c r="R6" s="282"/>
      <c r="S6" s="282"/>
      <c r="T6" s="282" t="s">
        <v>714</v>
      </c>
      <c r="U6" s="282"/>
      <c r="V6" s="282"/>
      <c r="W6" s="282"/>
      <c r="X6" s="206"/>
      <c r="Y6" s="282" t="s">
        <v>719</v>
      </c>
      <c r="Z6" s="282"/>
      <c r="AA6" s="282"/>
      <c r="AB6" s="282"/>
      <c r="AC6" s="282"/>
      <c r="AD6" s="282"/>
      <c r="AE6" s="285" t="s">
        <v>720</v>
      </c>
      <c r="AF6" s="286"/>
      <c r="AG6" s="286"/>
      <c r="AH6" s="286"/>
      <c r="AI6" s="286"/>
      <c r="AJ6" s="287"/>
      <c r="AK6" s="282" t="s">
        <v>721</v>
      </c>
      <c r="AL6" s="282"/>
      <c r="AM6" s="282"/>
      <c r="AN6" s="282"/>
      <c r="AO6" s="282"/>
      <c r="AP6" s="282"/>
      <c r="AQ6" s="283"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284"/>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tabSelected="1" zoomScale="106" zoomScaleNormal="106" workbookViewId="0">
      <pane xSplit="7" ySplit="10" topLeftCell="H11" activePane="bottomRight" state="frozen"/>
      <selection pane="topRight" activeCell="H1" sqref="H1"/>
      <selection pane="bottomLeft" activeCell="A11" sqref="A11"/>
      <selection pane="bottomRight" activeCell="AM21" sqref="AM21"/>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329" t="s">
        <v>676</v>
      </c>
      <c r="C7" s="329"/>
      <c r="D7" s="329"/>
      <c r="E7" s="329"/>
      <c r="F7" s="329"/>
      <c r="G7" s="328" t="s">
        <v>768</v>
      </c>
      <c r="H7" s="324" t="s">
        <v>689</v>
      </c>
      <c r="I7" s="324"/>
      <c r="J7" s="324"/>
      <c r="K7" s="324"/>
      <c r="L7" s="324"/>
      <c r="M7" s="324"/>
      <c r="N7" s="324"/>
      <c r="O7" s="324"/>
      <c r="P7" s="324"/>
      <c r="Q7" s="324"/>
      <c r="R7" s="324"/>
      <c r="S7" s="324"/>
      <c r="T7" s="324"/>
      <c r="U7" s="324"/>
      <c r="V7" s="324" t="s">
        <v>688</v>
      </c>
      <c r="W7" s="324"/>
      <c r="X7" s="324"/>
      <c r="Y7" s="324"/>
      <c r="Z7" s="324"/>
      <c r="AA7" s="324"/>
      <c r="AB7" s="324" t="s">
        <v>691</v>
      </c>
      <c r="AC7" s="324"/>
      <c r="AD7" s="324"/>
      <c r="AE7" s="324"/>
      <c r="AF7" s="324"/>
      <c r="AG7" s="324"/>
      <c r="AH7" s="324"/>
      <c r="AI7" s="324"/>
      <c r="AJ7" s="324" t="s">
        <v>693</v>
      </c>
      <c r="AK7" s="324"/>
      <c r="AL7" s="324"/>
      <c r="AM7" s="324"/>
      <c r="AN7" s="324"/>
      <c r="AO7" s="324"/>
      <c r="AP7" s="324"/>
      <c r="AQ7" s="324"/>
      <c r="AS7" s="254"/>
      <c r="AT7" s="254"/>
      <c r="AU7" s="254"/>
    </row>
    <row r="8" spans="2:47" ht="17.399999999999999" x14ac:dyDescent="0.25">
      <c r="B8" s="329"/>
      <c r="C8" s="329"/>
      <c r="D8" s="329"/>
      <c r="E8" s="329"/>
      <c r="F8" s="329"/>
      <c r="G8" s="328"/>
      <c r="H8" s="325" t="s">
        <v>677</v>
      </c>
      <c r="I8" s="327"/>
      <c r="J8" s="323" t="s">
        <v>682</v>
      </c>
      <c r="K8" s="323"/>
      <c r="L8" s="325" t="s">
        <v>678</v>
      </c>
      <c r="M8" s="326"/>
      <c r="N8" s="325" t="s">
        <v>675</v>
      </c>
      <c r="O8" s="326"/>
      <c r="P8" s="325" t="s">
        <v>690</v>
      </c>
      <c r="Q8" s="326"/>
      <c r="R8" s="325" t="s">
        <v>769</v>
      </c>
      <c r="S8" s="327"/>
      <c r="T8" s="325" t="s">
        <v>685</v>
      </c>
      <c r="U8" s="327"/>
      <c r="V8" s="323" t="s">
        <v>674</v>
      </c>
      <c r="W8" s="323"/>
      <c r="X8" s="323" t="s">
        <v>687</v>
      </c>
      <c r="Y8" s="323"/>
      <c r="Z8" s="323" t="s">
        <v>684</v>
      </c>
      <c r="AA8" s="323"/>
      <c r="AB8" s="325" t="s">
        <v>679</v>
      </c>
      <c r="AC8" s="327"/>
      <c r="AD8" s="325" t="s">
        <v>680</v>
      </c>
      <c r="AE8" s="327"/>
      <c r="AF8" s="325" t="s">
        <v>681</v>
      </c>
      <c r="AG8" s="327"/>
      <c r="AH8" s="325" t="s">
        <v>686</v>
      </c>
      <c r="AI8" s="327"/>
      <c r="AJ8" s="325" t="s">
        <v>692</v>
      </c>
      <c r="AK8" s="327"/>
      <c r="AL8" s="325" t="s">
        <v>683</v>
      </c>
      <c r="AM8" s="327"/>
      <c r="AN8" s="325" t="s">
        <v>855</v>
      </c>
      <c r="AO8" s="327"/>
      <c r="AP8" s="325" t="s">
        <v>694</v>
      </c>
      <c r="AQ8" s="327"/>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30" t="s">
        <v>860</v>
      </c>
      <c r="C5" s="331"/>
      <c r="D5" s="331"/>
      <c r="E5" s="332" t="s">
        <v>859</v>
      </c>
      <c r="F5" s="333"/>
      <c r="G5" s="332"/>
      <c r="H5" s="332"/>
      <c r="I5" s="332"/>
      <c r="J5" s="332"/>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zoomScale="70" zoomScaleNormal="70" zoomScaleSheetLayoutView="50" workbookViewId="0">
      <selection activeCell="J27" sqref="J27"/>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52" t="s">
        <v>884</v>
      </c>
      <c r="C4" s="352"/>
      <c r="D4" s="352"/>
      <c r="E4" s="352"/>
      <c r="F4" s="352"/>
      <c r="G4" s="352"/>
      <c r="H4" s="352"/>
      <c r="I4" s="352"/>
      <c r="J4" s="352"/>
      <c r="K4" s="352"/>
      <c r="L4" s="352"/>
      <c r="M4" s="352"/>
      <c r="N4" s="352"/>
      <c r="O4" s="352"/>
      <c r="P4" s="352"/>
      <c r="Q4" s="352"/>
      <c r="R4" s="352"/>
      <c r="S4" s="352"/>
      <c r="T4" s="352"/>
      <c r="U4" s="352"/>
      <c r="V4" s="352"/>
      <c r="W4" s="352"/>
      <c r="X4" s="352"/>
      <c r="Y4" s="352"/>
      <c r="Z4" s="352"/>
      <c r="AA4" s="352"/>
      <c r="AB4" s="352"/>
      <c r="AC4" s="352"/>
      <c r="AD4" s="352"/>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53" t="s">
        <v>850</v>
      </c>
      <c r="AG5" s="353"/>
      <c r="AH5" s="353"/>
      <c r="AI5" s="353"/>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53"/>
      <c r="AG6" s="353"/>
      <c r="AH6" s="353"/>
      <c r="AI6" s="353"/>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54"/>
      <c r="AG7" s="354"/>
      <c r="AH7" s="354"/>
      <c r="AI7" s="354"/>
      <c r="AO7" s="258">
        <v>2</v>
      </c>
      <c r="AP7" s="251" t="str">
        <v>XXXXXXXXX</v>
      </c>
      <c r="AQ7" s="259" t="str">
        <v>PROJ</v>
      </c>
    </row>
    <row r="8" spans="2:46" ht="18" customHeight="1" x14ac:dyDescent="0.25">
      <c r="B8" s="345">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55" t="str">
        <f>IF('[1]OMM_Container Status'!AF8="","",'[1]OMM_Container Status'!AF8)</f>
        <v>8th FLOOR</v>
      </c>
      <c r="AG8" s="356"/>
      <c r="AH8" s="356"/>
      <c r="AI8" s="357"/>
      <c r="AO8" s="258">
        <v>3</v>
      </c>
      <c r="AP8" s="251" t="str">
        <v>XXXXXXXXX</v>
      </c>
      <c r="AQ8" s="259" t="str">
        <v>PROJ</v>
      </c>
    </row>
    <row r="9" spans="2:46" ht="13.8" customHeight="1" x14ac:dyDescent="0.25">
      <c r="B9" s="349"/>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341" t="str">
        <f>IF('[1]OMM_Container Status'!AF9="","",'[1]OMM_Container Status'!AF9)</f>
        <v>SCOPE OF WORK (UNITS)</v>
      </c>
      <c r="AG9" s="342"/>
      <c r="AH9" s="342"/>
      <c r="AI9" s="343"/>
      <c r="AO9" s="258">
        <v>4</v>
      </c>
      <c r="AP9" s="251" t="str">
        <v>XXXXXXXXX</v>
      </c>
      <c r="AQ9" s="259" t="str">
        <v>PROJ</v>
      </c>
    </row>
    <row r="10" spans="2:46" ht="13.8" customHeight="1" x14ac:dyDescent="0.25">
      <c r="B10" s="349"/>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349"/>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344">
        <f>IF('[1]OMM_Container Status'!AG11="","",'[1]OMM_Container Status'!AG11)</f>
        <v>0</v>
      </c>
      <c r="AH11" s="344"/>
      <c r="AI11" s="211" t="str">
        <f>IF('[1]OMM_Container Status'!AI11="","",'[1]OMM_Container Status'!AI11)</f>
        <v/>
      </c>
      <c r="AO11" s="258">
        <v>6</v>
      </c>
      <c r="AP11" s="251" t="str">
        <v>XXXXXXXXX</v>
      </c>
      <c r="AQ11" s="259" t="str">
        <v>PROJ</v>
      </c>
    </row>
    <row r="12" spans="2:46" ht="13.8" customHeight="1" x14ac:dyDescent="0.25">
      <c r="B12" s="349"/>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349"/>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334" t="str">
        <f>IF('[1]OMM_Container Status'!AF13="","",'[1]OMM_Container Status'!AF13)</f>
        <v>DELIVERY TARGET:</v>
      </c>
      <c r="AG13" s="335"/>
      <c r="AH13" s="336">
        <f>IF('[1]OMM_Container Status'!AH13="","",'[1]OMM_Container Status'!AH13)</f>
        <v>46420</v>
      </c>
      <c r="AI13" s="337"/>
      <c r="AO13" s="258">
        <v>8</v>
      </c>
      <c r="AP13" s="251" t="str">
        <v>XXXXXXXXX</v>
      </c>
      <c r="AQ13" s="259" t="str">
        <v>PROJ</v>
      </c>
    </row>
    <row r="14" spans="2:46" ht="13.8" customHeight="1" x14ac:dyDescent="0.25">
      <c r="B14" s="349"/>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349"/>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338" t="str">
        <f>IF('[1]OMM_Container Status'!AF15="","",'[1]OMM_Container Status'!AF15)</f>
        <v>SCOPE OF WORK (DELIVERY STATUS)</v>
      </c>
      <c r="AG15" s="339"/>
      <c r="AH15" s="339"/>
      <c r="AI15" s="340"/>
      <c r="AO15" s="258">
        <v>10</v>
      </c>
      <c r="AP15" s="251" t="str">
        <v>XXXXXXXXX</v>
      </c>
      <c r="AQ15" s="259" t="str">
        <v>PROJ</v>
      </c>
    </row>
    <row r="16" spans="2:46" ht="13.8" customHeight="1" x14ac:dyDescent="0.25">
      <c r="B16" s="349"/>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349"/>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350"/>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345">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348" t="str">
        <f>IF('[1]OMM_Container Status'!AF19="","",'[1]OMM_Container Status'!AF19)</f>
        <v>7th FLOOR</v>
      </c>
      <c r="AG19" s="348"/>
      <c r="AH19" s="348"/>
      <c r="AI19" s="348"/>
      <c r="AO19" s="258">
        <v>14</v>
      </c>
      <c r="AP19" s="251" t="str">
        <v>XXXXXXXXX</v>
      </c>
      <c r="AQ19" s="259" t="str">
        <v>PROJ</v>
      </c>
    </row>
    <row r="20" spans="2:43" ht="13.8" customHeight="1" x14ac:dyDescent="0.25">
      <c r="B20" s="346"/>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341" t="str">
        <f>IF('[1]OMM_Container Status'!AF20="","",'[1]OMM_Container Status'!AF20)</f>
        <v>SCOPE OF WORK (UNITS)</v>
      </c>
      <c r="AG20" s="342"/>
      <c r="AH20" s="342"/>
      <c r="AI20" s="343"/>
      <c r="AO20" s="258">
        <v>15</v>
      </c>
      <c r="AP20" s="251" t="str">
        <v>XXXXXXXXX</v>
      </c>
      <c r="AQ20" s="259" t="str">
        <v>PROJ</v>
      </c>
    </row>
    <row r="21" spans="2:43" ht="13.8" customHeight="1" x14ac:dyDescent="0.25">
      <c r="B21" s="346"/>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346"/>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344">
        <f>IF('[1]OMM_Container Status'!AG22="","",'[1]OMM_Container Status'!AG22)</f>
        <v>0</v>
      </c>
      <c r="AH22" s="344"/>
      <c r="AI22" s="211" t="str">
        <f>IF('[1]OMM_Container Status'!AI22="","",'[1]OMM_Container Status'!AI22)</f>
        <v/>
      </c>
      <c r="AO22" s="258">
        <v>17</v>
      </c>
      <c r="AP22" s="251" t="str">
        <v>XXXXXXXXX</v>
      </c>
      <c r="AQ22" s="259" t="str">
        <v>PROJ</v>
      </c>
    </row>
    <row r="23" spans="2:43" ht="13.8" customHeight="1" x14ac:dyDescent="0.25">
      <c r="B23" s="346"/>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346"/>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334" t="str">
        <f>IF('[1]OMM_Container Status'!AF24="","",'[1]OMM_Container Status'!AF24)</f>
        <v>DELIVERY TARGET:</v>
      </c>
      <c r="AG24" s="335"/>
      <c r="AH24" s="336">
        <f>IF('[1]OMM_Container Status'!AH24="","",'[1]OMM_Container Status'!AH24)</f>
        <v>46394</v>
      </c>
      <c r="AI24" s="337"/>
      <c r="AO24" s="258">
        <v>19</v>
      </c>
      <c r="AP24" s="251" t="str">
        <v>XXXXXXXXX</v>
      </c>
      <c r="AQ24" s="259" t="str">
        <v>PROJ</v>
      </c>
    </row>
    <row r="25" spans="2:43" ht="13.8" customHeight="1" x14ac:dyDescent="0.25">
      <c r="B25" s="346"/>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346"/>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338" t="str">
        <f>IF('[1]OMM_Container Status'!AF26="","",'[1]OMM_Container Status'!AF26)</f>
        <v>SCOPE OF WORK (DELIVERY STATUS)</v>
      </c>
      <c r="AG26" s="339"/>
      <c r="AH26" s="339"/>
      <c r="AI26" s="340"/>
      <c r="AO26" s="260">
        <v>21</v>
      </c>
      <c r="AP26" s="261" t="str">
        <v>XXXXXXXXX</v>
      </c>
      <c r="AQ26" s="262" t="str">
        <v>PROJ</v>
      </c>
    </row>
    <row r="27" spans="2:43" ht="13.8" customHeight="1" x14ac:dyDescent="0.25">
      <c r="B27" s="346"/>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346"/>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347"/>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345">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348" t="str">
        <f>IF('[1]OMM_Container Status'!AF30="","",'[1]OMM_Container Status'!AF30)</f>
        <v>6th FLOOR</v>
      </c>
      <c r="AG30" s="348"/>
      <c r="AH30" s="348"/>
      <c r="AI30" s="348"/>
      <c r="AO30"/>
      <c r="AP30"/>
      <c r="AQ30"/>
    </row>
    <row r="31" spans="2:43" ht="13.8" customHeight="1" x14ac:dyDescent="0.25">
      <c r="B31" s="346"/>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341" t="str">
        <f>IF('[1]OMM_Container Status'!AF31="","",'[1]OMM_Container Status'!AF31)</f>
        <v>SCOPE OF WORK (UNITS)</v>
      </c>
      <c r="AG31" s="342"/>
      <c r="AH31" s="342"/>
      <c r="AI31" s="343"/>
      <c r="AO31"/>
      <c r="AP31"/>
      <c r="AQ31"/>
    </row>
    <row r="32" spans="2:43" ht="13.8" customHeight="1" x14ac:dyDescent="0.25">
      <c r="B32" s="346"/>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346"/>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344">
        <f>IF('[1]OMM_Container Status'!AG33="","",'[1]OMM_Container Status'!AG33)</f>
        <v>0</v>
      </c>
      <c r="AH33" s="344"/>
      <c r="AI33" s="211" t="str">
        <f>IF('[1]OMM_Container Status'!AI33="","",'[1]OMM_Container Status'!AI33)</f>
        <v/>
      </c>
      <c r="AO33"/>
      <c r="AP33"/>
      <c r="AQ33"/>
    </row>
    <row r="34" spans="2:43" ht="13.8" customHeight="1" x14ac:dyDescent="0.25">
      <c r="B34" s="346"/>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346"/>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334" t="str">
        <f>IF('[1]OMM_Container Status'!AF35="","",'[1]OMM_Container Status'!AF35)</f>
        <v>DELIVERY TARGET:</v>
      </c>
      <c r="AG35" s="335"/>
      <c r="AH35" s="336">
        <f>IF('[1]OMM_Container Status'!AH35="","",'[1]OMM_Container Status'!AH35)</f>
        <v>46370</v>
      </c>
      <c r="AI35" s="337"/>
      <c r="AO35"/>
      <c r="AP35"/>
      <c r="AQ35"/>
    </row>
    <row r="36" spans="2:43" ht="13.8" customHeight="1" x14ac:dyDescent="0.25">
      <c r="B36" s="346"/>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346"/>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338" t="str">
        <f>IF('[1]OMM_Container Status'!AF37="","",'[1]OMM_Container Status'!AF37)</f>
        <v>SCOPE OF WORK (DELIVERY STATUS)</v>
      </c>
      <c r="AG37" s="339"/>
      <c r="AH37" s="339"/>
      <c r="AI37" s="340"/>
      <c r="AO37"/>
      <c r="AP37"/>
      <c r="AQ37"/>
    </row>
    <row r="38" spans="2:43" ht="13.8" customHeight="1" x14ac:dyDescent="0.25">
      <c r="B38" s="346"/>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346"/>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347"/>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345">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48" t="str">
        <f>IF('[1]OMM_Container Status'!AF41="","",'[1]OMM_Container Status'!AF41)</f>
        <v>5th FLOOR</v>
      </c>
      <c r="AG41" s="348"/>
      <c r="AH41" s="348"/>
      <c r="AI41" s="348"/>
      <c r="AO41"/>
      <c r="AP41"/>
      <c r="AQ41"/>
    </row>
    <row r="42" spans="2:43" ht="13.8" customHeight="1" x14ac:dyDescent="0.25">
      <c r="B42" s="346"/>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341" t="str">
        <f>IF('[1]OMM_Container Status'!AF42="","",'[1]OMM_Container Status'!AF42)</f>
        <v>SCOPE OF WORK (UNITS)</v>
      </c>
      <c r="AG42" s="342"/>
      <c r="AH42" s="342"/>
      <c r="AI42" s="343"/>
      <c r="AO42"/>
      <c r="AP42"/>
      <c r="AQ42"/>
    </row>
    <row r="43" spans="2:43" ht="13.8" customHeight="1" x14ac:dyDescent="0.25">
      <c r="B43" s="346"/>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346"/>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344">
        <f>IF('[1]OMM_Container Status'!AG44="","",'[1]OMM_Container Status'!AG44)</f>
        <v>0</v>
      </c>
      <c r="AH44" s="344"/>
      <c r="AI44" s="211" t="str">
        <f>IF('[1]OMM_Container Status'!AI44="","",'[1]OMM_Container Status'!AI44)</f>
        <v/>
      </c>
      <c r="AO44"/>
      <c r="AP44"/>
      <c r="AQ44"/>
    </row>
    <row r="45" spans="2:43" ht="13.8" customHeight="1" x14ac:dyDescent="0.25">
      <c r="B45" s="346"/>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346"/>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334" t="str">
        <f>IF('[1]OMM_Container Status'!AF46="","",'[1]OMM_Container Status'!AF46)</f>
        <v>DELIVERY TARGET:</v>
      </c>
      <c r="AG46" s="335"/>
      <c r="AH46" s="336">
        <f>IF('[1]OMM_Container Status'!AH46="","",'[1]OMM_Container Status'!AH46)</f>
        <v>46344</v>
      </c>
      <c r="AI46" s="337"/>
    </row>
    <row r="47" spans="2:43" ht="13.8" customHeight="1" x14ac:dyDescent="0.25">
      <c r="B47" s="346"/>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346"/>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338" t="str">
        <f>IF('[1]OMM_Container Status'!AF48="","",'[1]OMM_Container Status'!AF48)</f>
        <v>SCOPE OF WORK (DELIVERY STATUS)</v>
      </c>
      <c r="AG48" s="339"/>
      <c r="AH48" s="339"/>
      <c r="AI48" s="340"/>
    </row>
    <row r="49" spans="2:35" ht="13.8" customHeight="1" x14ac:dyDescent="0.25">
      <c r="B49" s="346"/>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346"/>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347"/>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345">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48" t="str">
        <f>IF('[1]OMM_Container Status'!AF52="","",'[1]OMM_Container Status'!AF52)</f>
        <v>4th FLOOR</v>
      </c>
      <c r="AG52" s="348"/>
      <c r="AH52" s="348"/>
      <c r="AI52" s="348"/>
    </row>
    <row r="53" spans="2:35" ht="13.8" customHeight="1" x14ac:dyDescent="0.25">
      <c r="B53" s="349"/>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341" t="str">
        <f>IF('[1]OMM_Container Status'!AF53="","",'[1]OMM_Container Status'!AF53)</f>
        <v>SCOPE OF WORK (UNITS)</v>
      </c>
      <c r="AG53" s="342"/>
      <c r="AH53" s="342"/>
      <c r="AI53" s="343"/>
    </row>
    <row r="54" spans="2:35" ht="13.8" customHeight="1" x14ac:dyDescent="0.25">
      <c r="B54" s="349"/>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349"/>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344">
        <f>IF('[1]OMM_Container Status'!AG55="","",'[1]OMM_Container Status'!AG55)</f>
        <v>0</v>
      </c>
      <c r="AH55" s="344"/>
      <c r="AI55" s="211" t="str">
        <f>IF('[1]OMM_Container Status'!AI55="","",'[1]OMM_Container Status'!AI55)</f>
        <v/>
      </c>
    </row>
    <row r="56" spans="2:35" ht="13.8" customHeight="1" x14ac:dyDescent="0.25">
      <c r="B56" s="349"/>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349"/>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334" t="str">
        <f>IF('[1]OMM_Container Status'!AF57="","",'[1]OMM_Container Status'!AF57)</f>
        <v>DELIVERY TARGET:</v>
      </c>
      <c r="AG57" s="335"/>
      <c r="AH57" s="336">
        <f>IF('[1]OMM_Container Status'!AH57="","",'[1]OMM_Container Status'!AH57)</f>
        <v>46318</v>
      </c>
      <c r="AI57" s="337"/>
    </row>
    <row r="58" spans="2:35" ht="13.8" customHeight="1" x14ac:dyDescent="0.25">
      <c r="B58" s="349"/>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349"/>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338" t="str">
        <f>IF('[1]OMM_Container Status'!AF59="","",'[1]OMM_Container Status'!AF59)</f>
        <v>SCOPE OF WORK (DELIVERY STATUS)</v>
      </c>
      <c r="AG59" s="339"/>
      <c r="AH59" s="339"/>
      <c r="AI59" s="340"/>
    </row>
    <row r="60" spans="2:35" ht="13.8" customHeight="1" x14ac:dyDescent="0.25">
      <c r="B60" s="349"/>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349"/>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350"/>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345">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48" t="str">
        <f>IF('[1]OMM_Container Status'!AF63="","",'[1]OMM_Container Status'!AF63)</f>
        <v>3th FLOOR</v>
      </c>
      <c r="AG63" s="348"/>
      <c r="AH63" s="348"/>
      <c r="AI63" s="348"/>
    </row>
    <row r="64" spans="2:35" ht="13.8" customHeight="1" x14ac:dyDescent="0.25">
      <c r="B64" s="346"/>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341" t="str">
        <f>IF('[1]OMM_Container Status'!AF64="","",'[1]OMM_Container Status'!AF64)</f>
        <v>SCOPE OF WORK (UNITS)</v>
      </c>
      <c r="AG64" s="342"/>
      <c r="AH64" s="342"/>
      <c r="AI64" s="343"/>
    </row>
    <row r="65" spans="2:35" ht="13.8" customHeight="1" x14ac:dyDescent="0.25">
      <c r="B65" s="349"/>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349"/>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344">
        <f>IF('[1]OMM_Container Status'!AG66="","",'[1]OMM_Container Status'!AG66)</f>
        <v>1</v>
      </c>
      <c r="AH66" s="344"/>
      <c r="AI66" s="211" t="str">
        <f>IF('[1]OMM_Container Status'!AI66="","",'[1]OMM_Container Status'!AI66)</f>
        <v/>
      </c>
    </row>
    <row r="67" spans="2:35" ht="13.8" customHeight="1" x14ac:dyDescent="0.25">
      <c r="B67" s="349"/>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349"/>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334" t="str">
        <f>IF('[1]OMM_Container Status'!AF68="","",'[1]OMM_Container Status'!AF68)</f>
        <v>DELIVERY TARGET:</v>
      </c>
      <c r="AG68" s="335"/>
      <c r="AH68" s="336">
        <f>IF('[1]OMM_Container Status'!AH68="","",'[1]OMM_Container Status'!AH68)</f>
        <v>46294</v>
      </c>
      <c r="AI68" s="337"/>
    </row>
    <row r="69" spans="2:35" ht="13.8" customHeight="1" x14ac:dyDescent="0.25">
      <c r="B69" s="349"/>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349"/>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338" t="str">
        <f>IF('[1]OMM_Container Status'!AF70="","",'[1]OMM_Container Status'!AF70)</f>
        <v>SCOPE OF WORK (DELIVERY STATUS)</v>
      </c>
      <c r="AG70" s="339"/>
      <c r="AH70" s="339"/>
      <c r="AI70" s="340"/>
    </row>
    <row r="71" spans="2:35" ht="13.8" customHeight="1" x14ac:dyDescent="0.25">
      <c r="B71" s="349"/>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349"/>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350"/>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345">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1" t="str">
        <f>IF('[1]OMM_Container Status'!AF74="","",'[1]OMM_Container Status'!AF74)</f>
        <v>2th FLOOR</v>
      </c>
      <c r="AG74" s="351"/>
      <c r="AH74" s="351"/>
      <c r="AI74" s="351"/>
    </row>
    <row r="75" spans="2:35" ht="13.8" customHeight="1" x14ac:dyDescent="0.25">
      <c r="B75" s="349"/>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341" t="str">
        <f>IF('[1]OMM_Container Status'!AF75="","",'[1]OMM_Container Status'!AF75)</f>
        <v>SCOPE OF WORK (UNITS)</v>
      </c>
      <c r="AG75" s="342"/>
      <c r="AH75" s="342"/>
      <c r="AI75" s="343"/>
    </row>
    <row r="76" spans="2:35" ht="13.8" customHeight="1" x14ac:dyDescent="0.25">
      <c r="B76" s="349"/>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349"/>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344">
        <f>IF('[1]OMM_Container Status'!AG77="","",'[1]OMM_Container Status'!AG77)</f>
        <v>0</v>
      </c>
      <c r="AH77" s="344"/>
      <c r="AI77" s="211" t="str">
        <f>IF('[1]OMM_Container Status'!AI77="","",'[1]OMM_Container Status'!AI77)</f>
        <v/>
      </c>
    </row>
    <row r="78" spans="2:35" ht="13.8" customHeight="1" x14ac:dyDescent="0.25">
      <c r="B78" s="349"/>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349"/>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334" t="str">
        <f>IF('[1]OMM_Container Status'!AF79="","",'[1]OMM_Container Status'!AF79)</f>
        <v>DELIVERY TARGET:</v>
      </c>
      <c r="AG79" s="335"/>
      <c r="AH79" s="336">
        <f>IF('[1]OMM_Container Status'!AH79="","",'[1]OMM_Container Status'!AH79)</f>
        <v>46268</v>
      </c>
      <c r="AI79" s="337"/>
    </row>
    <row r="80" spans="2:35" ht="13.8" customHeight="1" x14ac:dyDescent="0.25">
      <c r="B80" s="349"/>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349"/>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338" t="str">
        <f>IF('[1]OMM_Container Status'!AF81="","",'[1]OMM_Container Status'!AF81)</f>
        <v>SCOPE OF WORK (DELIVERY STATUS)</v>
      </c>
      <c r="AG81" s="339"/>
      <c r="AH81" s="339"/>
      <c r="AI81" s="340"/>
    </row>
    <row r="82" spans="2:35" ht="13.8" customHeight="1" x14ac:dyDescent="0.25">
      <c r="B82" s="349"/>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349"/>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350"/>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B4:AD4"/>
    <mergeCell ref="AF5:AI6"/>
    <mergeCell ref="AF7:AI7"/>
    <mergeCell ref="B8:B18"/>
    <mergeCell ref="AF8:AI8"/>
    <mergeCell ref="AF13:AG13"/>
    <mergeCell ref="AH13:AI13"/>
    <mergeCell ref="AF15:AI15"/>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F35:AG35"/>
    <mergeCell ref="AH35:AI35"/>
    <mergeCell ref="AF37:AI37"/>
    <mergeCell ref="AF24:AG24"/>
    <mergeCell ref="AH24:AI24"/>
    <mergeCell ref="AF26:AI26"/>
    <mergeCell ref="AF31:AI31"/>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53" t="s">
        <v>850</v>
      </c>
      <c r="AG5" s="353"/>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53"/>
      <c r="AG6" s="353"/>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54"/>
      <c r="AG7" s="354"/>
    </row>
    <row r="8" spans="2:33" ht="18" customHeight="1" x14ac:dyDescent="0.25">
      <c r="B8" s="345">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55" t="str">
        <f>IF('[1]OMM_Building Matrix'!AF8="","",'[1]OMM_Building Matrix'!AF8)</f>
        <v>8th FLOOR</v>
      </c>
      <c r="AG8" s="357"/>
    </row>
    <row r="9" spans="2:33" ht="13.8" customHeight="1" x14ac:dyDescent="0.25">
      <c r="B9" s="349"/>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349"/>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349"/>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349"/>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349"/>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349"/>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349"/>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349"/>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349"/>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350"/>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345">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348" t="str">
        <f>IF('[1]OMM_Building Matrix'!AF19="","",'[1]OMM_Building Matrix'!AF19)</f>
        <v>7th FLOOR</v>
      </c>
      <c r="AG19" s="348"/>
    </row>
    <row r="20" spans="2:33" ht="13.8" customHeight="1" x14ac:dyDescent="0.25">
      <c r="B20" s="346"/>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346"/>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346"/>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346"/>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346"/>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346"/>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346"/>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346"/>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346"/>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347"/>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345">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348" t="str">
        <f>IF('[1]OMM_Building Matrix'!AF30="","",'[1]OMM_Building Matrix'!AF30)</f>
        <v>6th FLOOR</v>
      </c>
      <c r="AG30" s="348"/>
    </row>
    <row r="31" spans="2:33" ht="13.8" customHeight="1" x14ac:dyDescent="0.25">
      <c r="B31" s="346"/>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346"/>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346"/>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346"/>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346"/>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346"/>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346"/>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346"/>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346"/>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347"/>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345">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48" t="str">
        <f>IF('[1]OMM_Building Matrix'!AF41="","",'[1]OMM_Building Matrix'!AF41)</f>
        <v>5th FLOOR</v>
      </c>
      <c r="AG41" s="348"/>
    </row>
    <row r="42" spans="2:33" ht="13.8" customHeight="1" x14ac:dyDescent="0.25">
      <c r="B42" s="346"/>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346"/>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346"/>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346"/>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346"/>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346"/>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346"/>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346"/>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346"/>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347"/>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345">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48" t="str">
        <f>IF('[1]OMM_Building Matrix'!AF52="","",'[1]OMM_Building Matrix'!AF52)</f>
        <v>4th FLOOR</v>
      </c>
      <c r="AG52" s="348"/>
    </row>
    <row r="53" spans="2:33" ht="13.8" customHeight="1" x14ac:dyDescent="0.25">
      <c r="B53" s="349"/>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349"/>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349"/>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349"/>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349"/>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349"/>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349"/>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349"/>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349"/>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350"/>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345">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48" t="str">
        <f>IF('[1]OMM_Building Matrix'!AF63="","",'[1]OMM_Building Matrix'!AF63)</f>
        <v>3th FLOOR</v>
      </c>
      <c r="AG63" s="348"/>
    </row>
    <row r="64" spans="2:33" ht="13.8" customHeight="1" x14ac:dyDescent="0.25">
      <c r="B64" s="346"/>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349"/>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349"/>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349"/>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349"/>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349"/>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349"/>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349"/>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349"/>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350"/>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345">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1" t="str">
        <f>IF('[1]OMM_Building Matrix'!AF74="","",'[1]OMM_Building Matrix'!AF74)</f>
        <v>2th FLOOR</v>
      </c>
      <c r="AG74" s="351"/>
    </row>
    <row r="75" spans="2:33" ht="13.8" customHeight="1" x14ac:dyDescent="0.25">
      <c r="B75" s="349"/>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349"/>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349"/>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349"/>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349"/>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349"/>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349"/>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349"/>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349"/>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350"/>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3254D1-2092-4A5A-9A93-C99D62776D70}">
  <ds:schemaRefs>
    <ds:schemaRef ds:uri="http://schemas.microsoft.com/sharepoint/v3/contenttype/forms"/>
  </ds:schemaRefs>
</ds:datastoreItem>
</file>

<file path=customXml/itemProps2.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2026-06-26T19:15:37Z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